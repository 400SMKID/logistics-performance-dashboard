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mportante\Carpeta\Projectos\"/>
    </mc:Choice>
  </mc:AlternateContent>
  <xr:revisionPtr revIDLastSave="0" documentId="13_ncr:1_{C61E6823-1B12-4F82-A451-E08D461DBC26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smart_logistics_dataset" sheetId="1" r:id="rId1"/>
    <sheet name="Data Dictionary" sheetId="2" r:id="rId2"/>
    <sheet name="tbl_logistics" sheetId="3" r:id="rId3"/>
    <sheet name="Data Quality Report" sheetId="4" r:id="rId4"/>
    <sheet name="Data Explore" sheetId="5" r:id="rId5"/>
    <sheet name="Pyvot tables" sheetId="7" r:id="rId6"/>
    <sheet name="Waiting_status" sheetId="9" r:id="rId7"/>
    <sheet name="Dasboard" sheetId="15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5" l="1"/>
  <c r="C2" i="15"/>
  <c r="C6" i="15"/>
  <c r="B6" i="15"/>
  <c r="B4" i="15"/>
  <c r="C4" i="15" s="1"/>
  <c r="B5" i="15"/>
  <c r="C5" i="15" s="1"/>
  <c r="Q3" i="3"/>
  <c r="Q4" i="3"/>
  <c r="Q5" i="3"/>
  <c r="Q6" i="3"/>
  <c r="Q7" i="3"/>
  <c r="Q8" i="3"/>
  <c r="Q9" i="3"/>
  <c r="Q10" i="3"/>
  <c r="Q11" i="3"/>
  <c r="Q12" i="3"/>
  <c r="Q13" i="3"/>
  <c r="B2" i="4" s="1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2" i="9"/>
  <c r="B9" i="5"/>
  <c r="B8" i="5"/>
  <c r="B7" i="5"/>
  <c r="B6" i="5"/>
  <c r="B5" i="5"/>
  <c r="B4" i="5"/>
  <c r="B3" i="5"/>
  <c r="B4" i="4"/>
  <c r="R2" i="3" l="1"/>
  <c r="B2" i="5"/>
  <c r="K2" i="9"/>
  <c r="I2" i="9"/>
  <c r="J2" i="9"/>
  <c r="E2" i="9"/>
  <c r="C2" i="9"/>
  <c r="D2" i="9"/>
</calcChain>
</file>

<file path=xl/sharedStrings.xml><?xml version="1.0" encoding="utf-8"?>
<sst xmlns="http://schemas.openxmlformats.org/spreadsheetml/2006/main" count="13179" uniqueCount="2111">
  <si>
    <t>Timestamp</t>
  </si>
  <si>
    <t>Asset_ID</t>
  </si>
  <si>
    <t>Latitude</t>
  </si>
  <si>
    <t>Longitude</t>
  </si>
  <si>
    <t>Inventory_Level</t>
  </si>
  <si>
    <t>Shipment_Status</t>
  </si>
  <si>
    <t>Temperature</t>
  </si>
  <si>
    <t>Humidity</t>
  </si>
  <si>
    <t>Traffic_Status</t>
  </si>
  <si>
    <t>Waiting_Time</t>
  </si>
  <si>
    <t>User_Transaction_Amount</t>
  </si>
  <si>
    <t>User_Purchase_Frequency</t>
  </si>
  <si>
    <t>Logistics_Delay_Reason</t>
  </si>
  <si>
    <t>Asset_Utilization</t>
  </si>
  <si>
    <t>Demand_Forecast</t>
  </si>
  <si>
    <t>Logistics_Delay</t>
  </si>
  <si>
    <t>Truck_7</t>
  </si>
  <si>
    <t>-65.7383</t>
  </si>
  <si>
    <t>11.2497</t>
  </si>
  <si>
    <t>Delayed</t>
  </si>
  <si>
    <t>Detour</t>
  </si>
  <si>
    <t>None</t>
  </si>
  <si>
    <t>Truck_6</t>
  </si>
  <si>
    <t>22.2748</t>
  </si>
  <si>
    <t>-131.7086</t>
  </si>
  <si>
    <t>In Transit</t>
  </si>
  <si>
    <t>Heavy</t>
  </si>
  <si>
    <t>Weather</t>
  </si>
  <si>
    <t>Truck_10</t>
  </si>
  <si>
    <t>54.9232</t>
  </si>
  <si>
    <t>79.5455</t>
  </si>
  <si>
    <t>Truck_9</t>
  </si>
  <si>
    <t>42.3900</t>
  </si>
  <si>
    <t>-1.4788</t>
  </si>
  <si>
    <t>Delivered</t>
  </si>
  <si>
    <t>Traffic</t>
  </si>
  <si>
    <t>-65.8477</t>
  </si>
  <si>
    <t>47.9468</t>
  </si>
  <si>
    <t>Clear</t>
  </si>
  <si>
    <t>73.3312</t>
  </si>
  <si>
    <t>46.5831</t>
  </si>
  <si>
    <t>Truck_4</t>
  </si>
  <si>
    <t>27.9307</t>
  </si>
  <si>
    <t>147.5317</t>
  </si>
  <si>
    <t>46.5643</t>
  </si>
  <si>
    <t>-126.5348</t>
  </si>
  <si>
    <t>-83.6737</t>
  </si>
  <si>
    <t>-31.7125</t>
  </si>
  <si>
    <t>Truck_2</t>
  </si>
  <si>
    <t>54.1683</t>
  </si>
  <si>
    <t>-135.2676</t>
  </si>
  <si>
    <t>Mechanical Failure</t>
  </si>
  <si>
    <t>82.9633</t>
  </si>
  <si>
    <t>-154.5274</t>
  </si>
  <si>
    <t>-25.2768</t>
  </si>
  <si>
    <t>156.1262</t>
  </si>
  <si>
    <t>Truck_8</t>
  </si>
  <si>
    <t>-65.5260</t>
  </si>
  <si>
    <t>-3.0202</t>
  </si>
  <si>
    <t>-26.1836</t>
  </si>
  <si>
    <t>-30.3641</t>
  </si>
  <si>
    <t>Truck_3</t>
  </si>
  <si>
    <t>2.6709</t>
  </si>
  <si>
    <t>-80.8879</t>
  </si>
  <si>
    <t>Truck_5</t>
  </si>
  <si>
    <t>-22.4793</t>
  </si>
  <si>
    <t>-54.5143</t>
  </si>
  <si>
    <t>-34.5353</t>
  </si>
  <si>
    <t>-40.8617</t>
  </si>
  <si>
    <t>-8.7105</t>
  </si>
  <si>
    <t>-17.8347</t>
  </si>
  <si>
    <t>14.6629</t>
  </si>
  <si>
    <t>116.0696</t>
  </si>
  <si>
    <t>75.7743</t>
  </si>
  <si>
    <t>108.9425</t>
  </si>
  <si>
    <t>50.3419</t>
  </si>
  <si>
    <t>108.5647</t>
  </si>
  <si>
    <t>-6.6729</t>
  </si>
  <si>
    <t>132.6727</t>
  </si>
  <si>
    <t>-74.1751</t>
  </si>
  <si>
    <t>-102.7331</t>
  </si>
  <si>
    <t>-33.2264</t>
  </si>
  <si>
    <t>169.6187</t>
  </si>
  <si>
    <t>-34.4469</t>
  </si>
  <si>
    <t>93.1585</t>
  </si>
  <si>
    <t>-13.5110</t>
  </si>
  <si>
    <t>141.8454</t>
  </si>
  <si>
    <t>-22.4270</t>
  </si>
  <si>
    <t>108.2306</t>
  </si>
  <si>
    <t>43.3353</t>
  </si>
  <si>
    <t>-12.0683</t>
  </si>
  <si>
    <t>-66.7517</t>
  </si>
  <si>
    <t>161.4500</t>
  </si>
  <si>
    <t>-65.7349</t>
  </si>
  <si>
    <t>-173.3011</t>
  </si>
  <si>
    <t>Truck_1</t>
  </si>
  <si>
    <t>-55.4768</t>
  </si>
  <si>
    <t>18.2551</t>
  </si>
  <si>
    <t>5.9179</t>
  </si>
  <si>
    <t>74.8254</t>
  </si>
  <si>
    <t>49.3929</t>
  </si>
  <si>
    <t>-47.5805</t>
  </si>
  <si>
    <t>80.3158</t>
  </si>
  <si>
    <t>70.7650</t>
  </si>
  <si>
    <t>-19.8847</t>
  </si>
  <si>
    <t>42.5062</t>
  </si>
  <si>
    <t>5.4555</t>
  </si>
  <si>
    <t>-147.5455</t>
  </si>
  <si>
    <t>-19.2577</t>
  </si>
  <si>
    <t>66.7440</t>
  </si>
  <si>
    <t>-79.0792</t>
  </si>
  <si>
    <t>-16.3423</t>
  </si>
  <si>
    <t>-1.6787</t>
  </si>
  <si>
    <t>3.2441</t>
  </si>
  <si>
    <t>-8.2431</t>
  </si>
  <si>
    <t>-12.4959</t>
  </si>
  <si>
    <t>-30.0701</t>
  </si>
  <si>
    <t>135.6396</t>
  </si>
  <si>
    <t>61.8444</t>
  </si>
  <si>
    <t>107.4835</t>
  </si>
  <si>
    <t>40.7840</t>
  </si>
  <si>
    <t>77.2346</t>
  </si>
  <si>
    <t>-68.3515</t>
  </si>
  <si>
    <t>158.2510</t>
  </si>
  <si>
    <t>-33.8378</t>
  </si>
  <si>
    <t>73.3221</t>
  </si>
  <si>
    <t>69.6609</t>
  </si>
  <si>
    <t>38.4464</t>
  </si>
  <si>
    <t>20.8843</t>
  </si>
  <si>
    <t>1.3947</t>
  </si>
  <si>
    <t>-14.8081</t>
  </si>
  <si>
    <t>-177.3003</t>
  </si>
  <si>
    <t>0.0414</t>
  </si>
  <si>
    <t>-130.6505</t>
  </si>
  <si>
    <t>-79.9146</t>
  </si>
  <si>
    <t>-3.8554</t>
  </si>
  <si>
    <t>76.4465</t>
  </si>
  <si>
    <t>173.1493</t>
  </si>
  <si>
    <t>-15.6005</t>
  </si>
  <si>
    <t>-92.1974</t>
  </si>
  <si>
    <t>67.3960</t>
  </si>
  <si>
    <t>170.1537</t>
  </si>
  <si>
    <t>33.6179</t>
  </si>
  <si>
    <t>-67.2758</t>
  </si>
  <si>
    <t>-50.8174</t>
  </si>
  <si>
    <t>-40.3409</t>
  </si>
  <si>
    <t>50.2709</t>
  </si>
  <si>
    <t>125.6915</t>
  </si>
  <si>
    <t>-73.8211</t>
  </si>
  <si>
    <t>3.1870</t>
  </si>
  <si>
    <t>79.1172</t>
  </si>
  <si>
    <t>178.4934</t>
  </si>
  <si>
    <t>27.4253</t>
  </si>
  <si>
    <t>90.1386</t>
  </si>
  <si>
    <t>67.9086</t>
  </si>
  <si>
    <t>-140.0283</t>
  </si>
  <si>
    <t>-72.8958</t>
  </si>
  <si>
    <t>129.8921</t>
  </si>
  <si>
    <t>-58.6802</t>
  </si>
  <si>
    <t>-62.7474</t>
  </si>
  <si>
    <t>64.0395</t>
  </si>
  <si>
    <t>-151.7045</t>
  </si>
  <si>
    <t>-24.1402</t>
  </si>
  <si>
    <t>-168.6013</t>
  </si>
  <si>
    <t>72.8574</t>
  </si>
  <si>
    <t>179.0100</t>
  </si>
  <si>
    <t>7.3575</t>
  </si>
  <si>
    <t>86.6442</t>
  </si>
  <si>
    <t>68.9594</t>
  </si>
  <si>
    <t>-123.5048</t>
  </si>
  <si>
    <t>14.9079</t>
  </si>
  <si>
    <t>50.1606</t>
  </si>
  <si>
    <t>66.2353</t>
  </si>
  <si>
    <t>10.8345</t>
  </si>
  <si>
    <t>70.1899</t>
  </si>
  <si>
    <t>-65.6792</t>
  </si>
  <si>
    <t>51.4539</t>
  </si>
  <si>
    <t>-20.8253</t>
  </si>
  <si>
    <t>-39.8800</t>
  </si>
  <si>
    <t>55.1792</t>
  </si>
  <si>
    <t>-17.2355</t>
  </si>
  <si>
    <t>-130.6915</t>
  </si>
  <si>
    <t>-44.2576</t>
  </si>
  <si>
    <t>-86.5073</t>
  </si>
  <si>
    <t>19.9257</t>
  </si>
  <si>
    <t>116.0526</t>
  </si>
  <si>
    <t>-47.2094</t>
  </si>
  <si>
    <t>15.6324</t>
  </si>
  <si>
    <t>-58.4249</t>
  </si>
  <si>
    <t>-57.6609</t>
  </si>
  <si>
    <t>-20.0696</t>
  </si>
  <si>
    <t>-73.2689</t>
  </si>
  <si>
    <t>-36.8549</t>
  </si>
  <si>
    <t>164.7618</t>
  </si>
  <si>
    <t>-86.6609</t>
  </si>
  <si>
    <t>-128.0354</t>
  </si>
  <si>
    <t>-53.3732</t>
  </si>
  <si>
    <t>-99.6370</t>
  </si>
  <si>
    <t>-58.7963</t>
  </si>
  <si>
    <t>-150.4122</t>
  </si>
  <si>
    <t>-46.1616</t>
  </si>
  <si>
    <t>-46.6401</t>
  </si>
  <si>
    <t>33.8716</t>
  </si>
  <si>
    <t>36.8753</t>
  </si>
  <si>
    <t>35.7136</t>
  </si>
  <si>
    <t>-23.1356</t>
  </si>
  <si>
    <t>36.3858</t>
  </si>
  <si>
    <t>-107.3894</t>
  </si>
  <si>
    <t>26.6125</t>
  </si>
  <si>
    <t>25.4788</t>
  </si>
  <si>
    <t>-84.8915</t>
  </si>
  <si>
    <t>57.5714</t>
  </si>
  <si>
    <t>-49.6846</t>
  </si>
  <si>
    <t>-63.2892</t>
  </si>
  <si>
    <t>14.7474</t>
  </si>
  <si>
    <t>-2.5245</t>
  </si>
  <si>
    <t>-8.6011</t>
  </si>
  <si>
    <t>-63.1274</t>
  </si>
  <si>
    <t>67.2149</t>
  </si>
  <si>
    <t>117.9203</t>
  </si>
  <si>
    <t>-11.3392</t>
  </si>
  <si>
    <t>-69.3395</t>
  </si>
  <si>
    <t>26.3763</t>
  </si>
  <si>
    <t>157.0905</t>
  </si>
  <si>
    <t>-13.4690</t>
  </si>
  <si>
    <t>75.3408</t>
  </si>
  <si>
    <t>-11.2424</t>
  </si>
  <si>
    <t>-4.5638</t>
  </si>
  <si>
    <t>62.6559</t>
  </si>
  <si>
    <t>18.8474</t>
  </si>
  <si>
    <t>60.8032</t>
  </si>
  <si>
    <t>-179.5906</t>
  </si>
  <si>
    <t>-10.0451</t>
  </si>
  <si>
    <t>79.8956</t>
  </si>
  <si>
    <t>17.6483</t>
  </si>
  <si>
    <t>114.2638</t>
  </si>
  <si>
    <t>-51.9233</t>
  </si>
  <si>
    <t>-57.5858</t>
  </si>
  <si>
    <t>22.3898</t>
  </si>
  <si>
    <t>3.8948</t>
  </si>
  <si>
    <t>86.3368</t>
  </si>
  <si>
    <t>29.4478</t>
  </si>
  <si>
    <t>-14.6662</t>
  </si>
  <si>
    <t>-88.3674</t>
  </si>
  <si>
    <t>-71.9057</t>
  </si>
  <si>
    <t>-41.4314</t>
  </si>
  <si>
    <t>54.8888</t>
  </si>
  <si>
    <t>7.4287</t>
  </si>
  <si>
    <t>-89.7915</t>
  </si>
  <si>
    <t>85.8036</t>
  </si>
  <si>
    <t>39.9088</t>
  </si>
  <si>
    <t>71.9595</t>
  </si>
  <si>
    <t>30.7119</t>
  </si>
  <si>
    <t>111.5767</t>
  </si>
  <si>
    <t>5.7076</t>
  </si>
  <si>
    <t>-79.9256</t>
  </si>
  <si>
    <t>69.0509</t>
  </si>
  <si>
    <t>91.8480</t>
  </si>
  <si>
    <t>52.7828</t>
  </si>
  <si>
    <t>176.0671</t>
  </si>
  <si>
    <t>42.9670</t>
  </si>
  <si>
    <t>146.1358</t>
  </si>
  <si>
    <t>-11.9943</t>
  </si>
  <si>
    <t>-126.8743</t>
  </si>
  <si>
    <t>60.5903</t>
  </si>
  <si>
    <t>-90.0415</t>
  </si>
  <si>
    <t>-23.2982</t>
  </si>
  <si>
    <t>143.8634</t>
  </si>
  <si>
    <t>-34.2189</t>
  </si>
  <si>
    <t>-36.6288</t>
  </si>
  <si>
    <t>19.5450</t>
  </si>
  <si>
    <t>73.0968</t>
  </si>
  <si>
    <t>33.3351</t>
  </si>
  <si>
    <t>-103.9260</t>
  </si>
  <si>
    <t>-63.2064</t>
  </si>
  <si>
    <t>30.0818</t>
  </si>
  <si>
    <t>83.2858</t>
  </si>
  <si>
    <t>-66.1069</t>
  </si>
  <si>
    <t>-23.2424</t>
  </si>
  <si>
    <t>18.6206</t>
  </si>
  <si>
    <t>-89.0793</t>
  </si>
  <si>
    <t>130.3362</t>
  </si>
  <si>
    <t>-11.2908</t>
  </si>
  <si>
    <t>-105.2515</t>
  </si>
  <si>
    <t>0.3773</t>
  </si>
  <si>
    <t>-13.6838</t>
  </si>
  <si>
    <t>-7.7700</t>
  </si>
  <si>
    <t>163.5958</t>
  </si>
  <si>
    <t>-80.1222</t>
  </si>
  <si>
    <t>-56.1497</t>
  </si>
  <si>
    <t>-84.8041</t>
  </si>
  <si>
    <t>57.1680</t>
  </si>
  <si>
    <t>-13.1475</t>
  </si>
  <si>
    <t>-1.0702</t>
  </si>
  <si>
    <t>-87.5547</t>
  </si>
  <si>
    <t>113.4629</t>
  </si>
  <si>
    <t>72.9066</t>
  </si>
  <si>
    <t>36.1965</t>
  </si>
  <si>
    <t>16.1951</t>
  </si>
  <si>
    <t>-119.4492</t>
  </si>
  <si>
    <t>28.3461</t>
  </si>
  <si>
    <t>-1.5547</t>
  </si>
  <si>
    <t>-35.5663</t>
  </si>
  <si>
    <t>47.4028</t>
  </si>
  <si>
    <t>-33.2460</t>
  </si>
  <si>
    <t>106.3248</t>
  </si>
  <si>
    <t>10.2059</t>
  </si>
  <si>
    <t>98.6180</t>
  </si>
  <si>
    <t>-6.2311</t>
  </si>
  <si>
    <t>173.6264</t>
  </si>
  <si>
    <t>-78.1094</t>
  </si>
  <si>
    <t>-52.5435</t>
  </si>
  <si>
    <t>-70.3645</t>
  </si>
  <si>
    <t>-128.8622</t>
  </si>
  <si>
    <t>18.1183</t>
  </si>
  <si>
    <t>116.4939</t>
  </si>
  <si>
    <t>20.2969</t>
  </si>
  <si>
    <t>124.1885</t>
  </si>
  <si>
    <t>-27.7387</t>
  </si>
  <si>
    <t>19.6189</t>
  </si>
  <si>
    <t>-31.1328</t>
  </si>
  <si>
    <t>175.8453</t>
  </si>
  <si>
    <t>24.8353</t>
  </si>
  <si>
    <t>-83.7173</t>
  </si>
  <si>
    <t>-32.7240</t>
  </si>
  <si>
    <t>82.9577</t>
  </si>
  <si>
    <t>72.1220</t>
  </si>
  <si>
    <t>89.9728</t>
  </si>
  <si>
    <t>-7.6360</t>
  </si>
  <si>
    <t>51.0615</t>
  </si>
  <si>
    <t>-24.0118</t>
  </si>
  <si>
    <t>111.4726</t>
  </si>
  <si>
    <t>77.0042</t>
  </si>
  <si>
    <t>-12.2919</t>
  </si>
  <si>
    <t>-38.6867</t>
  </si>
  <si>
    <t>-19.9939</t>
  </si>
  <si>
    <t>41.3750</t>
  </si>
  <si>
    <t>77.2949</t>
  </si>
  <si>
    <t>-68.4651</t>
  </si>
  <si>
    <t>179.4433</t>
  </si>
  <si>
    <t>-13.0063</t>
  </si>
  <si>
    <t>0.5345</t>
  </si>
  <si>
    <t>41.3066</t>
  </si>
  <si>
    <t>161.1462</t>
  </si>
  <si>
    <t>-23.1011</t>
  </si>
  <si>
    <t>-54.5176</t>
  </si>
  <si>
    <t>-17.6088</t>
  </si>
  <si>
    <t>-41.4304</t>
  </si>
  <si>
    <t>-72.4492</t>
  </si>
  <si>
    <t>131.8524</t>
  </si>
  <si>
    <t>27.3601</t>
  </si>
  <si>
    <t>-105.0457</t>
  </si>
  <si>
    <t>-86.5291</t>
  </si>
  <si>
    <t>-36.5789</t>
  </si>
  <si>
    <t>10.2078</t>
  </si>
  <si>
    <t>36.8570</t>
  </si>
  <si>
    <t>-42.6759</t>
  </si>
  <si>
    <t>-7.9818</t>
  </si>
  <si>
    <t>36.2494</t>
  </si>
  <si>
    <t>143.1951</t>
  </si>
  <si>
    <t>28.9964</t>
  </si>
  <si>
    <t>151.6114</t>
  </si>
  <si>
    <t>-22.1005</t>
  </si>
  <si>
    <t>-38.8449</t>
  </si>
  <si>
    <t>47.2803</t>
  </si>
  <si>
    <t>32.1356</t>
  </si>
  <si>
    <t>-25.4692</t>
  </si>
  <si>
    <t>-70.7603</t>
  </si>
  <si>
    <t>20.1451</t>
  </si>
  <si>
    <t>158.7402</t>
  </si>
  <si>
    <t>-29.2726</t>
  </si>
  <si>
    <t>149.6329</t>
  </si>
  <si>
    <t>-82.3942</t>
  </si>
  <si>
    <t>179.9237</t>
  </si>
  <si>
    <t>37.3932</t>
  </si>
  <si>
    <t>53.4470</t>
  </si>
  <si>
    <t>-3.4094</t>
  </si>
  <si>
    <t>-85.8774</t>
  </si>
  <si>
    <t>-60.2782</t>
  </si>
  <si>
    <t>-7.5464</t>
  </si>
  <si>
    <t>-1.8123</t>
  </si>
  <si>
    <t>-156.2070</t>
  </si>
  <si>
    <t>45.5530</t>
  </si>
  <si>
    <t>20.9015</t>
  </si>
  <si>
    <t>-28.3820</t>
  </si>
  <si>
    <t>-47.8231</t>
  </si>
  <si>
    <t>-71.0852</t>
  </si>
  <si>
    <t>-12.9187</t>
  </si>
  <si>
    <t>-35.6424</t>
  </si>
  <si>
    <t>-106.7595</t>
  </si>
  <si>
    <t>-81.6220</t>
  </si>
  <si>
    <t>-152.0754</t>
  </si>
  <si>
    <t>-22.9111</t>
  </si>
  <si>
    <t>-154.3594</t>
  </si>
  <si>
    <t>-68.7937</t>
  </si>
  <si>
    <t>-164.3866</t>
  </si>
  <si>
    <t>-25.5794</t>
  </si>
  <si>
    <t>132.2662</t>
  </si>
  <si>
    <t>49.0465</t>
  </si>
  <si>
    <t>41.3428</t>
  </si>
  <si>
    <t>-81.6677</t>
  </si>
  <si>
    <t>-40.8327</t>
  </si>
  <si>
    <t>-69.6887</t>
  </si>
  <si>
    <t>-34.4563</t>
  </si>
  <si>
    <t>-49.1811</t>
  </si>
  <si>
    <t>-94.1515</t>
  </si>
  <si>
    <t>12.8172</t>
  </si>
  <si>
    <t>76.1408</t>
  </si>
  <si>
    <t>20.1146</t>
  </si>
  <si>
    <t>19.7583</t>
  </si>
  <si>
    <t>84.1317</t>
  </si>
  <si>
    <t>-144.7840</t>
  </si>
  <si>
    <t>-53.9329</t>
  </si>
  <si>
    <t>30.3236</t>
  </si>
  <si>
    <t>31.8571</t>
  </si>
  <si>
    <t>-83.1698</t>
  </si>
  <si>
    <t>67.7302</t>
  </si>
  <si>
    <t>-70.1861</t>
  </si>
  <si>
    <t>73.3723</t>
  </si>
  <si>
    <t>93.2464</t>
  </si>
  <si>
    <t>68.2361</t>
  </si>
  <si>
    <t>-85.9216</t>
  </si>
  <si>
    <t>40.5478</t>
  </si>
  <si>
    <t>147.0261</t>
  </si>
  <si>
    <t>-36.4299</t>
  </si>
  <si>
    <t>58.0595</t>
  </si>
  <si>
    <t>83.2003</t>
  </si>
  <si>
    <t>-119.0412</t>
  </si>
  <si>
    <t>74.5816</t>
  </si>
  <si>
    <t>-19.6986</t>
  </si>
  <si>
    <t>-64.7094</t>
  </si>
  <si>
    <t>137.7910</t>
  </si>
  <si>
    <t>-59.6020</t>
  </si>
  <si>
    <t>62.7120</t>
  </si>
  <si>
    <t>-68.3712</t>
  </si>
  <si>
    <t>-65.9802</t>
  </si>
  <si>
    <t>3.8431</t>
  </si>
  <si>
    <t>91.0078</t>
  </si>
  <si>
    <t>76.3946</t>
  </si>
  <si>
    <t>105.7941</t>
  </si>
  <si>
    <t>-46.1871</t>
  </si>
  <si>
    <t>9.4679</t>
  </si>
  <si>
    <t>-10.8849</t>
  </si>
  <si>
    <t>86.0812</t>
  </si>
  <si>
    <t>-67.7619</t>
  </si>
  <si>
    <t>176.4012</t>
  </si>
  <si>
    <t>-22.1101</t>
  </si>
  <si>
    <t>-65.1350</t>
  </si>
  <si>
    <t>75.1113</t>
  </si>
  <si>
    <t>-136.4800</t>
  </si>
  <si>
    <t>-69.3430</t>
  </si>
  <si>
    <t>131.9033</t>
  </si>
  <si>
    <t>35.6522</t>
  </si>
  <si>
    <t>-84.7025</t>
  </si>
  <si>
    <t>-86.1570</t>
  </si>
  <si>
    <t>-92.4652</t>
  </si>
  <si>
    <t>25.1355</t>
  </si>
  <si>
    <t>-2.6802</t>
  </si>
  <si>
    <t>12.0938</t>
  </si>
  <si>
    <t>96.8996</t>
  </si>
  <si>
    <t>-77.0862</t>
  </si>
  <si>
    <t>137.9042</t>
  </si>
  <si>
    <t>-17.1205</t>
  </si>
  <si>
    <t>-47.0657</t>
  </si>
  <si>
    <t>-52.8874</t>
  </si>
  <si>
    <t>162.7464</t>
  </si>
  <si>
    <t>-3.6578</t>
  </si>
  <si>
    <t>176.2990</t>
  </si>
  <si>
    <t>-7.6641</t>
  </si>
  <si>
    <t>-25.3717</t>
  </si>
  <si>
    <t>-82.1416</t>
  </si>
  <si>
    <t>-91.8925</t>
  </si>
  <si>
    <t>87.5079</t>
  </si>
  <si>
    <t>-125.5319</t>
  </si>
  <si>
    <t>-76.8771</t>
  </si>
  <si>
    <t>94.6166</t>
  </si>
  <si>
    <t>89.2765</t>
  </si>
  <si>
    <t>166.6548</t>
  </si>
  <si>
    <t>-82.8546</t>
  </si>
  <si>
    <t>7.8760</t>
  </si>
  <si>
    <t>-40.2840</t>
  </si>
  <si>
    <t>-86.8089</t>
  </si>
  <si>
    <t>2.2208</t>
  </si>
  <si>
    <t>-170.2641</t>
  </si>
  <si>
    <t>54.8423</t>
  </si>
  <si>
    <t>175.5701</t>
  </si>
  <si>
    <t>-78.4723</t>
  </si>
  <si>
    <t>-82.6150</t>
  </si>
  <si>
    <t>4.8496</t>
  </si>
  <si>
    <t>-60.7988</t>
  </si>
  <si>
    <t>54.0342</t>
  </si>
  <si>
    <t>-98.3083</t>
  </si>
  <si>
    <t>41.4300</t>
  </si>
  <si>
    <t>-128.1678</t>
  </si>
  <si>
    <t>-56.0674</t>
  </si>
  <si>
    <t>82.9431</t>
  </si>
  <si>
    <t>-0.8539</t>
  </si>
  <si>
    <t>-177.5496</t>
  </si>
  <si>
    <t>54.5973</t>
  </si>
  <si>
    <t>-128.4974</t>
  </si>
  <si>
    <t>-46.1457</t>
  </si>
  <si>
    <t>161.0254</t>
  </si>
  <si>
    <t>76.8391</t>
  </si>
  <si>
    <t>140.3011</t>
  </si>
  <si>
    <t>-59.1914</t>
  </si>
  <si>
    <t>-125.4515</t>
  </si>
  <si>
    <t>-75.6177</t>
  </si>
  <si>
    <t>-156.9760</t>
  </si>
  <si>
    <t>-24.1694</t>
  </si>
  <si>
    <t>30.0335</t>
  </si>
  <si>
    <t>-6.8584</t>
  </si>
  <si>
    <t>150.6127</t>
  </si>
  <si>
    <t>-32.2146</t>
  </si>
  <si>
    <t>166.7941</t>
  </si>
  <si>
    <t>-46.3051</t>
  </si>
  <si>
    <t>-93.1541</t>
  </si>
  <si>
    <t>-85.0859</t>
  </si>
  <si>
    <t>41.1380</t>
  </si>
  <si>
    <t>89.1858</t>
  </si>
  <si>
    <t>-159.3242</t>
  </si>
  <si>
    <t>1.4290</t>
  </si>
  <si>
    <t>-119.0925</t>
  </si>
  <si>
    <t>78.3252</t>
  </si>
  <si>
    <t>15.2758</t>
  </si>
  <si>
    <t>-9.2287</t>
  </si>
  <si>
    <t>107.9306</t>
  </si>
  <si>
    <t>71.4327</t>
  </si>
  <si>
    <t>127.3664</t>
  </si>
  <si>
    <t>-84.0049</t>
  </si>
  <si>
    <t>111.8327</t>
  </si>
  <si>
    <t>7.0779</t>
  </si>
  <si>
    <t>-165.1360</t>
  </si>
  <si>
    <t>-86.0858</t>
  </si>
  <si>
    <t>117.8697</t>
  </si>
  <si>
    <t>59.2432</t>
  </si>
  <si>
    <t>175.9873</t>
  </si>
  <si>
    <t>-39.3003</t>
  </si>
  <si>
    <t>-121.6771</t>
  </si>
  <si>
    <t>-83.6720</t>
  </si>
  <si>
    <t>164.2522</t>
  </si>
  <si>
    <t>5.9541</t>
  </si>
  <si>
    <t>-156.4873</t>
  </si>
  <si>
    <t>-16.3804</t>
  </si>
  <si>
    <t>-119.0546</t>
  </si>
  <si>
    <t>-27.4913</t>
  </si>
  <si>
    <t>-1.8571</t>
  </si>
  <si>
    <t>67.7002</t>
  </si>
  <si>
    <t>43.8530</t>
  </si>
  <si>
    <t>30.5045</t>
  </si>
  <si>
    <t>52.2559</t>
  </si>
  <si>
    <t>4.8619</t>
  </si>
  <si>
    <t>61.4224</t>
  </si>
  <si>
    <t>84.0872</t>
  </si>
  <si>
    <t>85.2383</t>
  </si>
  <si>
    <t>11.5213</t>
  </si>
  <si>
    <t>-168.4741</t>
  </si>
  <si>
    <t>63.7701</t>
  </si>
  <si>
    <t>163.2651</t>
  </si>
  <si>
    <t>57.5757</t>
  </si>
  <si>
    <t>-35.0439</t>
  </si>
  <si>
    <t>-66.6009</t>
  </si>
  <si>
    <t>-11.7155</t>
  </si>
  <si>
    <t>18.7550</t>
  </si>
  <si>
    <t>-46.8871</t>
  </si>
  <si>
    <t>50.3574</t>
  </si>
  <si>
    <t>128.5618</t>
  </si>
  <si>
    <t>46.9009</t>
  </si>
  <si>
    <t>3.7490</t>
  </si>
  <si>
    <t>17.5319</t>
  </si>
  <si>
    <t>-65.0765</t>
  </si>
  <si>
    <t>4.8305</t>
  </si>
  <si>
    <t>-6.5757</t>
  </si>
  <si>
    <t>38.8917</t>
  </si>
  <si>
    <t>-38.8032</t>
  </si>
  <si>
    <t>-20.0482</t>
  </si>
  <si>
    <t>-83.6915</t>
  </si>
  <si>
    <t>-83.2534</t>
  </si>
  <si>
    <t>-166.3309</t>
  </si>
  <si>
    <t>-4.8643</t>
  </si>
  <si>
    <t>75.4304</t>
  </si>
  <si>
    <t>46.7637</t>
  </si>
  <si>
    <t>-146.4348</t>
  </si>
  <si>
    <t>-68.3909</t>
  </si>
  <si>
    <t>-122.5570</t>
  </si>
  <si>
    <t>62.3457</t>
  </si>
  <si>
    <t>-54.2033</t>
  </si>
  <si>
    <t>72.8857</t>
  </si>
  <si>
    <t>135.9494</t>
  </si>
  <si>
    <t>2.2782</t>
  </si>
  <si>
    <t>-158.4628</t>
  </si>
  <si>
    <t>11.7686</t>
  </si>
  <si>
    <t>154.6043</t>
  </si>
  <si>
    <t>-75.5980</t>
  </si>
  <si>
    <t>11.1340</t>
  </si>
  <si>
    <t>23.2931</t>
  </si>
  <si>
    <t>106.0267</t>
  </si>
  <si>
    <t>-11.3114</t>
  </si>
  <si>
    <t>-139.8110</t>
  </si>
  <si>
    <t>9.6491</t>
  </si>
  <si>
    <t>47.3499</t>
  </si>
  <si>
    <t>10.9354</t>
  </si>
  <si>
    <t>-27.3551</t>
  </si>
  <si>
    <t>84.9482</t>
  </si>
  <si>
    <t>59.5314</t>
  </si>
  <si>
    <t>49.7212</t>
  </si>
  <si>
    <t>179.2025</t>
  </si>
  <si>
    <t>-28.8968</t>
  </si>
  <si>
    <t>-117.9471</t>
  </si>
  <si>
    <t>-55.5154</t>
  </si>
  <si>
    <t>-163.6943</t>
  </si>
  <si>
    <t>16.7636</t>
  </si>
  <si>
    <t>29.2783</t>
  </si>
  <si>
    <t>-76.3070</t>
  </si>
  <si>
    <t>5.0298</t>
  </si>
  <si>
    <t>-22.4693</t>
  </si>
  <si>
    <t>149.9634</t>
  </si>
  <si>
    <t>71.8859</t>
  </si>
  <si>
    <t>93.4464</t>
  </si>
  <si>
    <t>-9.7179</t>
  </si>
  <si>
    <t>-117.0145</t>
  </si>
  <si>
    <t>-12.2288</t>
  </si>
  <si>
    <t>-74.7801</t>
  </si>
  <si>
    <t>5.4618</t>
  </si>
  <si>
    <t>-179.8202</t>
  </si>
  <si>
    <t>-54.8317</t>
  </si>
  <si>
    <t>66.4706</t>
  </si>
  <si>
    <t>-80.0522</t>
  </si>
  <si>
    <t>-102.2508</t>
  </si>
  <si>
    <t>-13.0527</t>
  </si>
  <si>
    <t>-122.0924</t>
  </si>
  <si>
    <t>6.3666</t>
  </si>
  <si>
    <t>136.0794</t>
  </si>
  <si>
    <t>83.1243</t>
  </si>
  <si>
    <t>48.4325</t>
  </si>
  <si>
    <t>51.1898</t>
  </si>
  <si>
    <t>25.5964</t>
  </si>
  <si>
    <t>-76.3987</t>
  </si>
  <si>
    <t>-68.1922</t>
  </si>
  <si>
    <t>70.5541</t>
  </si>
  <si>
    <t>-150.1626</t>
  </si>
  <si>
    <t>-38.2185</t>
  </si>
  <si>
    <t>104.1667</t>
  </si>
  <si>
    <t>39.1411</t>
  </si>
  <si>
    <t>138.1786</t>
  </si>
  <si>
    <t>-68.8006</t>
  </si>
  <si>
    <t>159.0040</t>
  </si>
  <si>
    <t>51.1598</t>
  </si>
  <si>
    <t>-170.9311</t>
  </si>
  <si>
    <t>-29.5867</t>
  </si>
  <si>
    <t>41.0612</t>
  </si>
  <si>
    <t>-51.3412</t>
  </si>
  <si>
    <t>-112.1636</t>
  </si>
  <si>
    <t>-49.5057</t>
  </si>
  <si>
    <t>174.3533</t>
  </si>
  <si>
    <t>0.7577</t>
  </si>
  <si>
    <t>120.0181</t>
  </si>
  <si>
    <t>-2.2911</t>
  </si>
  <si>
    <t>64.2731</t>
  </si>
  <si>
    <t>78.4324</t>
  </si>
  <si>
    <t>125.0181</t>
  </si>
  <si>
    <t>-2.8329</t>
  </si>
  <si>
    <t>-29.9102</t>
  </si>
  <si>
    <t>70.0103</t>
  </si>
  <si>
    <t>-164.1914</t>
  </si>
  <si>
    <t>11.4885</t>
  </si>
  <si>
    <t>-172.5690</t>
  </si>
  <si>
    <t>74.5261</t>
  </si>
  <si>
    <t>123.6828</t>
  </si>
  <si>
    <t>-12.9509</t>
  </si>
  <si>
    <t>132.4986</t>
  </si>
  <si>
    <t>81.7900</t>
  </si>
  <si>
    <t>-52.7516</t>
  </si>
  <si>
    <t>47.7175</t>
  </si>
  <si>
    <t>72.5310</t>
  </si>
  <si>
    <t>-21.5329</t>
  </si>
  <si>
    <t>-145.2581</t>
  </si>
  <si>
    <t>-4.5863</t>
  </si>
  <si>
    <t>71.7337</t>
  </si>
  <si>
    <t>-26.6775</t>
  </si>
  <si>
    <t>-77.2847</t>
  </si>
  <si>
    <t>-30.6957</t>
  </si>
  <si>
    <t>29.2550</t>
  </si>
  <si>
    <t>64.5212</t>
  </si>
  <si>
    <t>-83.2639</t>
  </si>
  <si>
    <t>68.1810</t>
  </si>
  <si>
    <t>-84.9051</t>
  </si>
  <si>
    <t>-81.2116</t>
  </si>
  <si>
    <t>13.9727</t>
  </si>
  <si>
    <t>-21.3080</t>
  </si>
  <si>
    <t>-14.9017</t>
  </si>
  <si>
    <t>77.2059</t>
  </si>
  <si>
    <t>-132.0473</t>
  </si>
  <si>
    <t>21.4872</t>
  </si>
  <si>
    <t>-123.6879</t>
  </si>
  <si>
    <t>47.7603</t>
  </si>
  <si>
    <t>-137.0932</t>
  </si>
  <si>
    <t>-4.7971</t>
  </si>
  <si>
    <t>56.4110</t>
  </si>
  <si>
    <t>-11.1333</t>
  </si>
  <si>
    <t>-40.0454</t>
  </si>
  <si>
    <t>15.5083</t>
  </si>
  <si>
    <t>115.4388</t>
  </si>
  <si>
    <t>-70.6858</t>
  </si>
  <si>
    <t>54.4683</t>
  </si>
  <si>
    <t>-18.4278</t>
  </si>
  <si>
    <t>101.4997</t>
  </si>
  <si>
    <t>43.7523</t>
  </si>
  <si>
    <t>149.8334</t>
  </si>
  <si>
    <t>18.5151</t>
  </si>
  <si>
    <t>24.3559</t>
  </si>
  <si>
    <t>84.6774</t>
  </si>
  <si>
    <t>61.0153</t>
  </si>
  <si>
    <t>49.5864</t>
  </si>
  <si>
    <t>-154.4224</t>
  </si>
  <si>
    <t>-51.3190</t>
  </si>
  <si>
    <t>-46.5841</t>
  </si>
  <si>
    <t>-12.9902</t>
  </si>
  <si>
    <t>176.1206</t>
  </si>
  <si>
    <t>6.8181</t>
  </si>
  <si>
    <t>52.3685</t>
  </si>
  <si>
    <t>-3.0380</t>
  </si>
  <si>
    <t>106.5694</t>
  </si>
  <si>
    <t>35.5141</t>
  </si>
  <si>
    <t>90.8087</t>
  </si>
  <si>
    <t>-40.8724</t>
  </si>
  <si>
    <t>-42.3243</t>
  </si>
  <si>
    <t>44.6347</t>
  </si>
  <si>
    <t>-110.6304</t>
  </si>
  <si>
    <t>76.5468</t>
  </si>
  <si>
    <t>-13.5249</t>
  </si>
  <si>
    <t>72.8206</t>
  </si>
  <si>
    <t>90.5169</t>
  </si>
  <si>
    <t>81.2554</t>
  </si>
  <si>
    <t>4.8416</t>
  </si>
  <si>
    <t>74.9107</t>
  </si>
  <si>
    <t>17.8019</t>
  </si>
  <si>
    <t>20.4460</t>
  </si>
  <si>
    <t>149.3776</t>
  </si>
  <si>
    <t>-60.7101</t>
  </si>
  <si>
    <t>-29.4842</t>
  </si>
  <si>
    <t>74.2314</t>
  </si>
  <si>
    <t>-113.7355</t>
  </si>
  <si>
    <t>16.9737</t>
  </si>
  <si>
    <t>-7.8198</t>
  </si>
  <si>
    <t>35.8055</t>
  </si>
  <si>
    <t>-41.1532</t>
  </si>
  <si>
    <t>6.7867</t>
  </si>
  <si>
    <t>-133.6343</t>
  </si>
  <si>
    <t>6.1840</t>
  </si>
  <si>
    <t>36.1898</t>
  </si>
  <si>
    <t>-75.0605</t>
  </si>
  <si>
    <t>-52.5256</t>
  </si>
  <si>
    <t>-77.8910</t>
  </si>
  <si>
    <t>-96.7804</t>
  </si>
  <si>
    <t>-47.1540</t>
  </si>
  <si>
    <t>6.9021</t>
  </si>
  <si>
    <t>76.1715</t>
  </si>
  <si>
    <t>-0.0071</t>
  </si>
  <si>
    <t>-85.8283</t>
  </si>
  <si>
    <t>163.4575</t>
  </si>
  <si>
    <t>6.0090</t>
  </si>
  <si>
    <t>-33.8380</t>
  </si>
  <si>
    <t>3.8184</t>
  </si>
  <si>
    <t>139.4876</t>
  </si>
  <si>
    <t>66.3417</t>
  </si>
  <si>
    <t>-154.1243</t>
  </si>
  <si>
    <t>-61.8623</t>
  </si>
  <si>
    <t>113.6304</t>
  </si>
  <si>
    <t>44.5020</t>
  </si>
  <si>
    <t>66.5819</t>
  </si>
  <si>
    <t>-12.2885</t>
  </si>
  <si>
    <t>38.4287</t>
  </si>
  <si>
    <t>-40.8275</t>
  </si>
  <si>
    <t>-46.7423</t>
  </si>
  <si>
    <t>-76.5757</t>
  </si>
  <si>
    <t>-52.2690</t>
  </si>
  <si>
    <t>-79.2790</t>
  </si>
  <si>
    <t>69.5680</t>
  </si>
  <si>
    <t>84.3451</t>
  </si>
  <si>
    <t>-106.8770</t>
  </si>
  <si>
    <t>-19.0721</t>
  </si>
  <si>
    <t>161.7246</t>
  </si>
  <si>
    <t>-69.0311</t>
  </si>
  <si>
    <t>-32.9575</t>
  </si>
  <si>
    <t>87.7793</t>
  </si>
  <si>
    <t>-108.9268</t>
  </si>
  <si>
    <t>-48.3633</t>
  </si>
  <si>
    <t>-36.2936</t>
  </si>
  <si>
    <t>-36.4104</t>
  </si>
  <si>
    <t>-4.3350</t>
  </si>
  <si>
    <t>-39.2250</t>
  </si>
  <si>
    <t>-156.4228</t>
  </si>
  <si>
    <t>84.0407</t>
  </si>
  <si>
    <t>-74.7098</t>
  </si>
  <si>
    <t>-68.5324</t>
  </si>
  <si>
    <t>127.5394</t>
  </si>
  <si>
    <t>-8.4586</t>
  </si>
  <si>
    <t>44.4779</t>
  </si>
  <si>
    <t>14.0092</t>
  </si>
  <si>
    <t>-131.9758</t>
  </si>
  <si>
    <t>3.6602</t>
  </si>
  <si>
    <t>107.7790</t>
  </si>
  <si>
    <t>29.3420</t>
  </si>
  <si>
    <t>-68.5682</t>
  </si>
  <si>
    <t>-20.6524</t>
  </si>
  <si>
    <t>-102.5762</t>
  </si>
  <si>
    <t>-88.6960</t>
  </si>
  <si>
    <t>117.3902</t>
  </si>
  <si>
    <t>-27.0315</t>
  </si>
  <si>
    <t>40.2451</t>
  </si>
  <si>
    <t>25.5135</t>
  </si>
  <si>
    <t>-147.3897</t>
  </si>
  <si>
    <t>68.4014</t>
  </si>
  <si>
    <t>-52.0862</t>
  </si>
  <si>
    <t>-7.1543</t>
  </si>
  <si>
    <t>-132.8372</t>
  </si>
  <si>
    <t>-78.2763</t>
  </si>
  <si>
    <t>151.3943</t>
  </si>
  <si>
    <t>33.9665</t>
  </si>
  <si>
    <t>-46.5423</t>
  </si>
  <si>
    <t>-59.6899</t>
  </si>
  <si>
    <t>143.0428</t>
  </si>
  <si>
    <t>25.7047</t>
  </si>
  <si>
    <t>150.6302</t>
  </si>
  <si>
    <t>15.4009</t>
  </si>
  <si>
    <t>52.3537</t>
  </si>
  <si>
    <t>-86.7799</t>
  </si>
  <si>
    <t>-102.1496</t>
  </si>
  <si>
    <t>40.3406</t>
  </si>
  <si>
    <t>159.0723</t>
  </si>
  <si>
    <t>40.4005</t>
  </si>
  <si>
    <t>-149.1521</t>
  </si>
  <si>
    <t>-85.1352</t>
  </si>
  <si>
    <t>73.2511</t>
  </si>
  <si>
    <t>-1.2800</t>
  </si>
  <si>
    <t>1.0168</t>
  </si>
  <si>
    <t>45.2617</t>
  </si>
  <si>
    <t>-152.3952</t>
  </si>
  <si>
    <t>-14.7713</t>
  </si>
  <si>
    <t>-117.3565</t>
  </si>
  <si>
    <t>51.4225</t>
  </si>
  <si>
    <t>112.3362</t>
  </si>
  <si>
    <t>-15.2991</t>
  </si>
  <si>
    <t>-95.0112</t>
  </si>
  <si>
    <t>86.6678</t>
  </si>
  <si>
    <t>-139.6955</t>
  </si>
  <si>
    <t>44.5442</t>
  </si>
  <si>
    <t>-73.4346</t>
  </si>
  <si>
    <t>-48.4503</t>
  </si>
  <si>
    <t>-99.9978</t>
  </si>
  <si>
    <t>-37.3934</t>
  </si>
  <si>
    <t>31.4093</t>
  </si>
  <si>
    <t>34.0712</t>
  </si>
  <si>
    <t>123.0237</t>
  </si>
  <si>
    <t>-21.5633</t>
  </si>
  <si>
    <t>-12.8487</t>
  </si>
  <si>
    <t>-33.3756</t>
  </si>
  <si>
    <t>7.8261</t>
  </si>
  <si>
    <t>-61.8490</t>
  </si>
  <si>
    <t>-123.7835</t>
  </si>
  <si>
    <t>88.5686</t>
  </si>
  <si>
    <t>-161.7382</t>
  </si>
  <si>
    <t>-69.4080</t>
  </si>
  <si>
    <t>-8.1703</t>
  </si>
  <si>
    <t>-49.1524</t>
  </si>
  <si>
    <t>14.1164</t>
  </si>
  <si>
    <t>27.7870</t>
  </si>
  <si>
    <t>8.2288</t>
  </si>
  <si>
    <t>-13.8485</t>
  </si>
  <si>
    <t>119.2071</t>
  </si>
  <si>
    <t>25.5003</t>
  </si>
  <si>
    <t>-47.5718</t>
  </si>
  <si>
    <t>69.4106</t>
  </si>
  <si>
    <t>61.7368</t>
  </si>
  <si>
    <t>-6.8964</t>
  </si>
  <si>
    <t>-35.5418</t>
  </si>
  <si>
    <t>-0.1148</t>
  </si>
  <si>
    <t>-127.6784</t>
  </si>
  <si>
    <t>-41.4279</t>
  </si>
  <si>
    <t>178.8694</t>
  </si>
  <si>
    <t>-0.9333</t>
  </si>
  <si>
    <t>124.8495</t>
  </si>
  <si>
    <t>-58.2175</t>
  </si>
  <si>
    <t>7.2699</t>
  </si>
  <si>
    <t>83.3287</t>
  </si>
  <si>
    <t>-84.2738</t>
  </si>
  <si>
    <t>-33.2637</t>
  </si>
  <si>
    <t>45.4122</t>
  </si>
  <si>
    <t>74.3356</t>
  </si>
  <si>
    <t>112.5528</t>
  </si>
  <si>
    <t>-53.3015</t>
  </si>
  <si>
    <t>11.4861</t>
  </si>
  <si>
    <t>-22.5519</t>
  </si>
  <si>
    <t>60.7110</t>
  </si>
  <si>
    <t>61.6970</t>
  </si>
  <si>
    <t>164.5493</t>
  </si>
  <si>
    <t>-75.2867</t>
  </si>
  <si>
    <t>-163.4000</t>
  </si>
  <si>
    <t>87.1386</t>
  </si>
  <si>
    <t>-114.9680</t>
  </si>
  <si>
    <t>51.2486</t>
  </si>
  <si>
    <t>-41.4882</t>
  </si>
  <si>
    <t>-19.8201</t>
  </si>
  <si>
    <t>2.4374</t>
  </si>
  <si>
    <t>-13.5610</t>
  </si>
  <si>
    <t>-52.5469</t>
  </si>
  <si>
    <t>51.4883</t>
  </si>
  <si>
    <t>105.7445</t>
  </si>
  <si>
    <t>21.5738</t>
  </si>
  <si>
    <t>-95.1501</t>
  </si>
  <si>
    <t>-31.8174</t>
  </si>
  <si>
    <t>59.5716</t>
  </si>
  <si>
    <t>-76.0304</t>
  </si>
  <si>
    <t>112.9276</t>
  </si>
  <si>
    <t>47.5481</t>
  </si>
  <si>
    <t>-97.4831</t>
  </si>
  <si>
    <t>77.8751</t>
  </si>
  <si>
    <t>144.0400</t>
  </si>
  <si>
    <t>-56.6674</t>
  </si>
  <si>
    <t>-50.0426</t>
  </si>
  <si>
    <t>62.0999</t>
  </si>
  <si>
    <t>-9.5972</t>
  </si>
  <si>
    <t>57.9908</t>
  </si>
  <si>
    <t>-117.5288</t>
  </si>
  <si>
    <t>73.1274</t>
  </si>
  <si>
    <t>-63.9399</t>
  </si>
  <si>
    <t>-28.6949</t>
  </si>
  <si>
    <t>-110.5161</t>
  </si>
  <si>
    <t>-28.9152</t>
  </si>
  <si>
    <t>114.3750</t>
  </si>
  <si>
    <t>83.9488</t>
  </si>
  <si>
    <t>131.1197</t>
  </si>
  <si>
    <t>52.1635</t>
  </si>
  <si>
    <t>10.8296</t>
  </si>
  <si>
    <t>36.5185</t>
  </si>
  <si>
    <t>-71.9718</t>
  </si>
  <si>
    <t>-10.8232</t>
  </si>
  <si>
    <t>144.0982</t>
  </si>
  <si>
    <t>-37.9195</t>
  </si>
  <si>
    <t>-99.3768</t>
  </si>
  <si>
    <t>-7.2984</t>
  </si>
  <si>
    <t>-44.5918</t>
  </si>
  <si>
    <t>13.6845</t>
  </si>
  <si>
    <t>-126.4199</t>
  </si>
  <si>
    <t>-70.6428</t>
  </si>
  <si>
    <t>166.3723</t>
  </si>
  <si>
    <t>-19.3929</t>
  </si>
  <si>
    <t>-10.2537</t>
  </si>
  <si>
    <t>-32.5141</t>
  </si>
  <si>
    <t>-170.9566</t>
  </si>
  <si>
    <t>59.3783</t>
  </si>
  <si>
    <t>74.9628</t>
  </si>
  <si>
    <t>-36.2517</t>
  </si>
  <si>
    <t>72.4728</t>
  </si>
  <si>
    <t>-55.9854</t>
  </si>
  <si>
    <t>-149.8958</t>
  </si>
  <si>
    <t>27.3259</t>
  </si>
  <si>
    <t>-116.2066</t>
  </si>
  <si>
    <t>27.7357</t>
  </si>
  <si>
    <t>-170.5766</t>
  </si>
  <si>
    <t>23.2023</t>
  </si>
  <si>
    <t>92.2763</t>
  </si>
  <si>
    <t>87.5129</t>
  </si>
  <si>
    <t>-65.0922</t>
  </si>
  <si>
    <t>81.1975</t>
  </si>
  <si>
    <t>137.0497</t>
  </si>
  <si>
    <t>55.9190</t>
  </si>
  <si>
    <t>-39.5780</t>
  </si>
  <si>
    <t>-15.3314</t>
  </si>
  <si>
    <t>22.3970</t>
  </si>
  <si>
    <t>-55.3603</t>
  </si>
  <si>
    <t>79.1276</t>
  </si>
  <si>
    <t>8.3934</t>
  </si>
  <si>
    <t>-165.2068</t>
  </si>
  <si>
    <t>27.4990</t>
  </si>
  <si>
    <t>-98.0697</t>
  </si>
  <si>
    <t>14.6870</t>
  </si>
  <si>
    <t>-33.9771</t>
  </si>
  <si>
    <t>19.3645</t>
  </si>
  <si>
    <t>-149.4523</t>
  </si>
  <si>
    <t>38.0858</t>
  </si>
  <si>
    <t>-149.2970</t>
  </si>
  <si>
    <t>4.3790</t>
  </si>
  <si>
    <t>97.6354</t>
  </si>
  <si>
    <t>-28.8542</t>
  </si>
  <si>
    <t>119.5019</t>
  </si>
  <si>
    <t>-17.5843</t>
  </si>
  <si>
    <t>-151.1609</t>
  </si>
  <si>
    <t>15.5281</t>
  </si>
  <si>
    <t>-170.3941</t>
  </si>
  <si>
    <t>-83.8983</t>
  </si>
  <si>
    <t>-128.1642</t>
  </si>
  <si>
    <t>-25.4823</t>
  </si>
  <si>
    <t>169.1921</t>
  </si>
  <si>
    <t>-69.4930</t>
  </si>
  <si>
    <t>-118.9742</t>
  </si>
  <si>
    <t>-8.0714</t>
  </si>
  <si>
    <t>-158.0304</t>
  </si>
  <si>
    <t>-59.9919</t>
  </si>
  <si>
    <t>-162.9143</t>
  </si>
  <si>
    <t>-47.5239</t>
  </si>
  <si>
    <t>58.4771</t>
  </si>
  <si>
    <t>-39.8052</t>
  </si>
  <si>
    <t>-126.4073</t>
  </si>
  <si>
    <t>54.0537</t>
  </si>
  <si>
    <t>-145.9922</t>
  </si>
  <si>
    <t>7.0591</t>
  </si>
  <si>
    <t>46.7188</t>
  </si>
  <si>
    <t>-50.3633</t>
  </si>
  <si>
    <t>99.5834</t>
  </si>
  <si>
    <t>51.9327</t>
  </si>
  <si>
    <t>-102.4309</t>
  </si>
  <si>
    <t>-36.4870</t>
  </si>
  <si>
    <t>14.5024</t>
  </si>
  <si>
    <t>27.2654</t>
  </si>
  <si>
    <t>-34.1042</t>
  </si>
  <si>
    <t>15.2159</t>
  </si>
  <si>
    <t>-55.6814</t>
  </si>
  <si>
    <t>27.4437</t>
  </si>
  <si>
    <t>43.3224</t>
  </si>
  <si>
    <t>-58.6928</t>
  </si>
  <si>
    <t>165.8667</t>
  </si>
  <si>
    <t>-38.0737</t>
  </si>
  <si>
    <t>56.0723</t>
  </si>
  <si>
    <t>-50.6778</t>
  </si>
  <si>
    <t>-102.0410</t>
  </si>
  <si>
    <t>-88.7760</t>
  </si>
  <si>
    <t>-125.1628</t>
  </si>
  <si>
    <t>69.6910</t>
  </si>
  <si>
    <t>148.6549</t>
  </si>
  <si>
    <t>-82.2616</t>
  </si>
  <si>
    <t>-141.8250</t>
  </si>
  <si>
    <t>2.7286</t>
  </si>
  <si>
    <t>-99.5442</t>
  </si>
  <si>
    <t>84.2498</t>
  </si>
  <si>
    <t>-60.8861</t>
  </si>
  <si>
    <t>8.7621</t>
  </si>
  <si>
    <t>-2.9218</t>
  </si>
  <si>
    <t>-59.0753</t>
  </si>
  <si>
    <t>68.4886</t>
  </si>
  <si>
    <t>5.7218</t>
  </si>
  <si>
    <t>-96.5806</t>
  </si>
  <si>
    <t>-38.3158</t>
  </si>
  <si>
    <t>-38.3257</t>
  </si>
  <si>
    <t>-87.4042</t>
  </si>
  <si>
    <t>-127.3269</t>
  </si>
  <si>
    <t>-77.3648</t>
  </si>
  <si>
    <t>30.9744</t>
  </si>
  <si>
    <t>-73.0477</t>
  </si>
  <si>
    <t>124.7969</t>
  </si>
  <si>
    <t>-27.5760</t>
  </si>
  <si>
    <t>-111.3158</t>
  </si>
  <si>
    <t>49.9465</t>
  </si>
  <si>
    <t>-30.0236</t>
  </si>
  <si>
    <t>-50.6856</t>
  </si>
  <si>
    <t>-9.6236</t>
  </si>
  <si>
    <t>84.1122</t>
  </si>
  <si>
    <t>-87.8990</t>
  </si>
  <si>
    <t>49.9197</t>
  </si>
  <si>
    <t>79.4653</t>
  </si>
  <si>
    <t>-44.6254</t>
  </si>
  <si>
    <t>44.0876</t>
  </si>
  <si>
    <t>-57.3005</t>
  </si>
  <si>
    <t>-23.6888</t>
  </si>
  <si>
    <t>-47.5698</t>
  </si>
  <si>
    <t>-81.3143</t>
  </si>
  <si>
    <t>-80.2675</t>
  </si>
  <si>
    <t>-80.5726</t>
  </si>
  <si>
    <t>-70.3213</t>
  </si>
  <si>
    <t>-61.9179</t>
  </si>
  <si>
    <t>48.2512</t>
  </si>
  <si>
    <t>-106.6383</t>
  </si>
  <si>
    <t>-74.6749</t>
  </si>
  <si>
    <t>-159.7164</t>
  </si>
  <si>
    <t>-46.0132</t>
  </si>
  <si>
    <t>-8.5335</t>
  </si>
  <si>
    <t>9.3294</t>
  </si>
  <si>
    <t>-71.5299</t>
  </si>
  <si>
    <t>5.0095</t>
  </si>
  <si>
    <t>-113.8279</t>
  </si>
  <si>
    <t>-70.8094</t>
  </si>
  <si>
    <t>75.1094</t>
  </si>
  <si>
    <t>-43.2472</t>
  </si>
  <si>
    <t>163.3821</t>
  </si>
  <si>
    <t>28.1016</t>
  </si>
  <si>
    <t>167.1982</t>
  </si>
  <si>
    <t>-56.2187</t>
  </si>
  <si>
    <t>27.6037</t>
  </si>
  <si>
    <t>65.0538</t>
  </si>
  <si>
    <t>-146.3887</t>
  </si>
  <si>
    <t>-30.2990</t>
  </si>
  <si>
    <t>153.4529</t>
  </si>
  <si>
    <t>72.7626</t>
  </si>
  <si>
    <t>105.8210</t>
  </si>
  <si>
    <t>61.8446</t>
  </si>
  <si>
    <t>115.5236</t>
  </si>
  <si>
    <t>-31.1792</t>
  </si>
  <si>
    <t>-46.0480</t>
  </si>
  <si>
    <t>-43.2004</t>
  </si>
  <si>
    <t>134.8572</t>
  </si>
  <si>
    <t>-79.6372</t>
  </si>
  <si>
    <t>-111.7492</t>
  </si>
  <si>
    <t>66.8380</t>
  </si>
  <si>
    <t>-175.1681</t>
  </si>
  <si>
    <t>13.7736</t>
  </si>
  <si>
    <t>12.9911</t>
  </si>
  <si>
    <t>-66.2696</t>
  </si>
  <si>
    <t>-82.0579</t>
  </si>
  <si>
    <t>5.1238</t>
  </si>
  <si>
    <t>-67.8583</t>
  </si>
  <si>
    <t>-85.8715</t>
  </si>
  <si>
    <t>-162.7167</t>
  </si>
  <si>
    <t>86.2679</t>
  </si>
  <si>
    <t>-50.7895</t>
  </si>
  <si>
    <t>21.3104</t>
  </si>
  <si>
    <t>-80.5292</t>
  </si>
  <si>
    <t>-2.2841</t>
  </si>
  <si>
    <t>23.4152</t>
  </si>
  <si>
    <t>-23.4709</t>
  </si>
  <si>
    <t>54.5265</t>
  </si>
  <si>
    <t>44.5052</t>
  </si>
  <si>
    <t>-178.7281</t>
  </si>
  <si>
    <t>-8.1413</t>
  </si>
  <si>
    <t>92.8681</t>
  </si>
  <si>
    <t>0.7118</t>
  </si>
  <si>
    <t>108.5142</t>
  </si>
  <si>
    <t>43.2255</t>
  </si>
  <si>
    <t>-143.0415</t>
  </si>
  <si>
    <t>61.8047</t>
  </si>
  <si>
    <t>-72.1219</t>
  </si>
  <si>
    <t>-42.6929</t>
  </si>
  <si>
    <t>46.2525</t>
  </si>
  <si>
    <t>-78.0755</t>
  </si>
  <si>
    <t>-11.8927</t>
  </si>
  <si>
    <t>65.5547</t>
  </si>
  <si>
    <t>-128.3673</t>
  </si>
  <si>
    <t>-19.5574</t>
  </si>
  <si>
    <t>-65.5493</t>
  </si>
  <si>
    <t>17.7083</t>
  </si>
  <si>
    <t>-162.0043</t>
  </si>
  <si>
    <t>-52.1686</t>
  </si>
  <si>
    <t>-175.6269</t>
  </si>
  <si>
    <t>-84.2375</t>
  </si>
  <si>
    <t>76.9339</t>
  </si>
  <si>
    <t>-7.5990</t>
  </si>
  <si>
    <t>-78.7489</t>
  </si>
  <si>
    <t>36.6210</t>
  </si>
  <si>
    <t>97.2194</t>
  </si>
  <si>
    <t>-7.9899</t>
  </si>
  <si>
    <t>-23.5723</t>
  </si>
  <si>
    <t>-68.5749</t>
  </si>
  <si>
    <t>106.2112</t>
  </si>
  <si>
    <t>-86.6472</t>
  </si>
  <si>
    <t>76.1641</t>
  </si>
  <si>
    <t>-20.0730</t>
  </si>
  <si>
    <t>169.5863</t>
  </si>
  <si>
    <t>8.0303</t>
  </si>
  <si>
    <t>137.6073</t>
  </si>
  <si>
    <t>-58.6706</t>
  </si>
  <si>
    <t>162.7699</t>
  </si>
  <si>
    <t>63.6092</t>
  </si>
  <si>
    <t>-40.4852</t>
  </si>
  <si>
    <t>69.9178</t>
  </si>
  <si>
    <t>-25.7593</t>
  </si>
  <si>
    <t>27.3884</t>
  </si>
  <si>
    <t>-85.6938</t>
  </si>
  <si>
    <t>5.5363</t>
  </si>
  <si>
    <t>-6.3698</t>
  </si>
  <si>
    <t>-47.9174</t>
  </si>
  <si>
    <t>-44.4673</t>
  </si>
  <si>
    <t>-58.2884</t>
  </si>
  <si>
    <t>-53.9833</t>
  </si>
  <si>
    <t>44.4715</t>
  </si>
  <si>
    <t>61.1203</t>
  </si>
  <si>
    <t>-73.5735</t>
  </si>
  <si>
    <t>153.5290</t>
  </si>
  <si>
    <t>-39.3967</t>
  </si>
  <si>
    <t>15.6452</t>
  </si>
  <si>
    <t>-46.8183</t>
  </si>
  <si>
    <t>81.9142</t>
  </si>
  <si>
    <t>57.3299</t>
  </si>
  <si>
    <t>-54.7962</t>
  </si>
  <si>
    <t>86.1935</t>
  </si>
  <si>
    <t>59.4987</t>
  </si>
  <si>
    <t>59.8543</t>
  </si>
  <si>
    <t>-132.3865</t>
  </si>
  <si>
    <t>-41.7908</t>
  </si>
  <si>
    <t>84.2001</t>
  </si>
  <si>
    <t>-3.7401</t>
  </si>
  <si>
    <t>43.2693</t>
  </si>
  <si>
    <t>-27.0196</t>
  </si>
  <si>
    <t>-24.0810</t>
  </si>
  <si>
    <t>-53.7107</t>
  </si>
  <si>
    <t>-60.5951</t>
  </si>
  <si>
    <t>65.9866</t>
  </si>
  <si>
    <t>135.5421</t>
  </si>
  <si>
    <t>-77.8133</t>
  </si>
  <si>
    <t>-89.1179</t>
  </si>
  <si>
    <t>22.3036</t>
  </si>
  <si>
    <t>59.4689</t>
  </si>
  <si>
    <t>-10.2023</t>
  </si>
  <si>
    <t>76.7946</t>
  </si>
  <si>
    <t>-9.1011</t>
  </si>
  <si>
    <t>102.9819</t>
  </si>
  <si>
    <t>-85.2973</t>
  </si>
  <si>
    <t>149.0859</t>
  </si>
  <si>
    <t>-13.1977</t>
  </si>
  <si>
    <t>107.4226</t>
  </si>
  <si>
    <t>-77.3270</t>
  </si>
  <si>
    <t>-33.6001</t>
  </si>
  <si>
    <t>-36.3388</t>
  </si>
  <si>
    <t>69.5488</t>
  </si>
  <si>
    <t>-35.4951</t>
  </si>
  <si>
    <t>105.3877</t>
  </si>
  <si>
    <t>-50.7255</t>
  </si>
  <si>
    <t>49.2993</t>
  </si>
  <si>
    <t>-85.6005</t>
  </si>
  <si>
    <t>35.8883</t>
  </si>
  <si>
    <t>-15.3475</t>
  </si>
  <si>
    <t>13.3516</t>
  </si>
  <si>
    <t>36.4573</t>
  </si>
  <si>
    <t>-60.8255</t>
  </si>
  <si>
    <t>40.9268</t>
  </si>
  <si>
    <t>-145.2990</t>
  </si>
  <si>
    <t>-66.0724</t>
  </si>
  <si>
    <t>48.2597</t>
  </si>
  <si>
    <t>24.1971</t>
  </si>
  <si>
    <t>18.6930</t>
  </si>
  <si>
    <t>46.8609</t>
  </si>
  <si>
    <t>37.8235</t>
  </si>
  <si>
    <t>-56.7854</t>
  </si>
  <si>
    <t>25.8691</t>
  </si>
  <si>
    <t>-35.4329</t>
  </si>
  <si>
    <t>9.9153</t>
  </si>
  <si>
    <t>63.6965</t>
  </si>
  <si>
    <t>-131.1519</t>
  </si>
  <si>
    <t>-43.4171</t>
  </si>
  <si>
    <t>160.8423</t>
  </si>
  <si>
    <t>-82.7058</t>
  </si>
  <si>
    <t>-62.7040</t>
  </si>
  <si>
    <t>-75.3211</t>
  </si>
  <si>
    <t>-58.7749</t>
  </si>
  <si>
    <t>-50.7085</t>
  </si>
  <si>
    <t>-85.4515</t>
  </si>
  <si>
    <t>70.7101</t>
  </si>
  <si>
    <t>-175.9865</t>
  </si>
  <si>
    <t>-71.1004</t>
  </si>
  <si>
    <t>-147.7570</t>
  </si>
  <si>
    <t>-76.8972</t>
  </si>
  <si>
    <t>-3.6358</t>
  </si>
  <si>
    <t>39.7998</t>
  </si>
  <si>
    <t>58.7461</t>
  </si>
  <si>
    <t>78.5954</t>
  </si>
  <si>
    <t>-173.0016</t>
  </si>
  <si>
    <t>-53.5264</t>
  </si>
  <si>
    <t>13.0019</t>
  </si>
  <si>
    <t>49.3049</t>
  </si>
  <si>
    <t>-55.6493</t>
  </si>
  <si>
    <t>72.9981</t>
  </si>
  <si>
    <t>12.4029</t>
  </si>
  <si>
    <t>80.4177</t>
  </si>
  <si>
    <t>-39.9632</t>
  </si>
  <si>
    <t>-51.0247</t>
  </si>
  <si>
    <t>1.8063</t>
  </si>
  <si>
    <t>5.2922</t>
  </si>
  <si>
    <t>172.6376</t>
  </si>
  <si>
    <t>54.3099</t>
  </si>
  <si>
    <t>-98.9410</t>
  </si>
  <si>
    <t>-3.8161</t>
  </si>
  <si>
    <t>-159.7257</t>
  </si>
  <si>
    <t>-69.8431</t>
  </si>
  <si>
    <t>-171.5361</t>
  </si>
  <si>
    <t>9.3528</t>
  </si>
  <si>
    <t>120.0011</t>
  </si>
  <si>
    <t>-74.3396</t>
  </si>
  <si>
    <t>-150.6339</t>
  </si>
  <si>
    <t>-62.0623</t>
  </si>
  <si>
    <t>133.8872</t>
  </si>
  <si>
    <t>-53.1354</t>
  </si>
  <si>
    <t>-164.4880</t>
  </si>
  <si>
    <t>85.0389</t>
  </si>
  <si>
    <t>-138.3248</t>
  </si>
  <si>
    <t>48.9598</t>
  </si>
  <si>
    <t>-160.9134</t>
  </si>
  <si>
    <t>44.3639</t>
  </si>
  <si>
    <t>134.3967</t>
  </si>
  <si>
    <t>-33.1628</t>
  </si>
  <si>
    <t>143.5570</t>
  </si>
  <si>
    <t>-61.1518</t>
  </si>
  <si>
    <t>140.8152</t>
  </si>
  <si>
    <t>-87.8115</t>
  </si>
  <si>
    <t>97.0492</t>
  </si>
  <si>
    <t>-48.3575</t>
  </si>
  <si>
    <t>115.8351</t>
  </si>
  <si>
    <t>-59.5674</t>
  </si>
  <si>
    <t>11.3653</t>
  </si>
  <si>
    <t>-37.2055</t>
  </si>
  <si>
    <t>79.4485</t>
  </si>
  <si>
    <t>38.1095</t>
  </si>
  <si>
    <t>164.7654</t>
  </si>
  <si>
    <t>-20.0991</t>
  </si>
  <si>
    <t>20.1825</t>
  </si>
  <si>
    <t>89.3898</t>
  </si>
  <si>
    <t>-93.1034</t>
  </si>
  <si>
    <t>85.8393</t>
  </si>
  <si>
    <t>74.4208</t>
  </si>
  <si>
    <t>29.5637</t>
  </si>
  <si>
    <t>-162.3390</t>
  </si>
  <si>
    <t>13.5274</t>
  </si>
  <si>
    <t>-108.9153</t>
  </si>
  <si>
    <t>49.8896</t>
  </si>
  <si>
    <t>46.7765</t>
  </si>
  <si>
    <t>61.9951</t>
  </si>
  <si>
    <t>28.0639</t>
  </si>
  <si>
    <t>88.3545</t>
  </si>
  <si>
    <t>123.8561</t>
  </si>
  <si>
    <t>-1.4258</t>
  </si>
  <si>
    <t>112.8174</t>
  </si>
  <si>
    <t>-18.3801</t>
  </si>
  <si>
    <t>-175.0496</t>
  </si>
  <si>
    <t>72.6206</t>
  </si>
  <si>
    <t>46.1393</t>
  </si>
  <si>
    <t>-10.0844</t>
  </si>
  <si>
    <t>-0.6042</t>
  </si>
  <si>
    <t>73.6225</t>
  </si>
  <si>
    <t>125.9589</t>
  </si>
  <si>
    <t>-67.5109</t>
  </si>
  <si>
    <t>-162.0537</t>
  </si>
  <si>
    <t>-4.4200</t>
  </si>
  <si>
    <t>-44.1619</t>
  </si>
  <si>
    <t>-31.9299</t>
  </si>
  <si>
    <t>48.9536</t>
  </si>
  <si>
    <t>-84.5861</t>
  </si>
  <si>
    <t>-56.9044</t>
  </si>
  <si>
    <t>-20.6577</t>
  </si>
  <si>
    <t>-86.8013</t>
  </si>
  <si>
    <t>-56.5959</t>
  </si>
  <si>
    <t>153.5316</t>
  </si>
  <si>
    <t>20.6546</t>
  </si>
  <si>
    <t>79.9499</t>
  </si>
  <si>
    <t>-19.7553</t>
  </si>
  <si>
    <t>54.2697</t>
  </si>
  <si>
    <t>68.0702</t>
  </si>
  <si>
    <t>98.5995</t>
  </si>
  <si>
    <t>25.9640</t>
  </si>
  <si>
    <t>-133.3578</t>
  </si>
  <si>
    <t>-86.7010</t>
  </si>
  <si>
    <t>-140.0339</t>
  </si>
  <si>
    <t>-35.9441</t>
  </si>
  <si>
    <t>-133.4183</t>
  </si>
  <si>
    <t>62.9176</t>
  </si>
  <si>
    <t>116.0170</t>
  </si>
  <si>
    <t>69.7549</t>
  </si>
  <si>
    <t>-126.8123</t>
  </si>
  <si>
    <t>-0.5355</t>
  </si>
  <si>
    <t>120.9793</t>
  </si>
  <si>
    <t>57.9277</t>
  </si>
  <si>
    <t>-106.3278</t>
  </si>
  <si>
    <t>-86.1770</t>
  </si>
  <si>
    <t>112.1068</t>
  </si>
  <si>
    <t>-9.2728</t>
  </si>
  <si>
    <t>-173.0699</t>
  </si>
  <si>
    <t>-84.3224</t>
  </si>
  <si>
    <t>76.1163</t>
  </si>
  <si>
    <t>-27.8806</t>
  </si>
  <si>
    <t>-32.4778</t>
  </si>
  <si>
    <t>-48.8409</t>
  </si>
  <si>
    <t>171.3320</t>
  </si>
  <si>
    <t>28.6270</t>
  </si>
  <si>
    <t>162.8857</t>
  </si>
  <si>
    <t>-7.2601</t>
  </si>
  <si>
    <t>52.5120</t>
  </si>
  <si>
    <t>-16.8576</t>
  </si>
  <si>
    <t>-8.0033</t>
  </si>
  <si>
    <t>-42.1652</t>
  </si>
  <si>
    <t>-40.9587</t>
  </si>
  <si>
    <t>4.2073</t>
  </si>
  <si>
    <t>-152.1320</t>
  </si>
  <si>
    <t>7.8031</t>
  </si>
  <si>
    <t>43.4739</t>
  </si>
  <si>
    <t>-6.8792</t>
  </si>
  <si>
    <t>165.0017</t>
  </si>
  <si>
    <t>60.6073</t>
  </si>
  <si>
    <t>74.3625</t>
  </si>
  <si>
    <t>-87.2317</t>
  </si>
  <si>
    <t>143.0006</t>
  </si>
  <si>
    <t>38.8250</t>
  </si>
  <si>
    <t>-51.8451</t>
  </si>
  <si>
    <t>-53.5255</t>
  </si>
  <si>
    <t>-1.9486</t>
  </si>
  <si>
    <t>71.1182</t>
  </si>
  <si>
    <t>-120.1134</t>
  </si>
  <si>
    <t>-78.4902</t>
  </si>
  <si>
    <t>-101.3255</t>
  </si>
  <si>
    <t>35.0933</t>
  </si>
  <si>
    <t>-170.9221</t>
  </si>
  <si>
    <t>67.0296</t>
  </si>
  <si>
    <t>-18.7078</t>
  </si>
  <si>
    <t>-29.6573</t>
  </si>
  <si>
    <t>-37.6029</t>
  </si>
  <si>
    <t>-9.1109</t>
  </si>
  <si>
    <t>76.7620</t>
  </si>
  <si>
    <t>50.7076</t>
  </si>
  <si>
    <t>-21.7653</t>
  </si>
  <si>
    <t>48.3520</t>
  </si>
  <si>
    <t>-54.5600</t>
  </si>
  <si>
    <t>-39.7867</t>
  </si>
  <si>
    <t>81.5636</t>
  </si>
  <si>
    <t>36.5436</t>
  </si>
  <si>
    <t>71.7597</t>
  </si>
  <si>
    <t>32.8663</t>
  </si>
  <si>
    <t>-79.9920</t>
  </si>
  <si>
    <t>-0.1019</t>
  </si>
  <si>
    <t>99.8069</t>
  </si>
  <si>
    <t>-56.8231</t>
  </si>
  <si>
    <t>71.5841</t>
  </si>
  <si>
    <t>-61.9668</t>
  </si>
  <si>
    <t>113.8899</t>
  </si>
  <si>
    <t>-63.8035</t>
  </si>
  <si>
    <t>61.4571</t>
  </si>
  <si>
    <t>-31.7275</t>
  </si>
  <si>
    <t>-28.5676</t>
  </si>
  <si>
    <t>69.9959</t>
  </si>
  <si>
    <t>-10.5335</t>
  </si>
  <si>
    <t>-63.1722</t>
  </si>
  <si>
    <t>145.3756</t>
  </si>
  <si>
    <t>35.7913</t>
  </si>
  <si>
    <t>6.3765</t>
  </si>
  <si>
    <t>-58.8531</t>
  </si>
  <si>
    <t>45.0498</t>
  </si>
  <si>
    <t>49.4007</t>
  </si>
  <si>
    <t>-106.1531</t>
  </si>
  <si>
    <t>8.4222</t>
  </si>
  <si>
    <t>-69.7522</t>
  </si>
  <si>
    <t>-6.5166</t>
  </si>
  <si>
    <t>-143.3822</t>
  </si>
  <si>
    <t>-43.1797</t>
  </si>
  <si>
    <t>-64.4769</t>
  </si>
  <si>
    <t>45.0470</t>
  </si>
  <si>
    <t>69.7014</t>
  </si>
  <si>
    <t>-15.8011</t>
  </si>
  <si>
    <t>138.7785</t>
  </si>
  <si>
    <t>-30.8564</t>
  </si>
  <si>
    <t>26.7562</t>
  </si>
  <si>
    <t>16.0296</t>
  </si>
  <si>
    <t>-36.3349</t>
  </si>
  <si>
    <t>81.3962</t>
  </si>
  <si>
    <t>-79.6193</t>
  </si>
  <si>
    <t>77.5436</t>
  </si>
  <si>
    <t>-156.2479</t>
  </si>
  <si>
    <t>51.8047</t>
  </si>
  <si>
    <t>66.0193</t>
  </si>
  <si>
    <t>37.5523</t>
  </si>
  <si>
    <t>145.1973</t>
  </si>
  <si>
    <t>30.5875</t>
  </si>
  <si>
    <t>132.7309</t>
  </si>
  <si>
    <t>-86.9276</t>
  </si>
  <si>
    <t>120.7534</t>
  </si>
  <si>
    <t>-44.6569</t>
  </si>
  <si>
    <t>129.8625</t>
  </si>
  <si>
    <t>53.8186</t>
  </si>
  <si>
    <t>-158.4252</t>
  </si>
  <si>
    <t>26.0226</t>
  </si>
  <si>
    <t>103.2098</t>
  </si>
  <si>
    <t>14.1508</t>
  </si>
  <si>
    <t>-54.4659</t>
  </si>
  <si>
    <t>22.8356</t>
  </si>
  <si>
    <t>-12.8730</t>
  </si>
  <si>
    <t>79.2334</t>
  </si>
  <si>
    <t>166.4549</t>
  </si>
  <si>
    <t>-9.0289</t>
  </si>
  <si>
    <t>-69.4256</t>
  </si>
  <si>
    <t>71.2228</t>
  </si>
  <si>
    <t>-86.3993</t>
  </si>
  <si>
    <t>-29.6864</t>
  </si>
  <si>
    <t>-88.6901</t>
  </si>
  <si>
    <t>-19.5759</t>
  </si>
  <si>
    <t>-39.5531</t>
  </si>
  <si>
    <t>81.1000</t>
  </si>
  <si>
    <t>113.2247</t>
  </si>
  <si>
    <t>32.7849</t>
  </si>
  <si>
    <t>30.9550</t>
  </si>
  <si>
    <t>49.0480</t>
  </si>
  <si>
    <t>4.8896</t>
  </si>
  <si>
    <t>-13.9612</t>
  </si>
  <si>
    <t>89.5342</t>
  </si>
  <si>
    <t>64.4113</t>
  </si>
  <si>
    <t>-121.7647</t>
  </si>
  <si>
    <t>-77.7986</t>
  </si>
  <si>
    <t>-155.4098</t>
  </si>
  <si>
    <t>16.2591</t>
  </si>
  <si>
    <t>175.1485</t>
  </si>
  <si>
    <t>30.6749</t>
  </si>
  <si>
    <t>78.4743</t>
  </si>
  <si>
    <t>-18.0675</t>
  </si>
  <si>
    <t>76.7802</t>
  </si>
  <si>
    <t>-89.7784</t>
  </si>
  <si>
    <t>-163.7965</t>
  </si>
  <si>
    <t>-30.5476</t>
  </si>
  <si>
    <t>63.5282</t>
  </si>
  <si>
    <t>-16.8317</t>
  </si>
  <si>
    <t>-114.4787</t>
  </si>
  <si>
    <t>42.6126</t>
  </si>
  <si>
    <t>-69.5408</t>
  </si>
  <si>
    <t>44.5289</t>
  </si>
  <si>
    <t>31.1002</t>
  </si>
  <si>
    <t>84.7161</t>
  </si>
  <si>
    <t>77.1114</t>
  </si>
  <si>
    <t>-64.0954</t>
  </si>
  <si>
    <t>-155.4074</t>
  </si>
  <si>
    <t>20.3388</t>
  </si>
  <si>
    <t>-109.3313</t>
  </si>
  <si>
    <t>-14.5017</t>
  </si>
  <si>
    <t>-20.1486</t>
  </si>
  <si>
    <t>-35.3643</t>
  </si>
  <si>
    <t>134.8909</t>
  </si>
  <si>
    <t>1.3295</t>
  </si>
  <si>
    <t>83.6357</t>
  </si>
  <si>
    <t>88.7652</t>
  </si>
  <si>
    <t>-178.2706</t>
  </si>
  <si>
    <t>54.4930</t>
  </si>
  <si>
    <t>24.5979</t>
  </si>
  <si>
    <t>49.7431</t>
  </si>
  <si>
    <t>156.3216</t>
  </si>
  <si>
    <t>-86.9357</t>
  </si>
  <si>
    <t>-84.9718</t>
  </si>
  <si>
    <t>-59.6078</t>
  </si>
  <si>
    <t>157.0200</t>
  </si>
  <si>
    <t>-10.9298</t>
  </si>
  <si>
    <t>-89.0306</t>
  </si>
  <si>
    <t>-54.3571</t>
  </si>
  <si>
    <t>-133.1938</t>
  </si>
  <si>
    <t>-82.1754</t>
  </si>
  <si>
    <t>-169.4219</t>
  </si>
  <si>
    <t>-11.3631</t>
  </si>
  <si>
    <t>83.0819</t>
  </si>
  <si>
    <t>-48.3838</t>
  </si>
  <si>
    <t>-163.1177</t>
  </si>
  <si>
    <t>7.0557</t>
  </si>
  <si>
    <t>-122.6525</t>
  </si>
  <si>
    <t>-1.0776</t>
  </si>
  <si>
    <t>51.9075</t>
  </si>
  <si>
    <t>-81.5733</t>
  </si>
  <si>
    <t>-17.3787</t>
  </si>
  <si>
    <t>75.2109</t>
  </si>
  <si>
    <t>170.3371</t>
  </si>
  <si>
    <t>-21.4288</t>
  </si>
  <si>
    <t>-164.2915</t>
  </si>
  <si>
    <t>-49.1450</t>
  </si>
  <si>
    <t>-120.0898</t>
  </si>
  <si>
    <t>-87.3835</t>
  </si>
  <si>
    <t>60.4609</t>
  </si>
  <si>
    <t>69.6413</t>
  </si>
  <si>
    <t>1.4327</t>
  </si>
  <si>
    <t>19.9466</t>
  </si>
  <si>
    <t>-104.4665</t>
  </si>
  <si>
    <t>19.5573</t>
  </si>
  <si>
    <t>171.8697</t>
  </si>
  <si>
    <t>-46.9621</t>
  </si>
  <si>
    <t>87.6972</t>
  </si>
  <si>
    <t>-34.4433</t>
  </si>
  <si>
    <t>-4.0669</t>
  </si>
  <si>
    <t>-7.8199</t>
  </si>
  <si>
    <t>-78.2150</t>
  </si>
  <si>
    <t>11.6611</t>
  </si>
  <si>
    <t>44.7505</t>
  </si>
  <si>
    <t>-12.4175</t>
  </si>
  <si>
    <t>135.9866</t>
  </si>
  <si>
    <t>-79.3451</t>
  </si>
  <si>
    <t>-52.5151</t>
  </si>
  <si>
    <t>24.4216</t>
  </si>
  <si>
    <t>-7.0649</t>
  </si>
  <si>
    <t>71.7196</t>
  </si>
  <si>
    <t>-107.3427</t>
  </si>
  <si>
    <t>-69.6585</t>
  </si>
  <si>
    <t>23.6323</t>
  </si>
  <si>
    <t>67.3650</t>
  </si>
  <si>
    <t>71.5047</t>
  </si>
  <si>
    <t>-31.9611</t>
  </si>
  <si>
    <t>-75.8092</t>
  </si>
  <si>
    <t>-82.4812</t>
  </si>
  <si>
    <t>139.0580</t>
  </si>
  <si>
    <t>25.3254</t>
  </si>
  <si>
    <t>132.6264</t>
  </si>
  <si>
    <t>40.7401</t>
  </si>
  <si>
    <t>110.4737</t>
  </si>
  <si>
    <t>-53.7790</t>
  </si>
  <si>
    <t>30.8863</t>
  </si>
  <si>
    <t>-39.3791</t>
  </si>
  <si>
    <t>-53.1316</t>
  </si>
  <si>
    <t>46.2788</t>
  </si>
  <si>
    <t>41.3453</t>
  </si>
  <si>
    <t>-65.9199</t>
  </si>
  <si>
    <t>-160.2292</t>
  </si>
  <si>
    <t>-32.2707</t>
  </si>
  <si>
    <t>98.1472</t>
  </si>
  <si>
    <t>73.3920</t>
  </si>
  <si>
    <t>-62.3138</t>
  </si>
  <si>
    <t>77.7678</t>
  </si>
  <si>
    <t>-165.1979</t>
  </si>
  <si>
    <t>-2.8228</t>
  </si>
  <si>
    <t>75.2804</t>
  </si>
  <si>
    <t>-74.2780</t>
  </si>
  <si>
    <t>137.4560</t>
  </si>
  <si>
    <t>-21.5797</t>
  </si>
  <si>
    <t>129.7599</t>
  </si>
  <si>
    <t>35.9521</t>
  </si>
  <si>
    <t>5.7750</t>
  </si>
  <si>
    <t>-8.7267</t>
  </si>
  <si>
    <t>-140.3988</t>
  </si>
  <si>
    <t>-56.1219</t>
  </si>
  <si>
    <t>135.4235</t>
  </si>
  <si>
    <t>23.2259</t>
  </si>
  <si>
    <t>110.6901</t>
  </si>
  <si>
    <t>-53.6993</t>
  </si>
  <si>
    <t>79.0096</t>
  </si>
  <si>
    <t>-3.8220</t>
  </si>
  <si>
    <t>-40.3169</t>
  </si>
  <si>
    <t>-48.0530</t>
  </si>
  <si>
    <t>-175.0849</t>
  </si>
  <si>
    <t>68.1320</t>
  </si>
  <si>
    <t>-51.5071</t>
  </si>
  <si>
    <t>-80.4289</t>
  </si>
  <si>
    <t>177.5580</t>
  </si>
  <si>
    <t>42.9526</t>
  </si>
  <si>
    <t>146.6224</t>
  </si>
  <si>
    <t>-40.5556</t>
  </si>
  <si>
    <t>55.0777</t>
  </si>
  <si>
    <t>-12.7845</t>
  </si>
  <si>
    <t>-147.2449</t>
  </si>
  <si>
    <t>-63.6304</t>
  </si>
  <si>
    <t>164.1850</t>
  </si>
  <si>
    <t>21.8816</t>
  </si>
  <si>
    <t>128.7922</t>
  </si>
  <si>
    <t>-85.9619</t>
  </si>
  <si>
    <t>103.5733</t>
  </si>
  <si>
    <t>-36.6154</t>
  </si>
  <si>
    <t>-46.3008</t>
  </si>
  <si>
    <t>-85.0916</t>
  </si>
  <si>
    <t>68.3039</t>
  </si>
  <si>
    <t>-13.6168</t>
  </si>
  <si>
    <t>-165.0825</t>
  </si>
  <si>
    <t>42.6032</t>
  </si>
  <si>
    <t>146.1485</t>
  </si>
  <si>
    <t>86.8195</t>
  </si>
  <si>
    <t>-21.0786</t>
  </si>
  <si>
    <t>-82.6294</t>
  </si>
  <si>
    <t>-72.3332</t>
  </si>
  <si>
    <t>41.9728</t>
  </si>
  <si>
    <t>81.4274</t>
  </si>
  <si>
    <t>-7.3863</t>
  </si>
  <si>
    <t>-44.8767</t>
  </si>
  <si>
    <t>-21.2573</t>
  </si>
  <si>
    <t>12.4574</t>
  </si>
  <si>
    <t>-33.9378</t>
  </si>
  <si>
    <t>-176.3102</t>
  </si>
  <si>
    <t>23.9115</t>
  </si>
  <si>
    <t>179.0046</t>
  </si>
  <si>
    <t>-80.5196</t>
  </si>
  <si>
    <t>-2.9668</t>
  </si>
  <si>
    <t>45.8603</t>
  </si>
  <si>
    <t>148.4775</t>
  </si>
  <si>
    <t>60.0491</t>
  </si>
  <si>
    <t>-175.5019</t>
  </si>
  <si>
    <t>-33.9528</t>
  </si>
  <si>
    <t>-54.2201</t>
  </si>
  <si>
    <t>7.9549</t>
  </si>
  <si>
    <t>-109.2897</t>
  </si>
  <si>
    <t>-6.9237</t>
  </si>
  <si>
    <t>20.9631</t>
  </si>
  <si>
    <t>-80.5883</t>
  </si>
  <si>
    <t>-167.4673</t>
  </si>
  <si>
    <t>-60.3563</t>
  </si>
  <si>
    <t>95.7232</t>
  </si>
  <si>
    <t>-83.3207</t>
  </si>
  <si>
    <t>19.9119</t>
  </si>
  <si>
    <t>-54.4964</t>
  </si>
  <si>
    <t>-93.8603</t>
  </si>
  <si>
    <t>66.5399</t>
  </si>
  <si>
    <t>160.5510</t>
  </si>
  <si>
    <t>16.1144</t>
  </si>
  <si>
    <t>-24.4118</t>
  </si>
  <si>
    <t>-84.9601</t>
  </si>
  <si>
    <t>17.4992</t>
  </si>
  <si>
    <t>-62.6441</t>
  </si>
  <si>
    <t>-34.4446</t>
  </si>
  <si>
    <t>82.9727</t>
  </si>
  <si>
    <t>171.1469</t>
  </si>
  <si>
    <t>-50.8081</t>
  </si>
  <si>
    <t>11.3148</t>
  </si>
  <si>
    <t>67.8612</t>
  </si>
  <si>
    <t>174.7961</t>
  </si>
  <si>
    <t>52.0415</t>
  </si>
  <si>
    <t>-64.6403</t>
  </si>
  <si>
    <t>-74.9003</t>
  </si>
  <si>
    <t>146.0765</t>
  </si>
  <si>
    <t>-10.7414</t>
  </si>
  <si>
    <t>-56.5849</t>
  </si>
  <si>
    <t>77.4360</t>
  </si>
  <si>
    <t>42.5290</t>
  </si>
  <si>
    <t>-39.7010</t>
  </si>
  <si>
    <t>158.9084</t>
  </si>
  <si>
    <t>65.9337</t>
  </si>
  <si>
    <t>130.6003</t>
  </si>
  <si>
    <t>-3.7749</t>
  </si>
  <si>
    <t>-110.6148</t>
  </si>
  <si>
    <t>-22.1627</t>
  </si>
  <si>
    <t>-58.0963</t>
  </si>
  <si>
    <t>-7.7974</t>
  </si>
  <si>
    <t>-150.3367</t>
  </si>
  <si>
    <t>-47.9015</t>
  </si>
  <si>
    <t>-121.4183</t>
  </si>
  <si>
    <t>64.0594</t>
  </si>
  <si>
    <t>-102.2596</t>
  </si>
  <si>
    <t>38.5127</t>
  </si>
  <si>
    <t>-17.3878</t>
  </si>
  <si>
    <t>-162.7863</t>
  </si>
  <si>
    <t>77.9980</t>
  </si>
  <si>
    <t>-97.0043</t>
  </si>
  <si>
    <t>-83.1143</t>
  </si>
  <si>
    <t>74.2100</t>
  </si>
  <si>
    <t>14.4593</t>
  </si>
  <si>
    <t>157.9293</t>
  </si>
  <si>
    <t>-48.6056</t>
  </si>
  <si>
    <t>-11.5509</t>
  </si>
  <si>
    <t>-11.6172</t>
  </si>
  <si>
    <t>47.7390</t>
  </si>
  <si>
    <t>17.7318</t>
  </si>
  <si>
    <t>-166.4083</t>
  </si>
  <si>
    <t>-31.4958</t>
  </si>
  <si>
    <t>-37.5932</t>
  </si>
  <si>
    <t>79.6896</t>
  </si>
  <si>
    <t>84.1175</t>
  </si>
  <si>
    <t>-79.5331</t>
  </si>
  <si>
    <t>-178.6658</t>
  </si>
  <si>
    <t>63.9549</t>
  </si>
  <si>
    <t>-128.7581</t>
  </si>
  <si>
    <t>61.1522</t>
  </si>
  <si>
    <t>5.9286</t>
  </si>
  <si>
    <t>-26.3913</t>
  </si>
  <si>
    <t>-155.6326</t>
  </si>
  <si>
    <t>14.8779</t>
  </si>
  <si>
    <t>-139.1721</t>
  </si>
  <si>
    <t>49.6418</t>
  </si>
  <si>
    <t>-121.3862</t>
  </si>
  <si>
    <t>-48.6654</t>
  </si>
  <si>
    <t>115.3562</t>
  </si>
  <si>
    <t>38.0470</t>
  </si>
  <si>
    <t>-80.0446</t>
  </si>
  <si>
    <t>9.8934</t>
  </si>
  <si>
    <t>13.9028</t>
  </si>
  <si>
    <t>-43.0411</t>
  </si>
  <si>
    <t>-154.0658</t>
  </si>
  <si>
    <t>-71.8307</t>
  </si>
  <si>
    <t>-53.6072</t>
  </si>
  <si>
    <t>16.1221</t>
  </si>
  <si>
    <t>79.0279</t>
  </si>
  <si>
    <t>1.3877</t>
  </si>
  <si>
    <t>64.0078</t>
  </si>
  <si>
    <t>30.3691</t>
  </si>
  <si>
    <t>-111.1134</t>
  </si>
  <si>
    <t>53.5170</t>
  </si>
  <si>
    <t>152.1576</t>
  </si>
  <si>
    <t>-20.9840</t>
  </si>
  <si>
    <t>-125.2428</t>
  </si>
  <si>
    <t>-59.8257</t>
  </si>
  <si>
    <t>-2.9502</t>
  </si>
  <si>
    <t>-49.2845</t>
  </si>
  <si>
    <t>40.5814</t>
  </si>
  <si>
    <t>88.2246</t>
  </si>
  <si>
    <t>-148.6037</t>
  </si>
  <si>
    <t>-13.5350</t>
  </si>
  <si>
    <t>94.6256</t>
  </si>
  <si>
    <t>57.1287</t>
  </si>
  <si>
    <t>148.1805</t>
  </si>
  <si>
    <t>-61.8546</t>
  </si>
  <si>
    <t>43.8074</t>
  </si>
  <si>
    <t>9.0931</t>
  </si>
  <si>
    <t>-155.6411</t>
  </si>
  <si>
    <t>-19.6632</t>
  </si>
  <si>
    <t>-133.2353</t>
  </si>
  <si>
    <t>43.4429</t>
  </si>
  <si>
    <t>-106.3154</t>
  </si>
  <si>
    <t>-24.6226</t>
  </si>
  <si>
    <t>30.2486</t>
  </si>
  <si>
    <t>5.6237</t>
  </si>
  <si>
    <t>177.8639</t>
  </si>
  <si>
    <t>-49.8421</t>
  </si>
  <si>
    <t>-83.2963</t>
  </si>
  <si>
    <t>22.5359</t>
  </si>
  <si>
    <t>82.6248</t>
  </si>
  <si>
    <t>30.8916</t>
  </si>
  <si>
    <t>173.4833</t>
  </si>
  <si>
    <t>3.0051</t>
  </si>
  <si>
    <t>-89.4957</t>
  </si>
  <si>
    <t>-9.8416</t>
  </si>
  <si>
    <t>87.3444</t>
  </si>
  <si>
    <t>-84.6425</t>
  </si>
  <si>
    <t>70.4570</t>
  </si>
  <si>
    <t>1.8375</t>
  </si>
  <si>
    <t>71.8110</t>
  </si>
  <si>
    <t>-69.8671</t>
  </si>
  <si>
    <t>-68.0730</t>
  </si>
  <si>
    <t>72.8374</t>
  </si>
  <si>
    <t>179.4522</t>
  </si>
  <si>
    <t>50.8775</t>
  </si>
  <si>
    <t>-155.5478</t>
  </si>
  <si>
    <t>23.7118</t>
  </si>
  <si>
    <t>-92.9098</t>
  </si>
  <si>
    <t>65.9641</t>
  </si>
  <si>
    <t>85.9925</t>
  </si>
  <si>
    <t>41.7285</t>
  </si>
  <si>
    <t>131.8376</t>
  </si>
  <si>
    <t>-79.2933</t>
  </si>
  <si>
    <t>52.6196</t>
  </si>
  <si>
    <t>78.1285</t>
  </si>
  <si>
    <t>162.4365</t>
  </si>
  <si>
    <t>56.5445</t>
  </si>
  <si>
    <t>31.2501</t>
  </si>
  <si>
    <t>44.2451</t>
  </si>
  <si>
    <t>-34.2571</t>
  </si>
  <si>
    <t>-27.8944</t>
  </si>
  <si>
    <t>104.5170</t>
  </si>
  <si>
    <t>77.0206</t>
  </si>
  <si>
    <t>0.8221</t>
  </si>
  <si>
    <t>72.3311</t>
  </si>
  <si>
    <t>-105.9002</t>
  </si>
  <si>
    <t>-30.4204</t>
  </si>
  <si>
    <t>70.9998</t>
  </si>
  <si>
    <t>-71.5279</t>
  </si>
  <si>
    <t>-171.9428</t>
  </si>
  <si>
    <t>-53.2492</t>
  </si>
  <si>
    <t>-17.1180</t>
  </si>
  <si>
    <t>-30.8076</t>
  </si>
  <si>
    <t>-167.4756</t>
  </si>
  <si>
    <t>-44.7640</t>
  </si>
  <si>
    <t>-118.3579</t>
  </si>
  <si>
    <t>47.5743</t>
  </si>
  <si>
    <t>144.9980</t>
  </si>
  <si>
    <t>-23.2761</t>
  </si>
  <si>
    <t>-88.0696</t>
  </si>
  <si>
    <t>-18.8295</t>
  </si>
  <si>
    <t>76.8645</t>
  </si>
  <si>
    <t>58.3197</t>
  </si>
  <si>
    <t>0.0698</t>
  </si>
  <si>
    <t>-84.8788</t>
  </si>
  <si>
    <t>-37.2609</t>
  </si>
  <si>
    <t>28.3870</t>
  </si>
  <si>
    <t>33.4827</t>
  </si>
  <si>
    <t>87.0180</t>
  </si>
  <si>
    <t>-27.3053</t>
  </si>
  <si>
    <t>-9.7509</t>
  </si>
  <si>
    <t>-86.2981</t>
  </si>
  <si>
    <t>79.8212</t>
  </si>
  <si>
    <t>-21.6975</t>
  </si>
  <si>
    <t>33.0027</t>
  </si>
  <si>
    <t>-70.5854</t>
  </si>
  <si>
    <t>-12.4520</t>
  </si>
  <si>
    <t>-174.3397</t>
  </si>
  <si>
    <t>-19.6171</t>
  </si>
  <si>
    <t>-163.0539</t>
  </si>
  <si>
    <t>13.7939</t>
  </si>
  <si>
    <t>25.2973</t>
  </si>
  <si>
    <t>-46.8643</t>
  </si>
  <si>
    <t>158.7293</t>
  </si>
  <si>
    <t>-35.2452</t>
  </si>
  <si>
    <t>78.2544</t>
  </si>
  <si>
    <t>17.5448</t>
  </si>
  <si>
    <t>-68.5291</t>
  </si>
  <si>
    <t>-87.1408</t>
  </si>
  <si>
    <t>-147.3922</t>
  </si>
  <si>
    <t>-73.5498</t>
  </si>
  <si>
    <t>115.0268</t>
  </si>
  <si>
    <t>75.2230</t>
  </si>
  <si>
    <t>158.8602</t>
  </si>
  <si>
    <t>-40.8267</t>
  </si>
  <si>
    <t>51.4673</t>
  </si>
  <si>
    <t>-80.2129</t>
  </si>
  <si>
    <t>116.4288</t>
  </si>
  <si>
    <t>18.7610</t>
  </si>
  <si>
    <t>139.9566</t>
  </si>
  <si>
    <t>9.1346</t>
  </si>
  <si>
    <t>9.0052</t>
  </si>
  <si>
    <t>-28.6942</t>
  </si>
  <si>
    <t>-75.4244</t>
  </si>
  <si>
    <t>23.9592</t>
  </si>
  <si>
    <t>-88.7602</t>
  </si>
  <si>
    <t>68.1545</t>
  </si>
  <si>
    <t>43.8007</t>
  </si>
  <si>
    <t>76.0358</t>
  </si>
  <si>
    <t>53.0430</t>
  </si>
  <si>
    <t>-30.0307</t>
  </si>
  <si>
    <t>157.1442</t>
  </si>
  <si>
    <t>-79.2584</t>
  </si>
  <si>
    <t>125.5026</t>
  </si>
  <si>
    <t>-86.6606</t>
  </si>
  <si>
    <t>29.6786</t>
  </si>
  <si>
    <t>-60.0975</t>
  </si>
  <si>
    <t>-13.7518</t>
  </si>
  <si>
    <t>50.4750</t>
  </si>
  <si>
    <t>-168.8578</t>
  </si>
  <si>
    <t>20.9244</t>
  </si>
  <si>
    <t>-59.3367</t>
  </si>
  <si>
    <t>-8.4784</t>
  </si>
  <si>
    <t>117.2494</t>
  </si>
  <si>
    <t>-30.8090</t>
  </si>
  <si>
    <t>-126.7483</t>
  </si>
  <si>
    <t>17.9831</t>
  </si>
  <si>
    <t>-135.1026</t>
  </si>
  <si>
    <t>-28.2385</t>
  </si>
  <si>
    <t>-87.7617</t>
  </si>
  <si>
    <t>18.1994</t>
  </si>
  <si>
    <t>40.5771</t>
  </si>
  <si>
    <t>-3.5038</t>
  </si>
  <si>
    <t>21.9533</t>
  </si>
  <si>
    <t>88.5280</t>
  </si>
  <si>
    <t>-0.3595</t>
  </si>
  <si>
    <t>-24.7838</t>
  </si>
  <si>
    <t>-21.1760</t>
  </si>
  <si>
    <t>56.1373</t>
  </si>
  <si>
    <t>82.4192</t>
  </si>
  <si>
    <t>-13.2882</t>
  </si>
  <si>
    <t>-171.9473</t>
  </si>
  <si>
    <t>68.9345</t>
  </si>
  <si>
    <t>172.1520</t>
  </si>
  <si>
    <t>-80.9601</t>
  </si>
  <si>
    <t>52.6140</t>
  </si>
  <si>
    <t>57.2271</t>
  </si>
  <si>
    <t>59.2588</t>
  </si>
  <si>
    <t>82.6307</t>
  </si>
  <si>
    <t>-111.6216</t>
  </si>
  <si>
    <t>53.0221</t>
  </si>
  <si>
    <t>110.4363</t>
  </si>
  <si>
    <t>21.6362</t>
  </si>
  <si>
    <t>35.7292</t>
  </si>
  <si>
    <t>-0.5646</t>
  </si>
  <si>
    <t>175.2938</t>
  </si>
  <si>
    <t>-53.9744</t>
  </si>
  <si>
    <t>-52.4536</t>
  </si>
  <si>
    <t>70.9071</t>
  </si>
  <si>
    <t>-64.7863</t>
  </si>
  <si>
    <t>-32.3196</t>
  </si>
  <si>
    <t>-16.4458</t>
  </si>
  <si>
    <t>-9.6291</t>
  </si>
  <si>
    <t>39.6506</t>
  </si>
  <si>
    <t>-69.5639</t>
  </si>
  <si>
    <t>-74.6473</t>
  </si>
  <si>
    <t>49.0430</t>
  </si>
  <si>
    <t>-4.5352</t>
  </si>
  <si>
    <t>69.7608</t>
  </si>
  <si>
    <t>-77.0188</t>
  </si>
  <si>
    <t>27.4034</t>
  </si>
  <si>
    <t>-35.8705</t>
  </si>
  <si>
    <t>-31.4314</t>
  </si>
  <si>
    <t>-110.7069</t>
  </si>
  <si>
    <t>63.5554</t>
  </si>
  <si>
    <t>151.4083</t>
  </si>
  <si>
    <t>86.6663</t>
  </si>
  <si>
    <t>-8.1036</t>
  </si>
  <si>
    <t>62.9549</t>
  </si>
  <si>
    <t>134.6387</t>
  </si>
  <si>
    <t>57.5550</t>
  </si>
  <si>
    <t>179.2349</t>
  </si>
  <si>
    <t>-8.3428</t>
  </si>
  <si>
    <t>-26.2702</t>
  </si>
  <si>
    <t>-51.6025</t>
  </si>
  <si>
    <t>114.3963</t>
  </si>
  <si>
    <t>-30.9460</t>
  </si>
  <si>
    <t>-65.5352</t>
  </si>
  <si>
    <t>-47.3503</t>
  </si>
  <si>
    <t>-100.2211</t>
  </si>
  <si>
    <t>29.2931</t>
  </si>
  <si>
    <t>-63.6560</t>
  </si>
  <si>
    <t>-67.4262</t>
  </si>
  <si>
    <t>-107.5156</t>
  </si>
  <si>
    <t>82.8116</t>
  </si>
  <si>
    <t>62.1983</t>
  </si>
  <si>
    <t>58.6218</t>
  </si>
  <si>
    <t>133.4487</t>
  </si>
  <si>
    <t>-31.9959</t>
  </si>
  <si>
    <t>164.6097</t>
  </si>
  <si>
    <t>84.8041</t>
  </si>
  <si>
    <t>86.1533</t>
  </si>
  <si>
    <t>-11.1470</t>
  </si>
  <si>
    <t>-97.9335</t>
  </si>
  <si>
    <t>-9.8535</t>
  </si>
  <si>
    <t>-164.7840</t>
  </si>
  <si>
    <t>35.6740</t>
  </si>
  <si>
    <t>177.2099</t>
  </si>
  <si>
    <t>87.9650</t>
  </si>
  <si>
    <t>-109.0684</t>
  </si>
  <si>
    <t>68.1229</t>
  </si>
  <si>
    <t>9.8155</t>
  </si>
  <si>
    <t>84.0215</t>
  </si>
  <si>
    <t>75.4829</t>
  </si>
  <si>
    <t>73.9154</t>
  </si>
  <si>
    <t>-123.8449</t>
  </si>
  <si>
    <t>56.2829</t>
  </si>
  <si>
    <t>49.0292</t>
  </si>
  <si>
    <t>-89.0981</t>
  </si>
  <si>
    <t>33.8294</t>
  </si>
  <si>
    <t>0.4055</t>
  </si>
  <si>
    <t>97.6022</t>
  </si>
  <si>
    <t>29.7128</t>
  </si>
  <si>
    <t>-51.8993</t>
  </si>
  <si>
    <t>76.8582</t>
  </si>
  <si>
    <t>-8.4829</t>
  </si>
  <si>
    <t>-74.1880</t>
  </si>
  <si>
    <t>-176.0141</t>
  </si>
  <si>
    <t>14.1533</t>
  </si>
  <si>
    <t>164.1186</t>
  </si>
  <si>
    <t>3.9786</t>
  </si>
  <si>
    <t>-135.2219</t>
  </si>
  <si>
    <t>-40.9216</t>
  </si>
  <si>
    <t>27.5281</t>
  </si>
  <si>
    <t>-58.4321</t>
  </si>
  <si>
    <t>-90.5118</t>
  </si>
  <si>
    <t>41.7679</t>
  </si>
  <si>
    <t>-95.8135</t>
  </si>
  <si>
    <t>61.9423</t>
  </si>
  <si>
    <t>34.5260</t>
  </si>
  <si>
    <t>46.9729</t>
  </si>
  <si>
    <t>-36.5198</t>
  </si>
  <si>
    <t>44.2477</t>
  </si>
  <si>
    <t>175.0702</t>
  </si>
  <si>
    <t>89.8701</t>
  </si>
  <si>
    <t>73.6867</t>
  </si>
  <si>
    <t>-10.4792</t>
  </si>
  <si>
    <t>-177.1239</t>
  </si>
  <si>
    <t>-71.0609</t>
  </si>
  <si>
    <t>75.3714</t>
  </si>
  <si>
    <t>-76.7910</t>
  </si>
  <si>
    <t>18.3631</t>
  </si>
  <si>
    <t>59.8356</t>
  </si>
  <si>
    <t>-114.4198</t>
  </si>
  <si>
    <t>Columna</t>
  </si>
  <si>
    <t>Descripción</t>
  </si>
  <si>
    <t>Fecha y hora del evento</t>
  </si>
  <si>
    <t>Identificador único del camión o activo</t>
  </si>
  <si>
    <t>Coordenada geográfica de latitud</t>
  </si>
  <si>
    <t>Coordenada geográfica de longitud</t>
  </si>
  <si>
    <t>Nivel de inventario registrado</t>
  </si>
  <si>
    <t>Estado actual del envío</t>
  </si>
  <si>
    <t>Temperatura registrada</t>
  </si>
  <si>
    <t>Humedad registrada</t>
  </si>
  <si>
    <t>Estado del tráfico</t>
  </si>
  <si>
    <t>Tiempo de espera registrado</t>
  </si>
  <si>
    <t>Monto de la transacción del usuario</t>
  </si>
  <si>
    <t>Frecuencia de compra del usuario</t>
  </si>
  <si>
    <t>Motivo del retraso logístico</t>
  </si>
  <si>
    <t>Porcentaje o nivel de utilización del activo</t>
  </si>
  <si>
    <t>Pronóstico de demanda</t>
  </si>
  <si>
    <t>Indicador o duración del retraso logístico</t>
  </si>
  <si>
    <t>Tipo de Dato</t>
  </si>
  <si>
    <t>Fecha/Hora</t>
  </si>
  <si>
    <t>Texto</t>
  </si>
  <si>
    <t>Decimal</t>
  </si>
  <si>
    <t>Entero</t>
  </si>
  <si>
    <t>Decimal (Moneda)</t>
  </si>
  <si>
    <t>Decimal o Entero*</t>
  </si>
  <si>
    <t>Número de registros</t>
  </si>
  <si>
    <t>Número de columnas</t>
  </si>
  <si>
    <t>Número de activos únicos</t>
  </si>
  <si>
    <t>Valores nulos</t>
  </si>
  <si>
    <t>Duplicados</t>
  </si>
  <si>
    <t>Detalles</t>
  </si>
  <si>
    <t>Resultados</t>
  </si>
  <si>
    <t>Total registros</t>
  </si>
  <si>
    <t>Total activos</t>
  </si>
  <si>
    <t>Inventario promedio</t>
  </si>
  <si>
    <t>Tiempo promedio de espera</t>
  </si>
  <si>
    <t>Temperatura promedio</t>
  </si>
  <si>
    <t>Humedad promedio</t>
  </si>
  <si>
    <t>Utilización promedio</t>
  </si>
  <si>
    <t>Demanda promedio</t>
  </si>
  <si>
    <t>Datos recopilados</t>
  </si>
  <si>
    <t>Etiquetas de fila</t>
  </si>
  <si>
    <t>Total general</t>
  </si>
  <si>
    <t>Cuenta de Shipment_Status</t>
  </si>
  <si>
    <t>Etiquetas de columna</t>
  </si>
  <si>
    <t>Status</t>
  </si>
  <si>
    <t>Delay</t>
  </si>
  <si>
    <t>Cuenta de Logistics_Delay_Reason</t>
  </si>
  <si>
    <t>Columna1</t>
  </si>
  <si>
    <t>Waiting_Category</t>
  </si>
  <si>
    <t>LOW RESULT</t>
  </si>
  <si>
    <t>MID RESULT</t>
  </si>
  <si>
    <t>HIGH RESULT</t>
  </si>
  <si>
    <t>Ranks</t>
  </si>
  <si>
    <t>LOW</t>
  </si>
  <si>
    <t>MID</t>
  </si>
  <si>
    <t>HIGH</t>
  </si>
  <si>
    <t>Cuenta de Traffic_Status</t>
  </si>
  <si>
    <t>Suma de Logistics_Delay</t>
  </si>
  <si>
    <t>the traffic is a reason for the delays? NO</t>
  </si>
  <si>
    <t>Promedio de Logistics_Delay</t>
  </si>
  <si>
    <t>More demand = More Delay</t>
  </si>
  <si>
    <t>Demand_category</t>
  </si>
  <si>
    <t>High demand</t>
  </si>
  <si>
    <t>Low demand</t>
  </si>
  <si>
    <t>Mid demand</t>
  </si>
  <si>
    <t>"El análisis de la demanda prevista muestra que los retrasos logísticos promedio permanecen prácticamente constantes entre los niveles bajo, medio y alto de demanda. Por lo tanto, los datos no respaldan la hipótesis de que una mayor demanda genere mayores retrasos."</t>
  </si>
  <si>
    <t>Los datos indican que condiciones de tráfico más complejas, especialmente tráfico pesado (Heavy), están asociadas con una mayor frecuencia de retrasos logísticos.</t>
  </si>
  <si>
    <t>Which is the reason with more Delays? The bigger reason than other options are Weather, We need to make a new shudele for get a better results.</t>
  </si>
  <si>
    <t>The status with more case is Delayed</t>
  </si>
  <si>
    <t>Total envíos</t>
  </si>
  <si>
    <t>% retrasos</t>
  </si>
  <si>
    <t>Tiempo promedio espera</t>
  </si>
  <si>
    <t>Activos únicos</t>
  </si>
  <si>
    <t>Details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</si>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</sst>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0000"/>
        <bgColor theme="9" tint="0.79998168889431442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9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16" fillId="35" borderId="13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horizontal="center" vertical="center"/>
    </xf>
    <xf numFmtId="0" fontId="0" fillId="36" borderId="13" xfId="0" applyFont="1" applyFill="1" applyBorder="1" applyAlignment="1">
      <alignment vertical="center"/>
    </xf>
    <xf numFmtId="0" fontId="0" fillId="36" borderId="14" xfId="0" applyFont="1" applyFill="1" applyBorder="1" applyAlignment="1">
      <alignment vertical="center"/>
    </xf>
    <xf numFmtId="0" fontId="0" fillId="35" borderId="13" xfId="0" applyFont="1" applyFill="1" applyBorder="1" applyAlignment="1">
      <alignment vertical="center"/>
    </xf>
    <xf numFmtId="0" fontId="0" fillId="35" borderId="14" xfId="0" applyFont="1" applyFill="1" applyBorder="1" applyAlignment="1">
      <alignment vertical="center"/>
    </xf>
    <xf numFmtId="0" fontId="0" fillId="35" borderId="15" xfId="0" applyFont="1" applyFill="1" applyBorder="1" applyAlignment="1">
      <alignment vertical="center"/>
    </xf>
    <xf numFmtId="0" fontId="0" fillId="35" borderId="12" xfId="0" applyFont="1" applyFill="1" applyBorder="1" applyAlignment="1">
      <alignment vertical="center"/>
    </xf>
    <xf numFmtId="0" fontId="0" fillId="34" borderId="11" xfId="0" applyFont="1" applyFill="1" applyBorder="1"/>
    <xf numFmtId="0" fontId="0" fillId="0" borderId="0" xfId="0" applyAlignment="1"/>
    <xf numFmtId="22" fontId="0" fillId="0" borderId="0" xfId="0" applyNumberFormat="1" applyAlignment="1"/>
    <xf numFmtId="0" fontId="0" fillId="34" borderId="10" xfId="0" applyFont="1" applyFill="1" applyBorder="1"/>
    <xf numFmtId="0" fontId="13" fillId="33" borderId="16" xfId="0" applyFont="1" applyFill="1" applyBorder="1"/>
    <xf numFmtId="0" fontId="13" fillId="33" borderId="17" xfId="0" applyFont="1" applyFill="1" applyBorder="1"/>
    <xf numFmtId="0" fontId="0" fillId="34" borderId="16" xfId="0" applyFont="1" applyFill="1" applyBorder="1"/>
    <xf numFmtId="0" fontId="0" fillId="34" borderId="17" xfId="0" applyFont="1" applyFill="1" applyBorder="1"/>
    <xf numFmtId="0" fontId="0" fillId="0" borderId="16" xfId="0" applyFont="1" applyBorder="1"/>
    <xf numFmtId="0" fontId="0" fillId="0" borderId="17" xfId="0" applyFont="1" applyBorder="1"/>
    <xf numFmtId="0" fontId="0" fillId="0" borderId="17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36" borderId="18" xfId="0" applyFont="1" applyFill="1" applyBorder="1" applyAlignment="1"/>
    <xf numFmtId="0" fontId="0" fillId="35" borderId="18" xfId="0" applyFont="1" applyFill="1" applyBorder="1" applyAlignment="1"/>
    <xf numFmtId="0" fontId="0" fillId="35" borderId="19" xfId="0" applyFont="1" applyFill="1" applyBorder="1" applyAlignment="1"/>
    <xf numFmtId="0" fontId="0" fillId="35" borderId="22" xfId="0" applyFont="1" applyFill="1" applyBorder="1" applyAlignment="1"/>
    <xf numFmtId="0" fontId="0" fillId="36" borderId="23" xfId="0" applyFont="1" applyFill="1" applyBorder="1"/>
    <xf numFmtId="0" fontId="0" fillId="36" borderId="25" xfId="0" applyFont="1" applyFill="1" applyBorder="1"/>
    <xf numFmtId="0" fontId="0" fillId="39" borderId="24" xfId="0" applyFill="1" applyBorder="1"/>
    <xf numFmtId="0" fontId="0" fillId="40" borderId="24" xfId="0" applyFill="1" applyBorder="1"/>
    <xf numFmtId="0" fontId="0" fillId="38" borderId="24" xfId="0" applyFill="1" applyBorder="1"/>
    <xf numFmtId="0" fontId="0" fillId="36" borderId="28" xfId="0" applyFont="1" applyFill="1" applyBorder="1" applyAlignment="1"/>
    <xf numFmtId="0" fontId="0" fillId="36" borderId="22" xfId="0" applyFont="1" applyFill="1" applyBorder="1" applyAlignment="1"/>
    <xf numFmtId="0" fontId="0" fillId="35" borderId="29" xfId="0" applyFont="1" applyFill="1" applyBorder="1" applyAlignment="1"/>
    <xf numFmtId="0" fontId="0" fillId="36" borderId="13" xfId="0" applyFont="1" applyFill="1" applyBorder="1" applyAlignment="1">
      <alignment wrapText="1"/>
    </xf>
    <xf numFmtId="0" fontId="0" fillId="35" borderId="21" xfId="0" applyFont="1" applyFill="1" applyBorder="1" applyAlignment="1">
      <alignment wrapText="1"/>
    </xf>
    <xf numFmtId="0" fontId="0" fillId="35" borderId="13" xfId="0" applyFont="1" applyFill="1" applyBorder="1" applyAlignment="1">
      <alignment wrapText="1"/>
    </xf>
    <xf numFmtId="0" fontId="0" fillId="35" borderId="15" xfId="0" applyFont="1" applyFill="1" applyBorder="1" applyAlignment="1">
      <alignment wrapText="1"/>
    </xf>
    <xf numFmtId="0" fontId="0" fillId="35" borderId="32" xfId="0" applyFont="1" applyFill="1" applyBorder="1" applyAlignment="1">
      <alignment wrapText="1"/>
    </xf>
    <xf numFmtId="0" fontId="0" fillId="0" borderId="21" xfId="0" applyFont="1" applyFill="1" applyBorder="1" applyAlignment="1">
      <alignment wrapText="1"/>
    </xf>
    <xf numFmtId="0" fontId="0" fillId="0" borderId="31" xfId="0" applyFont="1" applyFill="1" applyBorder="1" applyAlignment="1">
      <alignment wrapText="1"/>
    </xf>
    <xf numFmtId="0" fontId="0" fillId="0" borderId="0" xfId="0" applyFill="1"/>
    <xf numFmtId="0" fontId="18" fillId="41" borderId="27" xfId="0" applyFont="1" applyFill="1" applyBorder="1" applyAlignment="1">
      <alignment vertical="center"/>
    </xf>
    <xf numFmtId="0" fontId="18" fillId="37" borderId="0" xfId="0" applyFont="1" applyFill="1" applyBorder="1" applyAlignment="1">
      <alignment horizontal="center"/>
    </xf>
    <xf numFmtId="0" fontId="19" fillId="39" borderId="24" xfId="0" applyFont="1" applyFill="1" applyBorder="1"/>
    <xf numFmtId="0" fontId="19" fillId="40" borderId="24" xfId="0" applyFont="1" applyFill="1" applyBorder="1"/>
    <xf numFmtId="0" fontId="19" fillId="38" borderId="24" xfId="0" applyFont="1" applyFill="1" applyBorder="1"/>
    <xf numFmtId="0" fontId="19" fillId="41" borderId="27" xfId="0" applyFont="1" applyFill="1" applyBorder="1" applyAlignment="1">
      <alignment vertical="center"/>
    </xf>
    <xf numFmtId="0" fontId="19" fillId="42" borderId="27" xfId="0" applyFont="1" applyFill="1" applyBorder="1" applyAlignment="1">
      <alignment vertical="center"/>
    </xf>
    <xf numFmtId="0" fontId="19" fillId="43" borderId="26" xfId="0" applyFont="1" applyFill="1" applyBorder="1" applyAlignment="1">
      <alignment vertical="center"/>
    </xf>
    <xf numFmtId="0" fontId="18" fillId="41" borderId="13" xfId="0" applyFont="1" applyFill="1" applyBorder="1" applyAlignment="1">
      <alignment vertical="center"/>
    </xf>
    <xf numFmtId="0" fontId="18" fillId="37" borderId="20" xfId="0" applyFont="1" applyFill="1" applyBorder="1" applyAlignment="1"/>
    <xf numFmtId="0" fontId="0" fillId="0" borderId="34" xfId="0" applyBorder="1"/>
    <xf numFmtId="0" fontId="0" fillId="0" borderId="35" xfId="0" applyBorder="1"/>
    <xf numFmtId="0" fontId="0" fillId="0" borderId="0" xfId="0" applyBorder="1"/>
    <xf numFmtId="0" fontId="0" fillId="0" borderId="37" xfId="0" applyBorder="1"/>
    <xf numFmtId="0" fontId="0" fillId="0" borderId="39" xfId="0" applyBorder="1"/>
    <xf numFmtId="0" fontId="0" fillId="0" borderId="40" xfId="0" applyBorder="1"/>
    <xf numFmtId="0" fontId="0" fillId="0" borderId="41" xfId="0" applyNumberFormat="1" applyBorder="1"/>
    <xf numFmtId="0" fontId="0" fillId="0" borderId="42" xfId="0" applyNumberFormat="1" applyBorder="1"/>
    <xf numFmtId="0" fontId="0" fillId="0" borderId="43" xfId="0" applyNumberFormat="1" applyBorder="1"/>
    <xf numFmtId="0" fontId="0" fillId="0" borderId="24" xfId="0" pivotButton="1" applyBorder="1"/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4" xfId="0" applyBorder="1"/>
    <xf numFmtId="0" fontId="0" fillId="0" borderId="30" xfId="0" applyFont="1" applyBorder="1"/>
    <xf numFmtId="9" fontId="0" fillId="0" borderId="0" xfId="0" applyNumberFormat="1"/>
    <xf numFmtId="0" fontId="0" fillId="0" borderId="0" xfId="0" applyFill="1" applyAlignment="1"/>
    <xf numFmtId="0" fontId="0" fillId="0" borderId="34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3" fillId="33" borderId="21" xfId="0" applyFont="1" applyFill="1" applyBorder="1"/>
    <xf numFmtId="2" fontId="0" fillId="0" borderId="21" xfId="42" applyNumberFormat="1" applyFont="1" applyBorder="1"/>
    <xf numFmtId="9" fontId="0" fillId="0" borderId="17" xfId="42" applyNumberFormat="1" applyFont="1" applyBorder="1"/>
    <xf numFmtId="2" fontId="0" fillId="34" borderId="21" xfId="42" applyNumberFormat="1" applyFont="1" applyFill="1" applyBorder="1"/>
    <xf numFmtId="9" fontId="0" fillId="34" borderId="17" xfId="42" applyNumberFormat="1" applyFont="1" applyFill="1" applyBorder="1"/>
    <xf numFmtId="0" fontId="0" fillId="34" borderId="21" xfId="0" applyFont="1" applyFill="1" applyBorder="1"/>
    <xf numFmtId="10" fontId="0" fillId="0" borderId="21" xfId="0" applyNumberFormat="1" applyFont="1" applyBorder="1"/>
    <xf numFmtId="10" fontId="0" fillId="0" borderId="17" xfId="0" applyNumberFormat="1" applyFont="1" applyBorder="1"/>
    <xf numFmtId="0" fontId="0" fillId="39" borderId="0" xfId="0" applyFill="1" applyAlignment="1">
      <alignment horizontal="center" vertical="center" wrapText="1"/>
    </xf>
    <xf numFmtId="0" fontId="0" fillId="39" borderId="33" xfId="0" applyFill="1" applyBorder="1" applyAlignment="1">
      <alignment horizontal="center" vertical="center" wrapText="1"/>
    </xf>
    <xf numFmtId="0" fontId="0" fillId="39" borderId="34" xfId="0" applyFill="1" applyBorder="1" applyAlignment="1">
      <alignment horizontal="center" vertical="center" wrapText="1"/>
    </xf>
    <xf numFmtId="0" fontId="0" fillId="39" borderId="36" xfId="0" applyFill="1" applyBorder="1" applyAlignment="1">
      <alignment horizontal="center" vertical="center" wrapText="1"/>
    </xf>
    <xf numFmtId="0" fontId="0" fillId="39" borderId="0" xfId="0" applyFill="1" applyBorder="1" applyAlignment="1">
      <alignment horizontal="center" vertical="center" wrapText="1"/>
    </xf>
    <xf numFmtId="0" fontId="0" fillId="39" borderId="38" xfId="0" applyFill="1" applyBorder="1" applyAlignment="1">
      <alignment horizontal="center" vertical="center" wrapText="1"/>
    </xf>
    <xf numFmtId="0" fontId="0" fillId="39" borderId="39" xfId="0" applyFill="1" applyBorder="1" applyAlignment="1">
      <alignment horizontal="center" vertical="center" wrapText="1"/>
    </xf>
    <xf numFmtId="0" fontId="0" fillId="39" borderId="0" xfId="0" applyFill="1" applyAlignment="1">
      <alignment horizontal="center" wrapText="1"/>
    </xf>
    <xf numFmtId="0" fontId="0" fillId="38" borderId="0" xfId="0" applyFill="1" applyAlignment="1">
      <alignment horizontal="center" vertical="center" wrapText="1"/>
    </xf>
    <xf numFmtId="0" fontId="0" fillId="39" borderId="0" xfId="0" applyFill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 style="thin">
          <color theme="9" tint="0.39997558519241921"/>
        </right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thin">
          <color theme="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7" formatCode="d/m/yyyy\ hh: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[Smart_logistic.xlsx]Pyvot tables!TablaDinámica4</c:name>
    <c:fmtId val="0"/>
  </c:pivotSource>
  <c:chart>
    <c:title>
      <c:overlay val="0"/>
      <c:spPr>
        <a:solidFill>
          <a:srgbClr val="92D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'Pyvot tables'!$B$10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'Pyvot tables'!$A$11:$A$15</c:f>
              <c:strCache>
                <c:ptCount val="4"/>
                <c:pt idx="0">
                  <c:v>Mechanical Failure</c:v>
                </c:pt>
                <c:pt idx="1">
                  <c:v>None</c:v>
                </c:pt>
                <c:pt idx="2">
                  <c:v>Traffic</c:v>
                </c:pt>
                <c:pt idx="3">
                  <c:v>Weather</c:v>
                </c:pt>
              </c:strCache>
            </c:strRef>
          </c:cat>
          <c:val>
            <c:numRef>
              <c:f>'Pyvot tables'!$B$11:$B$15</c:f>
              <c:numCache>
                <c:formatCode>General</c:formatCode>
                <c:ptCount val="4"/>
                <c:pt idx="0">
                  <c:v>133</c:v>
                </c:pt>
                <c:pt idx="1">
                  <c:v>147</c:v>
                </c:pt>
                <c:pt idx="2">
                  <c:v>135</c:v>
                </c:pt>
                <c:pt idx="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9-49A8-9C65-CB69007C7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3075199"/>
        <c:axId val="1653075615"/>
      </c:barChart>
      <c:catAx>
        <c:axId val="165307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653075615"/>
        <c:crosses val="autoZero"/>
        <c:auto val="1"/>
        <c:lblAlgn val="ctr"/>
        <c:lblOffset val="100"/>
        <c:noMultiLvlLbl val="0"/>
      </c:catAx>
      <c:valAx>
        <c:axId val="165307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65307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23812</xdr:rowOff>
    </xdr:from>
    <xdr:to>
      <xdr:col>5</xdr:col>
      <xdr:colOff>2105025</xdr:colOff>
      <xdr:row>21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137F1C-2ADF-4317-A9DA-B70212FC5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Somoza" refreshedDate="46178.765865277775" createdVersion="7" refreshedVersion="7" minRefreshableVersion="3" recordCount="1000" xr:uid="{09FF79FA-948D-4461-96C8-8590BC28E542}">
  <cacheSource type="worksheet">
    <worksheetSource name="Tabla2"/>
  </cacheSource>
  <cacheFields count="16">
    <cacheField name="Timestamp" numFmtId="22">
      <sharedItems containsSemiMixedTypes="0" containsNonDate="0" containsDate="1" containsString="0" minDate="2024-01-01T11:37:57" maxDate="2024-12-30T20:21:58"/>
    </cacheField>
    <cacheField name="Asset_ID" numFmtId="0">
      <sharedItems count="10">
        <s v="Truck_7"/>
        <s v="Truck_6"/>
        <s v="Truck_10"/>
        <s v="Truck_9"/>
        <s v="Truck_4"/>
        <s v="Truck_2"/>
        <s v="Truck_8"/>
        <s v="Truck_3"/>
        <s v="Truck_5"/>
        <s v="Truck_1"/>
      </sharedItems>
    </cacheField>
    <cacheField name="Latitude" numFmtId="0">
      <sharedItems/>
    </cacheField>
    <cacheField name="Longitude" numFmtId="0">
      <sharedItems/>
    </cacheField>
    <cacheField name="Inventory_Level" numFmtId="0">
      <sharedItems containsSemiMixedTypes="0" containsString="0" containsNumber="1" containsInteger="1" minValue="100" maxValue="500"/>
    </cacheField>
    <cacheField name="Shipment_Status" numFmtId="0">
      <sharedItems count="3">
        <s v="Delayed"/>
        <s v="In Transit"/>
        <s v="Delivered"/>
      </sharedItems>
    </cacheField>
    <cacheField name="Temperature" numFmtId="0">
      <sharedItems containsSemiMixedTypes="0" containsString="0" containsNumber="1" minValue="18" maxValue="30"/>
    </cacheField>
    <cacheField name="Humidity" numFmtId="0">
      <sharedItems containsSemiMixedTypes="0" containsString="0" containsNumber="1" minValue="50" maxValue="80"/>
    </cacheField>
    <cacheField name="Traffic_Status" numFmtId="0">
      <sharedItems count="3">
        <s v="Detour"/>
        <s v="Heavy"/>
        <s v="Clear"/>
      </sharedItems>
    </cacheField>
    <cacheField name="Waiting_Time" numFmtId="0">
      <sharedItems containsSemiMixedTypes="0" containsString="0" containsNumber="1" containsInteger="1" minValue="10" maxValue="60"/>
    </cacheField>
    <cacheField name="User_Transaction_Amount" numFmtId="0">
      <sharedItems containsSemiMixedTypes="0" containsString="0" containsNumber="1" containsInteger="1" minValue="100" maxValue="500"/>
    </cacheField>
    <cacheField name="User_Purchase_Frequency" numFmtId="0">
      <sharedItems containsSemiMixedTypes="0" containsString="0" containsNumber="1" containsInteger="1" minValue="1" maxValue="10"/>
    </cacheField>
    <cacheField name="Logistics_Delay_Reason" numFmtId="0">
      <sharedItems count="4">
        <s v="None"/>
        <s v="Weather"/>
        <s v="Traffic"/>
        <s v="Mechanical Failure"/>
      </sharedItems>
    </cacheField>
    <cacheField name="Asset_Utilization" numFmtId="0">
      <sharedItems containsSemiMixedTypes="0" containsString="0" containsNumber="1" minValue="60" maxValue="100"/>
    </cacheField>
    <cacheField name="Demand_Forecast" numFmtId="0">
      <sharedItems containsSemiMixedTypes="0" containsString="0" containsNumber="1" containsInteger="1" minValue="100" maxValue="300" count="200">
        <n v="285"/>
        <n v="174"/>
        <n v="260"/>
        <n v="160"/>
        <n v="270"/>
        <n v="189"/>
        <n v="198"/>
        <n v="253"/>
        <n v="206"/>
        <n v="224"/>
        <n v="171"/>
        <n v="238"/>
        <n v="114"/>
        <n v="115"/>
        <n v="231"/>
        <n v="256"/>
        <n v="170"/>
        <n v="106"/>
        <n v="204"/>
        <n v="248"/>
        <n v="195"/>
        <n v="235"/>
        <n v="135"/>
        <n v="282"/>
        <n v="262"/>
        <n v="101"/>
        <n v="155"/>
        <n v="252"/>
        <n v="240"/>
        <n v="242"/>
        <n v="220"/>
        <n v="205"/>
        <n v="134"/>
        <n v="222"/>
        <n v="266"/>
        <n v="261"/>
        <n v="255"/>
        <n v="196"/>
        <n v="129"/>
        <n v="183"/>
        <n v="209"/>
        <n v="113"/>
        <n v="265"/>
        <n v="123"/>
        <n v="154"/>
        <n v="175"/>
        <n v="289"/>
        <n v="143"/>
        <n v="128"/>
        <n v="137"/>
        <n v="140"/>
        <n v="127"/>
        <n v="290"/>
        <n v="250"/>
        <n v="169"/>
        <n v="241"/>
        <n v="236"/>
        <n v="197"/>
        <n v="267"/>
        <n v="182"/>
        <n v="212"/>
        <n v="254"/>
        <n v="122"/>
        <n v="264"/>
        <n v="225"/>
        <n v="192"/>
        <n v="288"/>
        <n v="172"/>
        <n v="243"/>
        <n v="245"/>
        <n v="211"/>
        <n v="156"/>
        <n v="138"/>
        <n v="105"/>
        <n v="151"/>
        <n v="272"/>
        <n v="125"/>
        <n v="214"/>
        <n v="217"/>
        <n v="165"/>
        <n v="136"/>
        <n v="233"/>
        <n v="150"/>
        <n v="117"/>
        <n v="298"/>
        <n v="141"/>
        <n v="202"/>
        <n v="263"/>
        <n v="274"/>
        <n v="223"/>
        <n v="273"/>
        <n v="228"/>
        <n v="296"/>
        <n v="100"/>
        <n v="284"/>
        <n v="226"/>
        <n v="149"/>
        <n v="281"/>
        <n v="181"/>
        <n v="109"/>
        <n v="177"/>
        <n v="184"/>
        <n v="111"/>
        <n v="173"/>
        <n v="278"/>
        <n v="126"/>
        <n v="283"/>
        <n v="110"/>
        <n v="107"/>
        <n v="294"/>
        <n v="276"/>
        <n v="176"/>
        <n v="152"/>
        <n v="145"/>
        <n v="119"/>
        <n v="118"/>
        <n v="230"/>
        <n v="191"/>
        <n v="208"/>
        <n v="166"/>
        <n v="131"/>
        <n v="277"/>
        <n v="186"/>
        <n v="249"/>
        <n v="158"/>
        <n v="162"/>
        <n v="246"/>
        <n v="179"/>
        <n v="201"/>
        <n v="102"/>
        <n v="103"/>
        <n v="257"/>
        <n v="116"/>
        <n v="130"/>
        <n v="237"/>
        <n v="280"/>
        <n v="112"/>
        <n v="286"/>
        <n v="139"/>
        <n v="147"/>
        <n v="229"/>
        <n v="269"/>
        <n v="213"/>
        <n v="271"/>
        <n v="124"/>
        <n v="279"/>
        <n v="185"/>
        <n v="227"/>
        <n v="292"/>
        <n v="188"/>
        <n v="200"/>
        <n v="268"/>
        <n v="221"/>
        <n v="104"/>
        <n v="219"/>
        <n v="259"/>
        <n v="247"/>
        <n v="146"/>
        <n v="178"/>
        <n v="133"/>
        <n v="203"/>
        <n v="148"/>
        <n v="234"/>
        <n v="187"/>
        <n v="251"/>
        <n v="132"/>
        <n v="244"/>
        <n v="300"/>
        <n v="215"/>
        <n v="157"/>
        <n v="297"/>
        <n v="199"/>
        <n v="164"/>
        <n v="168"/>
        <n v="159"/>
        <n v="163"/>
        <n v="207"/>
        <n v="120"/>
        <n v="291"/>
        <n v="108"/>
        <n v="275"/>
        <n v="287"/>
        <n v="232"/>
        <n v="180"/>
        <n v="142"/>
        <n v="239"/>
        <n v="299"/>
        <n v="153"/>
        <n v="295"/>
        <n v="190"/>
        <n v="210"/>
        <n v="144"/>
        <n v="194"/>
        <n v="293"/>
        <n v="161"/>
        <n v="167"/>
        <n v="218"/>
        <n v="193"/>
        <n v="216"/>
        <n v="258"/>
      </sharedItems>
    </cacheField>
    <cacheField name="Logistics_Delay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Somoza" refreshedDate="46179.675607523146" createdVersion="7" refreshedVersion="7" minRefreshableVersion="3" recordCount="957" xr:uid="{61414F9E-690C-4E83-B214-028B0E2AA5B9}">
  <cacheSource type="worksheet">
    <worksheetSource ref="A1:Q958" sheet="tbl_logistics"/>
  </cacheSource>
  <cacheFields count="17">
    <cacheField name="Timestamp" numFmtId="22">
      <sharedItems containsSemiMixedTypes="0" containsNonDate="0" containsDate="1" containsString="0" minDate="2024-01-01T11:37:57" maxDate="2024-12-30T20:21:58"/>
    </cacheField>
    <cacheField name="Asset_ID" numFmtId="0">
      <sharedItems/>
    </cacheField>
    <cacheField name="Latitude" numFmtId="0">
      <sharedItems/>
    </cacheField>
    <cacheField name="Longitude" numFmtId="0">
      <sharedItems/>
    </cacheField>
    <cacheField name="Inventory_Level" numFmtId="0">
      <sharedItems containsSemiMixedTypes="0" containsString="0" containsNumber="1" containsInteger="1" minValue="100" maxValue="500"/>
    </cacheField>
    <cacheField name="Shipment_Status" numFmtId="0">
      <sharedItems/>
    </cacheField>
    <cacheField name="Temperature" numFmtId="0">
      <sharedItems containsSemiMixedTypes="0" containsString="0" containsNumber="1" minValue="18" maxValue="30"/>
    </cacheField>
    <cacheField name="Humidity" numFmtId="0">
      <sharedItems containsSemiMixedTypes="0" containsString="0" containsNumber="1" minValue="50" maxValue="80"/>
    </cacheField>
    <cacheField name="Traffic_Status" numFmtId="0">
      <sharedItems/>
    </cacheField>
    <cacheField name="Waiting_Time" numFmtId="0">
      <sharedItems containsSemiMixedTypes="0" containsString="0" containsNumber="1" containsInteger="1" minValue="10" maxValue="60"/>
    </cacheField>
    <cacheField name="User_Transaction_Amount" numFmtId="0">
      <sharedItems containsSemiMixedTypes="0" containsString="0" containsNumber="1" containsInteger="1" minValue="100" maxValue="499"/>
    </cacheField>
    <cacheField name="User_Purchase_Frequency" numFmtId="0">
      <sharedItems containsSemiMixedTypes="0" containsString="0" containsNumber="1" containsInteger="1" minValue="1" maxValue="10"/>
    </cacheField>
    <cacheField name="Logistics_Delay_Reason" numFmtId="0">
      <sharedItems/>
    </cacheField>
    <cacheField name="Asset_Utilization" numFmtId="0">
      <sharedItems containsSemiMixedTypes="0" containsString="0" containsNumber="1" minValue="60" maxValue="100"/>
    </cacheField>
    <cacheField name="Demand_Forecast" numFmtId="0">
      <sharedItems containsSemiMixedTypes="0" containsString="0" containsNumber="1" containsInteger="1" minValue="100" maxValue="300"/>
    </cacheField>
    <cacheField name="Logistics_Delay" numFmtId="0">
      <sharedItems containsSemiMixedTypes="0" containsString="0" containsNumber="1" containsInteger="1" minValue="0" maxValue="1"/>
    </cacheField>
    <cacheField name="Demand_category" numFmtId="0">
      <sharedItems count="3">
        <s v="High demand"/>
        <s v="Mid demand"/>
        <s v="Low dema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4-03-20T00:11:14"/>
    <x v="0"/>
    <s v="-65.7383"/>
    <s v="11.2497"/>
    <n v="390"/>
    <x v="0"/>
    <n v="27"/>
    <n v="67.8"/>
    <x v="0"/>
    <n v="38"/>
    <n v="320"/>
    <n v="4"/>
    <x v="0"/>
    <n v="60.1"/>
    <x v="0"/>
    <x v="0"/>
  </r>
  <r>
    <d v="2024-10-30T07:53:51"/>
    <x v="1"/>
    <s v="22.2748"/>
    <s v="-131.7086"/>
    <n v="491"/>
    <x v="1"/>
    <n v="22.5"/>
    <n v="54.3"/>
    <x v="1"/>
    <n v="16"/>
    <n v="439"/>
    <n v="7"/>
    <x v="1"/>
    <n v="80.900000000000006"/>
    <x v="1"/>
    <x v="0"/>
  </r>
  <r>
    <d v="2024-07-29T18:42:48"/>
    <x v="2"/>
    <s v="54.9232"/>
    <s v="79.5455"/>
    <n v="190"/>
    <x v="1"/>
    <n v="25.2"/>
    <n v="62.2"/>
    <x v="0"/>
    <n v="34"/>
    <n v="355"/>
    <n v="3"/>
    <x v="0"/>
    <n v="99.2"/>
    <x v="2"/>
    <x v="1"/>
  </r>
  <r>
    <d v="2024-10-28T00:50:54"/>
    <x v="3"/>
    <s v="42.3900"/>
    <s v="-1.4788"/>
    <n v="330"/>
    <x v="2"/>
    <n v="25.4"/>
    <n v="52.3"/>
    <x v="1"/>
    <n v="37"/>
    <n v="227"/>
    <n v="5"/>
    <x v="2"/>
    <n v="97.4"/>
    <x v="3"/>
    <x v="0"/>
  </r>
  <r>
    <d v="2024-09-27T15:52:58"/>
    <x v="0"/>
    <s v="-65.8477"/>
    <s v="47.9468"/>
    <n v="480"/>
    <x v="0"/>
    <n v="20.5"/>
    <n v="57.2"/>
    <x v="2"/>
    <n v="56"/>
    <n v="197"/>
    <n v="6"/>
    <x v="0"/>
    <n v="71.599999999999994"/>
    <x v="4"/>
    <x v="0"/>
  </r>
  <r>
    <d v="2024-09-17T06:02:15"/>
    <x v="0"/>
    <s v="73.3312"/>
    <s v="46.5831"/>
    <n v="118"/>
    <x v="1"/>
    <n v="24.3"/>
    <n v="61.8"/>
    <x v="2"/>
    <n v="56"/>
    <n v="258"/>
    <n v="10"/>
    <x v="0"/>
    <n v="66.8"/>
    <x v="5"/>
    <x v="1"/>
  </r>
  <r>
    <d v="2024-02-05T08:38:56"/>
    <x v="4"/>
    <s v="27.9307"/>
    <s v="147.5317"/>
    <n v="480"/>
    <x v="0"/>
    <n v="20.7"/>
    <n v="75.400000000000006"/>
    <x v="2"/>
    <n v="32"/>
    <n v="263"/>
    <n v="3"/>
    <x v="0"/>
    <n v="73.3"/>
    <x v="6"/>
    <x v="0"/>
  </r>
  <r>
    <d v="2024-09-28T09:08:23"/>
    <x v="3"/>
    <s v="46.5643"/>
    <s v="-126.5348"/>
    <n v="222"/>
    <x v="1"/>
    <n v="23.3"/>
    <n v="64.2"/>
    <x v="0"/>
    <n v="30"/>
    <n v="459"/>
    <n v="9"/>
    <x v="2"/>
    <n v="73.8"/>
    <x v="7"/>
    <x v="1"/>
  </r>
  <r>
    <d v="2024-01-18T08:27:04"/>
    <x v="3"/>
    <s v="-83.6737"/>
    <s v="-31.7125"/>
    <n v="245"/>
    <x v="2"/>
    <n v="26.4"/>
    <n v="77.2"/>
    <x v="2"/>
    <n v="14"/>
    <n v="183"/>
    <n v="2"/>
    <x v="0"/>
    <n v="69.599999999999994"/>
    <x v="8"/>
    <x v="1"/>
  </r>
  <r>
    <d v="2024-11-09T00:48:26"/>
    <x v="5"/>
    <s v="54.1683"/>
    <s v="-135.2676"/>
    <n v="389"/>
    <x v="1"/>
    <n v="21.9"/>
    <n v="57.3"/>
    <x v="2"/>
    <n v="52"/>
    <n v="127"/>
    <n v="7"/>
    <x v="3"/>
    <n v="63.1"/>
    <x v="9"/>
    <x v="1"/>
  </r>
  <r>
    <d v="2024-01-09T23:19:43"/>
    <x v="3"/>
    <s v="82.9633"/>
    <s v="-154.5274"/>
    <n v="319"/>
    <x v="0"/>
    <n v="22"/>
    <n v="53.5"/>
    <x v="2"/>
    <n v="28"/>
    <n v="360"/>
    <n v="4"/>
    <x v="0"/>
    <n v="69.8"/>
    <x v="10"/>
    <x v="0"/>
  </r>
  <r>
    <d v="2024-02-02T22:28:16"/>
    <x v="2"/>
    <s v="-25.2768"/>
    <s v="156.1262"/>
    <n v="234"/>
    <x v="2"/>
    <n v="29.7"/>
    <n v="63.6"/>
    <x v="0"/>
    <n v="13"/>
    <n v="406"/>
    <n v="10"/>
    <x v="2"/>
    <n v="85.5"/>
    <x v="11"/>
    <x v="1"/>
  </r>
  <r>
    <d v="2024-02-17T21:14:42"/>
    <x v="6"/>
    <s v="-65.5260"/>
    <s v="-3.0202"/>
    <n v="154"/>
    <x v="1"/>
    <n v="21.5"/>
    <n v="74.2"/>
    <x v="0"/>
    <n v="38"/>
    <n v="215"/>
    <n v="3"/>
    <x v="1"/>
    <n v="84.4"/>
    <x v="12"/>
    <x v="1"/>
  </r>
  <r>
    <d v="2024-03-04T06:44:50"/>
    <x v="5"/>
    <s v="-26.1836"/>
    <s v="-30.3641"/>
    <n v="348"/>
    <x v="2"/>
    <n v="27.3"/>
    <n v="71.599999999999994"/>
    <x v="0"/>
    <n v="30"/>
    <n v="211"/>
    <n v="2"/>
    <x v="0"/>
    <n v="96.4"/>
    <x v="13"/>
    <x v="1"/>
  </r>
  <r>
    <d v="2024-08-28T12:19:14"/>
    <x v="7"/>
    <s v="2.6709"/>
    <s v="-80.8879"/>
    <n v="163"/>
    <x v="1"/>
    <n v="25.1"/>
    <n v="76.8"/>
    <x v="1"/>
    <n v="54"/>
    <n v="320"/>
    <n v="5"/>
    <x v="1"/>
    <n v="93.2"/>
    <x v="14"/>
    <x v="0"/>
  </r>
  <r>
    <d v="2024-01-04T22:52:43"/>
    <x v="8"/>
    <s v="-22.4793"/>
    <s v="-54.5143"/>
    <n v="130"/>
    <x v="0"/>
    <n v="23.7"/>
    <n v="68.099999999999994"/>
    <x v="2"/>
    <n v="45"/>
    <n v="487"/>
    <n v="4"/>
    <x v="2"/>
    <n v="84.1"/>
    <x v="15"/>
    <x v="0"/>
  </r>
  <r>
    <d v="2024-10-30T17:52:03"/>
    <x v="4"/>
    <s v="-34.5353"/>
    <s v="-40.8617"/>
    <n v="391"/>
    <x v="0"/>
    <n v="21.6"/>
    <n v="72.5"/>
    <x v="2"/>
    <n v="58"/>
    <n v="298"/>
    <n v="7"/>
    <x v="2"/>
    <n v="61.5"/>
    <x v="16"/>
    <x v="0"/>
  </r>
  <r>
    <d v="2024-07-15T15:42:02"/>
    <x v="0"/>
    <s v="-8.7105"/>
    <s v="-17.8347"/>
    <n v="344"/>
    <x v="0"/>
    <n v="21.4"/>
    <n v="53.5"/>
    <x v="0"/>
    <n v="23"/>
    <n v="461"/>
    <n v="9"/>
    <x v="0"/>
    <n v="93.4"/>
    <x v="17"/>
    <x v="0"/>
  </r>
  <r>
    <d v="2024-01-19T06:42:30"/>
    <x v="8"/>
    <s v="14.6629"/>
    <s v="116.0696"/>
    <n v="409"/>
    <x v="0"/>
    <n v="27.5"/>
    <n v="66.599999999999994"/>
    <x v="0"/>
    <n v="29"/>
    <n v="492"/>
    <n v="3"/>
    <x v="0"/>
    <n v="72.599999999999994"/>
    <x v="18"/>
    <x v="0"/>
  </r>
  <r>
    <d v="2024-04-28T21:23:34"/>
    <x v="2"/>
    <s v="75.7743"/>
    <s v="108.9425"/>
    <n v="457"/>
    <x v="1"/>
    <n v="25.5"/>
    <n v="75.900000000000006"/>
    <x v="2"/>
    <n v="21"/>
    <n v="315"/>
    <n v="3"/>
    <x v="2"/>
    <n v="83.4"/>
    <x v="19"/>
    <x v="1"/>
  </r>
  <r>
    <d v="2024-03-06T20:00:26"/>
    <x v="8"/>
    <s v="50.3419"/>
    <s v="108.5647"/>
    <n v="207"/>
    <x v="2"/>
    <n v="29.3"/>
    <n v="59.4"/>
    <x v="0"/>
    <n v="31"/>
    <n v="174"/>
    <n v="5"/>
    <x v="3"/>
    <n v="65.900000000000006"/>
    <x v="20"/>
    <x v="1"/>
  </r>
  <r>
    <d v="2024-11-20T16:38:07"/>
    <x v="6"/>
    <s v="-6.6729"/>
    <s v="132.6727"/>
    <n v="155"/>
    <x v="2"/>
    <n v="19.399999999999999"/>
    <n v="53.2"/>
    <x v="1"/>
    <n v="20"/>
    <n v="152"/>
    <n v="1"/>
    <x v="3"/>
    <n v="99.3"/>
    <x v="21"/>
    <x v="0"/>
  </r>
  <r>
    <d v="2024-01-07T09:13:28"/>
    <x v="1"/>
    <s v="-74.1751"/>
    <s v="-102.7331"/>
    <n v="314"/>
    <x v="2"/>
    <n v="19.899999999999999"/>
    <n v="64.8"/>
    <x v="0"/>
    <n v="57"/>
    <n v="396"/>
    <n v="10"/>
    <x v="1"/>
    <n v="78.599999999999994"/>
    <x v="22"/>
    <x v="1"/>
  </r>
  <r>
    <d v="2024-09-25T15:12:12"/>
    <x v="2"/>
    <s v="-33.2264"/>
    <s v="169.6187"/>
    <n v="156"/>
    <x v="1"/>
    <n v="27.2"/>
    <n v="74.400000000000006"/>
    <x v="2"/>
    <n v="35"/>
    <n v="354"/>
    <n v="2"/>
    <x v="1"/>
    <n v="63.1"/>
    <x v="23"/>
    <x v="1"/>
  </r>
  <r>
    <d v="2024-02-11T13:30:18"/>
    <x v="5"/>
    <s v="-34.4469"/>
    <s v="93.1585"/>
    <n v="119"/>
    <x v="1"/>
    <n v="28.1"/>
    <n v="72.400000000000006"/>
    <x v="0"/>
    <n v="41"/>
    <n v="176"/>
    <n v="2"/>
    <x v="0"/>
    <n v="60.9"/>
    <x v="11"/>
    <x v="1"/>
  </r>
  <r>
    <d v="2024-11-20T11:22:13"/>
    <x v="7"/>
    <s v="-13.5110"/>
    <s v="141.8454"/>
    <n v="112"/>
    <x v="1"/>
    <n v="19.7"/>
    <n v="76.599999999999994"/>
    <x v="0"/>
    <n v="22"/>
    <n v="121"/>
    <n v="3"/>
    <x v="2"/>
    <n v="80.900000000000006"/>
    <x v="24"/>
    <x v="1"/>
  </r>
  <r>
    <d v="2024-06-25T02:26:25"/>
    <x v="7"/>
    <s v="-22.4270"/>
    <s v="108.2306"/>
    <n v="435"/>
    <x v="2"/>
    <n v="25.8"/>
    <n v="78.599999999999994"/>
    <x v="1"/>
    <n v="22"/>
    <n v="220"/>
    <n v="7"/>
    <x v="2"/>
    <n v="90.8"/>
    <x v="25"/>
    <x v="0"/>
  </r>
  <r>
    <d v="2024-06-25T00:01:12"/>
    <x v="3"/>
    <s v="43.3353"/>
    <s v="-12.0683"/>
    <n v="422"/>
    <x v="2"/>
    <n v="20"/>
    <n v="62.9"/>
    <x v="1"/>
    <n v="14"/>
    <n v="184"/>
    <n v="9"/>
    <x v="2"/>
    <n v="64"/>
    <x v="19"/>
    <x v="0"/>
  </r>
  <r>
    <d v="2024-05-02T02:33:56"/>
    <x v="4"/>
    <s v="-66.7517"/>
    <s v="161.4500"/>
    <n v="353"/>
    <x v="1"/>
    <n v="20.5"/>
    <n v="52"/>
    <x v="1"/>
    <n v="26"/>
    <n v="392"/>
    <n v="7"/>
    <x v="2"/>
    <n v="76.400000000000006"/>
    <x v="26"/>
    <x v="0"/>
  </r>
  <r>
    <d v="2024-08-10T00:04:40"/>
    <x v="6"/>
    <s v="-65.7349"/>
    <s v="-173.3011"/>
    <n v="299"/>
    <x v="0"/>
    <n v="23.9"/>
    <n v="50.1"/>
    <x v="1"/>
    <n v="17"/>
    <n v="315"/>
    <n v="6"/>
    <x v="0"/>
    <n v="88.3"/>
    <x v="27"/>
    <x v="0"/>
  </r>
  <r>
    <d v="2024-05-13T03:20:21"/>
    <x v="9"/>
    <s v="-55.4768"/>
    <s v="18.2551"/>
    <n v="261"/>
    <x v="0"/>
    <n v="22.5"/>
    <n v="78.400000000000006"/>
    <x v="2"/>
    <n v="41"/>
    <n v="209"/>
    <n v="6"/>
    <x v="3"/>
    <n v="71.8"/>
    <x v="28"/>
    <x v="0"/>
  </r>
  <r>
    <d v="2024-12-02T08:32:47"/>
    <x v="6"/>
    <s v="5.9179"/>
    <s v="74.8254"/>
    <n v="425"/>
    <x v="0"/>
    <n v="19.3"/>
    <n v="51.1"/>
    <x v="1"/>
    <n v="39"/>
    <n v="235"/>
    <n v="9"/>
    <x v="3"/>
    <n v="88.3"/>
    <x v="29"/>
    <x v="0"/>
  </r>
  <r>
    <d v="2024-02-12T06:23:27"/>
    <x v="0"/>
    <s v="49.3929"/>
    <s v="-47.5805"/>
    <n v="369"/>
    <x v="2"/>
    <n v="26.3"/>
    <n v="52.1"/>
    <x v="0"/>
    <n v="48"/>
    <n v="104"/>
    <n v="7"/>
    <x v="0"/>
    <n v="66.7"/>
    <x v="30"/>
    <x v="1"/>
  </r>
  <r>
    <d v="2024-04-24T06:17:22"/>
    <x v="2"/>
    <s v="80.3158"/>
    <s v="70.7650"/>
    <n v="223"/>
    <x v="0"/>
    <n v="24"/>
    <n v="60.2"/>
    <x v="1"/>
    <n v="45"/>
    <n v="292"/>
    <n v="6"/>
    <x v="1"/>
    <n v="78.400000000000006"/>
    <x v="31"/>
    <x v="0"/>
  </r>
  <r>
    <d v="2024-12-06T19:05:13"/>
    <x v="5"/>
    <s v="-19.8847"/>
    <s v="42.5062"/>
    <n v="200"/>
    <x v="2"/>
    <n v="28.1"/>
    <n v="72.099999999999994"/>
    <x v="0"/>
    <n v="28"/>
    <n v="129"/>
    <n v="9"/>
    <x v="0"/>
    <n v="74.3"/>
    <x v="32"/>
    <x v="1"/>
  </r>
  <r>
    <d v="2024-04-30T11:53:17"/>
    <x v="3"/>
    <s v="5.4555"/>
    <s v="-147.5455"/>
    <n v="466"/>
    <x v="1"/>
    <n v="26.1"/>
    <n v="72.099999999999994"/>
    <x v="0"/>
    <n v="54"/>
    <n v="475"/>
    <n v="9"/>
    <x v="3"/>
    <n v="83.4"/>
    <x v="33"/>
    <x v="1"/>
  </r>
  <r>
    <d v="2024-09-19T22:53:51"/>
    <x v="6"/>
    <s v="-19.2577"/>
    <s v="66.7440"/>
    <n v="474"/>
    <x v="1"/>
    <n v="27.7"/>
    <n v="71.2"/>
    <x v="1"/>
    <n v="50"/>
    <n v="311"/>
    <n v="3"/>
    <x v="3"/>
    <n v="91.6"/>
    <x v="34"/>
    <x v="0"/>
  </r>
  <r>
    <d v="2024-12-22T15:08:14"/>
    <x v="1"/>
    <s v="-79.0792"/>
    <s v="-16.3423"/>
    <n v="490"/>
    <x v="2"/>
    <n v="23.1"/>
    <n v="75.2"/>
    <x v="1"/>
    <n v="14"/>
    <n v="460"/>
    <n v="7"/>
    <x v="0"/>
    <n v="87.8"/>
    <x v="35"/>
    <x v="0"/>
  </r>
  <r>
    <d v="2024-08-15T05:45:04"/>
    <x v="8"/>
    <s v="-1.6787"/>
    <s v="3.2441"/>
    <n v="126"/>
    <x v="2"/>
    <n v="29.6"/>
    <n v="67.599999999999994"/>
    <x v="0"/>
    <n v="19"/>
    <n v="201"/>
    <n v="9"/>
    <x v="1"/>
    <n v="84.1"/>
    <x v="36"/>
    <x v="1"/>
  </r>
  <r>
    <d v="2024-03-16T11:17:42"/>
    <x v="0"/>
    <s v="-8.2431"/>
    <s v="-12.4959"/>
    <n v="164"/>
    <x v="1"/>
    <n v="18.2"/>
    <n v="76.400000000000006"/>
    <x v="2"/>
    <n v="45"/>
    <n v="466"/>
    <n v="7"/>
    <x v="0"/>
    <n v="98.1"/>
    <x v="37"/>
    <x v="1"/>
  </r>
  <r>
    <d v="2024-12-28T11:40:55"/>
    <x v="5"/>
    <s v="-30.0701"/>
    <s v="135.6396"/>
    <n v="477"/>
    <x v="0"/>
    <n v="19.2"/>
    <n v="79.400000000000006"/>
    <x v="2"/>
    <n v="12"/>
    <n v="310"/>
    <n v="5"/>
    <x v="3"/>
    <n v="63.7"/>
    <x v="38"/>
    <x v="0"/>
  </r>
  <r>
    <d v="2024-02-04T18:55:58"/>
    <x v="8"/>
    <s v="61.8444"/>
    <s v="107.4835"/>
    <n v="245"/>
    <x v="1"/>
    <n v="24.2"/>
    <n v="56.9"/>
    <x v="0"/>
    <n v="39"/>
    <n v="379"/>
    <n v="2"/>
    <x v="2"/>
    <n v="66.400000000000006"/>
    <x v="39"/>
    <x v="1"/>
  </r>
  <r>
    <d v="2024-07-09T02:12:54"/>
    <x v="8"/>
    <s v="40.7840"/>
    <s v="77.2346"/>
    <n v="172"/>
    <x v="0"/>
    <n v="25.2"/>
    <n v="67.599999999999994"/>
    <x v="2"/>
    <n v="40"/>
    <n v="274"/>
    <n v="7"/>
    <x v="1"/>
    <n v="66.3"/>
    <x v="16"/>
    <x v="0"/>
  </r>
  <r>
    <d v="2024-12-01T23:54:16"/>
    <x v="0"/>
    <s v="-68.3515"/>
    <s v="158.2510"/>
    <n v="206"/>
    <x v="0"/>
    <n v="20.7"/>
    <n v="77.5"/>
    <x v="2"/>
    <n v="15"/>
    <n v="308"/>
    <n v="2"/>
    <x v="3"/>
    <n v="63.9"/>
    <x v="40"/>
    <x v="0"/>
  </r>
  <r>
    <d v="2024-06-22T13:26:02"/>
    <x v="1"/>
    <s v="-33.8378"/>
    <s v="73.3221"/>
    <n v="310"/>
    <x v="1"/>
    <n v="18.7"/>
    <n v="54.7"/>
    <x v="2"/>
    <n v="52"/>
    <n v="232"/>
    <n v="9"/>
    <x v="2"/>
    <n v="72.599999999999994"/>
    <x v="41"/>
    <x v="1"/>
  </r>
  <r>
    <d v="2024-07-27T15:50:46"/>
    <x v="5"/>
    <s v="69.6609"/>
    <s v="38.4464"/>
    <n v="225"/>
    <x v="2"/>
    <n v="19"/>
    <n v="63"/>
    <x v="1"/>
    <n v="17"/>
    <n v="282"/>
    <n v="6"/>
    <x v="1"/>
    <n v="99.6"/>
    <x v="42"/>
    <x v="0"/>
  </r>
  <r>
    <d v="2024-09-05T14:12:00"/>
    <x v="7"/>
    <s v="20.8843"/>
    <s v="1.3947"/>
    <n v="303"/>
    <x v="0"/>
    <n v="20.7"/>
    <n v="70.599999999999994"/>
    <x v="2"/>
    <n v="47"/>
    <n v="143"/>
    <n v="10"/>
    <x v="0"/>
    <n v="98.1"/>
    <x v="43"/>
    <x v="0"/>
  </r>
  <r>
    <d v="2024-11-11T22:09:53"/>
    <x v="9"/>
    <s v="-14.8081"/>
    <s v="-177.3003"/>
    <n v="237"/>
    <x v="0"/>
    <n v="20.7"/>
    <n v="78.3"/>
    <x v="1"/>
    <n v="35"/>
    <n v="491"/>
    <n v="2"/>
    <x v="0"/>
    <n v="80.7"/>
    <x v="5"/>
    <x v="0"/>
  </r>
  <r>
    <d v="2024-05-01T22:26:11"/>
    <x v="1"/>
    <s v="0.0414"/>
    <s v="-130.6505"/>
    <n v="172"/>
    <x v="2"/>
    <n v="18.2"/>
    <n v="79.900000000000006"/>
    <x v="2"/>
    <n v="46"/>
    <n v="258"/>
    <n v="3"/>
    <x v="3"/>
    <n v="60.1"/>
    <x v="44"/>
    <x v="1"/>
  </r>
  <r>
    <d v="2024-07-26T20:19:01"/>
    <x v="3"/>
    <s v="-79.9146"/>
    <s v="-3.8554"/>
    <n v="214"/>
    <x v="1"/>
    <n v="21.7"/>
    <n v="77"/>
    <x v="1"/>
    <n v="47"/>
    <n v="187"/>
    <n v="10"/>
    <x v="0"/>
    <n v="97.4"/>
    <x v="45"/>
    <x v="0"/>
  </r>
  <r>
    <d v="2024-08-09T01:16:43"/>
    <x v="7"/>
    <s v="76.4465"/>
    <s v="173.1493"/>
    <n v="330"/>
    <x v="0"/>
    <n v="24"/>
    <n v="52.9"/>
    <x v="1"/>
    <n v="14"/>
    <n v="425"/>
    <n v="1"/>
    <x v="3"/>
    <n v="89.8"/>
    <x v="46"/>
    <x v="0"/>
  </r>
  <r>
    <d v="2024-01-29T21:04:08"/>
    <x v="8"/>
    <s v="-15.6005"/>
    <s v="-92.1974"/>
    <n v="130"/>
    <x v="2"/>
    <n v="18.100000000000001"/>
    <n v="78.3"/>
    <x v="1"/>
    <n v="39"/>
    <n v="424"/>
    <n v="9"/>
    <x v="2"/>
    <n v="92.3"/>
    <x v="47"/>
    <x v="0"/>
  </r>
  <r>
    <d v="2024-03-23T12:47:34"/>
    <x v="5"/>
    <s v="67.3960"/>
    <s v="170.1537"/>
    <n v="364"/>
    <x v="0"/>
    <n v="26.9"/>
    <n v="67.8"/>
    <x v="2"/>
    <n v="55"/>
    <n v="467"/>
    <n v="7"/>
    <x v="1"/>
    <n v="95.2"/>
    <x v="48"/>
    <x v="0"/>
  </r>
  <r>
    <d v="2024-10-17T13:22:31"/>
    <x v="6"/>
    <s v="33.6179"/>
    <s v="-67.2758"/>
    <n v="430"/>
    <x v="0"/>
    <n v="26.4"/>
    <n v="68.400000000000006"/>
    <x v="1"/>
    <n v="16"/>
    <n v="277"/>
    <n v="8"/>
    <x v="0"/>
    <n v="71.900000000000006"/>
    <x v="49"/>
    <x v="0"/>
  </r>
  <r>
    <d v="2024-07-11T07:07:27"/>
    <x v="6"/>
    <s v="-50.8174"/>
    <s v="-40.3409"/>
    <n v="187"/>
    <x v="1"/>
    <n v="18.600000000000001"/>
    <n v="67.7"/>
    <x v="2"/>
    <n v="12"/>
    <n v="375"/>
    <n v="5"/>
    <x v="0"/>
    <n v="85.4"/>
    <x v="50"/>
    <x v="1"/>
  </r>
  <r>
    <d v="2024-12-11T16:57:48"/>
    <x v="8"/>
    <s v="50.2709"/>
    <s v="125.6915"/>
    <n v="323"/>
    <x v="0"/>
    <n v="28.3"/>
    <n v="61.2"/>
    <x v="0"/>
    <n v="52"/>
    <n v="139"/>
    <n v="4"/>
    <x v="1"/>
    <n v="72.400000000000006"/>
    <x v="51"/>
    <x v="0"/>
  </r>
  <r>
    <d v="2024-01-10T01:05:25"/>
    <x v="3"/>
    <s v="-73.8211"/>
    <s v="3.1870"/>
    <n v="386"/>
    <x v="2"/>
    <n v="26.6"/>
    <n v="78.2"/>
    <x v="0"/>
    <n v="19"/>
    <n v="456"/>
    <n v="7"/>
    <x v="2"/>
    <n v="87.6"/>
    <x v="52"/>
    <x v="1"/>
  </r>
  <r>
    <d v="2024-06-17T07:59:24"/>
    <x v="3"/>
    <s v="79.1172"/>
    <s v="178.4934"/>
    <n v="422"/>
    <x v="0"/>
    <n v="19.600000000000001"/>
    <n v="53.3"/>
    <x v="1"/>
    <n v="40"/>
    <n v="205"/>
    <n v="5"/>
    <x v="1"/>
    <n v="86.1"/>
    <x v="29"/>
    <x v="0"/>
  </r>
  <r>
    <d v="2024-06-25T01:52:28"/>
    <x v="3"/>
    <s v="27.4253"/>
    <s v="90.1386"/>
    <n v="433"/>
    <x v="0"/>
    <n v="24"/>
    <n v="77.8"/>
    <x v="2"/>
    <n v="37"/>
    <n v="173"/>
    <n v="9"/>
    <x v="1"/>
    <n v="89.6"/>
    <x v="47"/>
    <x v="0"/>
  </r>
  <r>
    <d v="2024-04-17T20:13:18"/>
    <x v="3"/>
    <s v="67.9086"/>
    <s v="-140.0283"/>
    <n v="318"/>
    <x v="2"/>
    <n v="26"/>
    <n v="77.400000000000006"/>
    <x v="2"/>
    <n v="19"/>
    <n v="314"/>
    <n v="2"/>
    <x v="0"/>
    <n v="70.2"/>
    <x v="53"/>
    <x v="1"/>
  </r>
  <r>
    <d v="2024-10-09T18:26:11"/>
    <x v="3"/>
    <s v="-72.8958"/>
    <s v="129.8921"/>
    <n v="176"/>
    <x v="1"/>
    <n v="22.6"/>
    <n v="73.3"/>
    <x v="1"/>
    <n v="37"/>
    <n v="154"/>
    <n v="4"/>
    <x v="3"/>
    <n v="91.4"/>
    <x v="54"/>
    <x v="0"/>
  </r>
  <r>
    <d v="2024-11-27T17:17:47"/>
    <x v="4"/>
    <s v="-58.6802"/>
    <s v="-62.7474"/>
    <n v="125"/>
    <x v="0"/>
    <n v="23.4"/>
    <n v="57.6"/>
    <x v="1"/>
    <n v="23"/>
    <n v="191"/>
    <n v="2"/>
    <x v="2"/>
    <n v="72"/>
    <x v="55"/>
    <x v="0"/>
  </r>
  <r>
    <d v="2024-06-12T02:49:27"/>
    <x v="1"/>
    <s v="64.0395"/>
    <s v="-151.7045"/>
    <n v="336"/>
    <x v="1"/>
    <n v="27.4"/>
    <n v="58.9"/>
    <x v="0"/>
    <n v="49"/>
    <n v="100"/>
    <n v="10"/>
    <x v="1"/>
    <n v="70.7"/>
    <x v="56"/>
    <x v="1"/>
  </r>
  <r>
    <d v="2024-11-02T21:19:46"/>
    <x v="0"/>
    <s v="-24.1402"/>
    <s v="-168.6013"/>
    <n v="244"/>
    <x v="2"/>
    <n v="21.3"/>
    <n v="73.8"/>
    <x v="1"/>
    <n v="39"/>
    <n v="229"/>
    <n v="7"/>
    <x v="0"/>
    <n v="98.1"/>
    <x v="57"/>
    <x v="0"/>
  </r>
  <r>
    <d v="2024-02-29T15:12:54"/>
    <x v="4"/>
    <s v="72.8574"/>
    <s v="179.0100"/>
    <n v="391"/>
    <x v="1"/>
    <n v="20.5"/>
    <n v="71.2"/>
    <x v="0"/>
    <n v="12"/>
    <n v="112"/>
    <n v="7"/>
    <x v="0"/>
    <n v="78.3"/>
    <x v="58"/>
    <x v="1"/>
  </r>
  <r>
    <d v="2024-03-17T23:47:15"/>
    <x v="1"/>
    <s v="7.3575"/>
    <s v="86.6442"/>
    <n v="425"/>
    <x v="2"/>
    <n v="24.2"/>
    <n v="54.6"/>
    <x v="0"/>
    <n v="32"/>
    <n v="193"/>
    <n v="3"/>
    <x v="1"/>
    <n v="69.900000000000006"/>
    <x v="2"/>
    <x v="1"/>
  </r>
  <r>
    <d v="2024-11-25T10:39:09"/>
    <x v="8"/>
    <s v="68.9594"/>
    <s v="-123.5048"/>
    <n v="403"/>
    <x v="1"/>
    <n v="26.9"/>
    <n v="60.6"/>
    <x v="2"/>
    <n v="50"/>
    <n v="418"/>
    <n v="1"/>
    <x v="2"/>
    <n v="67.8"/>
    <x v="59"/>
    <x v="1"/>
  </r>
  <r>
    <d v="2024-07-04T18:22:32"/>
    <x v="4"/>
    <s v="14.9079"/>
    <s v="50.1606"/>
    <n v="438"/>
    <x v="0"/>
    <n v="26.5"/>
    <n v="69.3"/>
    <x v="1"/>
    <n v="34"/>
    <n v="378"/>
    <n v="5"/>
    <x v="1"/>
    <n v="88.7"/>
    <x v="15"/>
    <x v="0"/>
  </r>
  <r>
    <d v="2024-03-19T05:23:55"/>
    <x v="9"/>
    <s v="66.2353"/>
    <s v="10.8345"/>
    <n v="339"/>
    <x v="1"/>
    <n v="26.8"/>
    <n v="64.5"/>
    <x v="0"/>
    <n v="24"/>
    <n v="235"/>
    <n v="6"/>
    <x v="2"/>
    <n v="69.3"/>
    <x v="60"/>
    <x v="1"/>
  </r>
  <r>
    <d v="2024-03-20T01:25:23"/>
    <x v="3"/>
    <s v="70.1899"/>
    <s v="-65.6792"/>
    <n v="203"/>
    <x v="1"/>
    <n v="18"/>
    <n v="68.900000000000006"/>
    <x v="1"/>
    <n v="19"/>
    <n v="370"/>
    <n v="3"/>
    <x v="2"/>
    <n v="74.400000000000006"/>
    <x v="61"/>
    <x v="0"/>
  </r>
  <r>
    <d v="2024-07-18T11:16:58"/>
    <x v="4"/>
    <s v="51.4539"/>
    <s v="-20.8253"/>
    <n v="313"/>
    <x v="2"/>
    <n v="23.6"/>
    <n v="65.2"/>
    <x v="2"/>
    <n v="49"/>
    <n v="137"/>
    <n v="6"/>
    <x v="0"/>
    <n v="100"/>
    <x v="62"/>
    <x v="1"/>
  </r>
  <r>
    <d v="2024-08-10T08:40:26"/>
    <x v="5"/>
    <s v="-39.8800"/>
    <s v="55.1792"/>
    <n v="261"/>
    <x v="2"/>
    <n v="27.1"/>
    <n v="67.3"/>
    <x v="0"/>
    <n v="35"/>
    <n v="496"/>
    <n v="2"/>
    <x v="1"/>
    <n v="71.3"/>
    <x v="63"/>
    <x v="1"/>
  </r>
  <r>
    <d v="2024-02-20T08:11:14"/>
    <x v="6"/>
    <s v="-17.2355"/>
    <s v="-130.6915"/>
    <n v="179"/>
    <x v="1"/>
    <n v="28.5"/>
    <n v="51"/>
    <x v="0"/>
    <n v="12"/>
    <n v="354"/>
    <n v="3"/>
    <x v="1"/>
    <n v="92.8"/>
    <x v="64"/>
    <x v="1"/>
  </r>
  <r>
    <d v="2024-12-18T02:23:25"/>
    <x v="1"/>
    <s v="-44.2576"/>
    <s v="-86.5073"/>
    <n v="442"/>
    <x v="1"/>
    <n v="18.3"/>
    <n v="50.3"/>
    <x v="2"/>
    <n v="56"/>
    <n v="469"/>
    <n v="2"/>
    <x v="0"/>
    <n v="96.3"/>
    <x v="65"/>
    <x v="1"/>
  </r>
  <r>
    <d v="2024-08-20T16:18:37"/>
    <x v="8"/>
    <s v="19.9257"/>
    <s v="116.0526"/>
    <n v="291"/>
    <x v="2"/>
    <n v="28.5"/>
    <n v="54.6"/>
    <x v="1"/>
    <n v="14"/>
    <n v="316"/>
    <n v="7"/>
    <x v="0"/>
    <n v="77.5"/>
    <x v="66"/>
    <x v="0"/>
  </r>
  <r>
    <d v="2024-11-06T07:40:41"/>
    <x v="8"/>
    <s v="-47.2094"/>
    <s v="15.6324"/>
    <n v="348"/>
    <x v="2"/>
    <n v="28.2"/>
    <n v="68.3"/>
    <x v="2"/>
    <n v="22"/>
    <n v="415"/>
    <n v="4"/>
    <x v="2"/>
    <n v="67.400000000000006"/>
    <x v="18"/>
    <x v="1"/>
  </r>
  <r>
    <d v="2024-12-14T15:09:01"/>
    <x v="1"/>
    <s v="-58.4249"/>
    <s v="-57.6609"/>
    <n v="454"/>
    <x v="1"/>
    <n v="23.7"/>
    <n v="51.9"/>
    <x v="2"/>
    <n v="51"/>
    <n v="232"/>
    <n v="7"/>
    <x v="1"/>
    <n v="78.7"/>
    <x v="67"/>
    <x v="1"/>
  </r>
  <r>
    <d v="2024-01-15T12:01:25"/>
    <x v="9"/>
    <s v="-20.0696"/>
    <s v="-73.2689"/>
    <n v="486"/>
    <x v="2"/>
    <n v="29.1"/>
    <n v="78.400000000000006"/>
    <x v="2"/>
    <n v="21"/>
    <n v="158"/>
    <n v="7"/>
    <x v="0"/>
    <n v="62.6"/>
    <x v="68"/>
    <x v="1"/>
  </r>
  <r>
    <d v="2024-05-18T10:00:52"/>
    <x v="2"/>
    <s v="-36.8549"/>
    <s v="164.7618"/>
    <n v="483"/>
    <x v="1"/>
    <n v="29.2"/>
    <n v="65"/>
    <x v="1"/>
    <n v="57"/>
    <n v="167"/>
    <n v="8"/>
    <x v="3"/>
    <n v="96.8"/>
    <x v="69"/>
    <x v="0"/>
  </r>
  <r>
    <d v="2024-11-17T02:02:28"/>
    <x v="4"/>
    <s v="-86.6609"/>
    <s v="-128.0354"/>
    <n v="472"/>
    <x v="2"/>
    <n v="23.5"/>
    <n v="72"/>
    <x v="2"/>
    <n v="59"/>
    <n v="485"/>
    <n v="3"/>
    <x v="1"/>
    <n v="67.2"/>
    <x v="19"/>
    <x v="1"/>
  </r>
  <r>
    <d v="2024-08-22T20:11:57"/>
    <x v="8"/>
    <s v="-53.3732"/>
    <s v="-99.6370"/>
    <n v="186"/>
    <x v="1"/>
    <n v="18.899999999999999"/>
    <n v="70.5"/>
    <x v="2"/>
    <n v="38"/>
    <n v="344"/>
    <n v="1"/>
    <x v="2"/>
    <n v="95.6"/>
    <x v="27"/>
    <x v="1"/>
  </r>
  <r>
    <d v="2024-09-12T08:00:47"/>
    <x v="1"/>
    <s v="-58.7963"/>
    <s v="-150.4122"/>
    <n v="366"/>
    <x v="1"/>
    <n v="22.8"/>
    <n v="66.7"/>
    <x v="2"/>
    <n v="39"/>
    <n v="219"/>
    <n v="7"/>
    <x v="2"/>
    <n v="91"/>
    <x v="70"/>
    <x v="1"/>
  </r>
  <r>
    <d v="2024-08-09T21:54:31"/>
    <x v="8"/>
    <s v="-46.1616"/>
    <s v="-46.6401"/>
    <n v="359"/>
    <x v="2"/>
    <n v="23"/>
    <n v="71.7"/>
    <x v="0"/>
    <n v="50"/>
    <n v="486"/>
    <n v="10"/>
    <x v="2"/>
    <n v="64"/>
    <x v="54"/>
    <x v="1"/>
  </r>
  <r>
    <d v="2024-04-19T02:50:29"/>
    <x v="0"/>
    <s v="33.8716"/>
    <s v="36.8753"/>
    <n v="422"/>
    <x v="0"/>
    <n v="26.5"/>
    <n v="75"/>
    <x v="1"/>
    <n v="39"/>
    <n v="100"/>
    <n v="6"/>
    <x v="0"/>
    <n v="67.2"/>
    <x v="51"/>
    <x v="0"/>
  </r>
  <r>
    <d v="2024-09-30T11:18:34"/>
    <x v="1"/>
    <s v="35.7136"/>
    <s v="-23.1356"/>
    <n v="209"/>
    <x v="1"/>
    <n v="24.9"/>
    <n v="76.8"/>
    <x v="2"/>
    <n v="51"/>
    <n v="214"/>
    <n v="2"/>
    <x v="3"/>
    <n v="86.5"/>
    <x v="71"/>
    <x v="1"/>
  </r>
  <r>
    <d v="2024-03-22T16:43:42"/>
    <x v="8"/>
    <s v="36.3858"/>
    <s v="-107.3894"/>
    <n v="324"/>
    <x v="0"/>
    <n v="20.7"/>
    <n v="77.5"/>
    <x v="1"/>
    <n v="39"/>
    <n v="387"/>
    <n v="1"/>
    <x v="0"/>
    <n v="69.099999999999994"/>
    <x v="72"/>
    <x v="0"/>
  </r>
  <r>
    <d v="2024-10-15T04:02:56"/>
    <x v="0"/>
    <s v="26.6125"/>
    <s v="25.4788"/>
    <n v="199"/>
    <x v="1"/>
    <n v="27.4"/>
    <n v="57.1"/>
    <x v="1"/>
    <n v="28"/>
    <n v="383"/>
    <n v="6"/>
    <x v="0"/>
    <n v="61.9"/>
    <x v="73"/>
    <x v="0"/>
  </r>
  <r>
    <d v="2024-12-18T19:01:30"/>
    <x v="8"/>
    <s v="-84.8915"/>
    <s v="57.5714"/>
    <n v="213"/>
    <x v="0"/>
    <n v="27.7"/>
    <n v="58.1"/>
    <x v="2"/>
    <n v="41"/>
    <n v="267"/>
    <n v="7"/>
    <x v="3"/>
    <n v="60.9"/>
    <x v="61"/>
    <x v="0"/>
  </r>
  <r>
    <d v="2024-06-09T17:12:12"/>
    <x v="4"/>
    <s v="-49.6846"/>
    <s v="-63.2892"/>
    <n v="257"/>
    <x v="0"/>
    <n v="23.1"/>
    <n v="59.1"/>
    <x v="2"/>
    <n v="56"/>
    <n v="451"/>
    <n v="3"/>
    <x v="1"/>
    <n v="93.8"/>
    <x v="19"/>
    <x v="0"/>
  </r>
  <r>
    <d v="2024-10-30T02:01:46"/>
    <x v="8"/>
    <s v="14.7474"/>
    <s v="-2.5245"/>
    <n v="475"/>
    <x v="1"/>
    <n v="22.2"/>
    <n v="79.400000000000006"/>
    <x v="0"/>
    <n v="25"/>
    <n v="268"/>
    <n v="3"/>
    <x v="1"/>
    <n v="60.3"/>
    <x v="74"/>
    <x v="1"/>
  </r>
  <r>
    <d v="2024-06-23T03:05:18"/>
    <x v="0"/>
    <s v="-8.6011"/>
    <s v="-63.1274"/>
    <n v="377"/>
    <x v="1"/>
    <n v="22.7"/>
    <n v="75.5"/>
    <x v="2"/>
    <n v="59"/>
    <n v="445"/>
    <n v="7"/>
    <x v="0"/>
    <n v="99.1"/>
    <x v="75"/>
    <x v="1"/>
  </r>
  <r>
    <d v="2024-08-19T17:13:42"/>
    <x v="5"/>
    <s v="67.2149"/>
    <s v="117.9203"/>
    <n v="456"/>
    <x v="0"/>
    <n v="26.4"/>
    <n v="51.4"/>
    <x v="1"/>
    <n v="23"/>
    <n v="100"/>
    <n v="1"/>
    <x v="1"/>
    <n v="94.2"/>
    <x v="73"/>
    <x v="0"/>
  </r>
  <r>
    <d v="2024-04-30T12:39:49"/>
    <x v="9"/>
    <s v="-11.3392"/>
    <s v="-69.3395"/>
    <n v="106"/>
    <x v="0"/>
    <n v="18.3"/>
    <n v="65.900000000000006"/>
    <x v="1"/>
    <n v="53"/>
    <n v="244"/>
    <n v="2"/>
    <x v="2"/>
    <n v="99.5"/>
    <x v="76"/>
    <x v="0"/>
  </r>
  <r>
    <d v="2024-12-15T03:53:36"/>
    <x v="2"/>
    <s v="26.3763"/>
    <s v="157.0905"/>
    <n v="234"/>
    <x v="0"/>
    <n v="29.1"/>
    <n v="65.3"/>
    <x v="2"/>
    <n v="19"/>
    <n v="432"/>
    <n v="3"/>
    <x v="1"/>
    <n v="92.7"/>
    <x v="77"/>
    <x v="0"/>
  </r>
  <r>
    <d v="2024-03-21T14:56:42"/>
    <x v="6"/>
    <s v="-13.4690"/>
    <s v="75.3408"/>
    <n v="390"/>
    <x v="0"/>
    <n v="19.5"/>
    <n v="79.2"/>
    <x v="1"/>
    <n v="26"/>
    <n v="366"/>
    <n v="4"/>
    <x v="3"/>
    <n v="69.400000000000006"/>
    <x v="78"/>
    <x v="0"/>
  </r>
  <r>
    <d v="2024-09-27T18:08:16"/>
    <x v="4"/>
    <s v="-11.2424"/>
    <s v="-4.5638"/>
    <n v="203"/>
    <x v="2"/>
    <n v="20.399999999999999"/>
    <n v="78.3"/>
    <x v="0"/>
    <n v="21"/>
    <n v="187"/>
    <n v="5"/>
    <x v="0"/>
    <n v="87.9"/>
    <x v="24"/>
    <x v="1"/>
  </r>
  <r>
    <d v="2024-11-17T08:35:02"/>
    <x v="1"/>
    <s v="62.6559"/>
    <s v="18.8474"/>
    <n v="297"/>
    <x v="0"/>
    <n v="23.1"/>
    <n v="59.4"/>
    <x v="0"/>
    <n v="29"/>
    <n v="268"/>
    <n v="10"/>
    <x v="2"/>
    <n v="71.2"/>
    <x v="74"/>
    <x v="0"/>
  </r>
  <r>
    <d v="2024-05-03T03:34:28"/>
    <x v="3"/>
    <s v="60.8032"/>
    <s v="-179.5906"/>
    <n v="238"/>
    <x v="1"/>
    <n v="25"/>
    <n v="75.8"/>
    <x v="1"/>
    <n v="26"/>
    <n v="330"/>
    <n v="9"/>
    <x v="1"/>
    <n v="99.2"/>
    <x v="79"/>
    <x v="0"/>
  </r>
  <r>
    <d v="2024-03-05T00:54:47"/>
    <x v="4"/>
    <s v="-10.0451"/>
    <s v="79.8956"/>
    <n v="126"/>
    <x v="2"/>
    <n v="28.2"/>
    <n v="54.5"/>
    <x v="0"/>
    <n v="35"/>
    <n v="320"/>
    <n v="4"/>
    <x v="3"/>
    <n v="93.7"/>
    <x v="80"/>
    <x v="1"/>
  </r>
  <r>
    <d v="2024-01-14T09:22:40"/>
    <x v="5"/>
    <s v="17.6483"/>
    <s v="114.2638"/>
    <n v="455"/>
    <x v="2"/>
    <n v="22.9"/>
    <n v="79.599999999999994"/>
    <x v="0"/>
    <n v="51"/>
    <n v="410"/>
    <n v="9"/>
    <x v="1"/>
    <n v="84.9"/>
    <x v="81"/>
    <x v="1"/>
  </r>
  <r>
    <d v="2024-02-17T21:06:05"/>
    <x v="4"/>
    <s v="-51.9233"/>
    <s v="-57.5858"/>
    <n v="220"/>
    <x v="0"/>
    <n v="29.4"/>
    <n v="52.4"/>
    <x v="2"/>
    <n v="18"/>
    <n v="468"/>
    <n v="9"/>
    <x v="3"/>
    <n v="63.1"/>
    <x v="49"/>
    <x v="0"/>
  </r>
  <r>
    <d v="2024-07-06T11:17:28"/>
    <x v="8"/>
    <s v="22.3898"/>
    <s v="3.8948"/>
    <n v="403"/>
    <x v="1"/>
    <n v="22.5"/>
    <n v="62.5"/>
    <x v="2"/>
    <n v="38"/>
    <n v="225"/>
    <n v="3"/>
    <x v="1"/>
    <n v="81.400000000000006"/>
    <x v="54"/>
    <x v="1"/>
  </r>
  <r>
    <d v="2024-05-10T22:14:19"/>
    <x v="2"/>
    <s v="86.3368"/>
    <s v="29.4478"/>
    <n v="448"/>
    <x v="0"/>
    <n v="23.4"/>
    <n v="59.9"/>
    <x v="0"/>
    <n v="41"/>
    <n v="120"/>
    <n v="10"/>
    <x v="1"/>
    <n v="70.8"/>
    <x v="82"/>
    <x v="0"/>
  </r>
  <r>
    <d v="2024-12-23T18:56:11"/>
    <x v="8"/>
    <s v="-14.6662"/>
    <s v="-88.3674"/>
    <n v="168"/>
    <x v="1"/>
    <n v="22.4"/>
    <n v="57.9"/>
    <x v="1"/>
    <n v="43"/>
    <n v="377"/>
    <n v="4"/>
    <x v="3"/>
    <n v="71.099999999999994"/>
    <x v="50"/>
    <x v="0"/>
  </r>
  <r>
    <d v="2024-02-06T08:28:02"/>
    <x v="0"/>
    <s v="-71.9057"/>
    <s v="-41.4314"/>
    <n v="409"/>
    <x v="2"/>
    <n v="18"/>
    <n v="53.5"/>
    <x v="1"/>
    <n v="47"/>
    <n v="153"/>
    <n v="9"/>
    <x v="0"/>
    <n v="74.099999999999994"/>
    <x v="83"/>
    <x v="0"/>
  </r>
  <r>
    <d v="2024-09-16T10:08:52"/>
    <x v="5"/>
    <s v="54.8888"/>
    <s v="7.4287"/>
    <n v="469"/>
    <x v="1"/>
    <n v="20.7"/>
    <n v="70.400000000000006"/>
    <x v="2"/>
    <n v="31"/>
    <n v="335"/>
    <n v="7"/>
    <x v="2"/>
    <n v="86.1"/>
    <x v="84"/>
    <x v="1"/>
  </r>
  <r>
    <d v="2024-01-26T12:56:30"/>
    <x v="8"/>
    <s v="-89.7915"/>
    <s v="85.8036"/>
    <n v="305"/>
    <x v="1"/>
    <n v="20.5"/>
    <n v="71.2"/>
    <x v="0"/>
    <n v="44"/>
    <n v="302"/>
    <n v="10"/>
    <x v="1"/>
    <n v="71.900000000000006"/>
    <x v="85"/>
    <x v="1"/>
  </r>
  <r>
    <d v="2024-11-29T06:34:32"/>
    <x v="8"/>
    <s v="39.9088"/>
    <s v="71.9595"/>
    <n v="219"/>
    <x v="0"/>
    <n v="26.6"/>
    <n v="79.8"/>
    <x v="1"/>
    <n v="46"/>
    <n v="245"/>
    <n v="1"/>
    <x v="0"/>
    <n v="70.5"/>
    <x v="86"/>
    <x v="0"/>
  </r>
  <r>
    <d v="2024-06-02T19:16:49"/>
    <x v="6"/>
    <s v="30.7119"/>
    <s v="111.5767"/>
    <n v="167"/>
    <x v="0"/>
    <n v="23.8"/>
    <n v="71.599999999999994"/>
    <x v="2"/>
    <n v="55"/>
    <n v="416"/>
    <n v="8"/>
    <x v="2"/>
    <n v="60.7"/>
    <x v="87"/>
    <x v="0"/>
  </r>
  <r>
    <d v="2024-02-08T10:07:24"/>
    <x v="4"/>
    <s v="5.7076"/>
    <s v="-79.9256"/>
    <n v="100"/>
    <x v="0"/>
    <n v="24.1"/>
    <n v="50.9"/>
    <x v="0"/>
    <n v="39"/>
    <n v="340"/>
    <n v="4"/>
    <x v="0"/>
    <n v="96.9"/>
    <x v="88"/>
    <x v="0"/>
  </r>
  <r>
    <d v="2024-08-17T07:05:15"/>
    <x v="3"/>
    <s v="69.0509"/>
    <s v="91.8480"/>
    <n v="321"/>
    <x v="1"/>
    <n v="25.4"/>
    <n v="53.8"/>
    <x v="2"/>
    <n v="24"/>
    <n v="340"/>
    <n v="5"/>
    <x v="2"/>
    <n v="84.6"/>
    <x v="89"/>
    <x v="1"/>
  </r>
  <r>
    <d v="2024-01-27T04:09:11"/>
    <x v="0"/>
    <s v="52.7828"/>
    <s v="176.0671"/>
    <n v="244"/>
    <x v="2"/>
    <n v="23.6"/>
    <n v="64.900000000000006"/>
    <x v="2"/>
    <n v="24"/>
    <n v="145"/>
    <n v="4"/>
    <x v="3"/>
    <n v="67.599999999999994"/>
    <x v="0"/>
    <x v="1"/>
  </r>
  <r>
    <d v="2024-12-13T00:55:11"/>
    <x v="3"/>
    <s v="42.9670"/>
    <s v="146.1358"/>
    <n v="281"/>
    <x v="2"/>
    <n v="18.399999999999999"/>
    <n v="74.599999999999994"/>
    <x v="0"/>
    <n v="41"/>
    <n v="419"/>
    <n v="6"/>
    <x v="0"/>
    <n v="69.099999999999994"/>
    <x v="29"/>
    <x v="1"/>
  </r>
  <r>
    <d v="2024-10-26T21:55:21"/>
    <x v="0"/>
    <s v="-11.9943"/>
    <s v="-126.8743"/>
    <n v="301"/>
    <x v="2"/>
    <n v="18.3"/>
    <n v="60"/>
    <x v="0"/>
    <n v="42"/>
    <n v="243"/>
    <n v="3"/>
    <x v="3"/>
    <n v="99"/>
    <x v="90"/>
    <x v="1"/>
  </r>
  <r>
    <d v="2024-03-19T05:42:50"/>
    <x v="6"/>
    <s v="60.5903"/>
    <s v="-90.0415"/>
    <n v="437"/>
    <x v="1"/>
    <n v="25.5"/>
    <n v="73.2"/>
    <x v="2"/>
    <n v="59"/>
    <n v="310"/>
    <n v="2"/>
    <x v="0"/>
    <n v="83.9"/>
    <x v="91"/>
    <x v="1"/>
  </r>
  <r>
    <d v="2024-10-23T14:15:25"/>
    <x v="0"/>
    <s v="-23.2982"/>
    <s v="143.8634"/>
    <n v="253"/>
    <x v="1"/>
    <n v="22.8"/>
    <n v="78.7"/>
    <x v="2"/>
    <n v="49"/>
    <n v="180"/>
    <n v="3"/>
    <x v="1"/>
    <n v="74"/>
    <x v="92"/>
    <x v="1"/>
  </r>
  <r>
    <d v="2024-01-18T08:34:25"/>
    <x v="5"/>
    <s v="-34.2189"/>
    <s v="-36.6288"/>
    <n v="491"/>
    <x v="2"/>
    <n v="25.5"/>
    <n v="50.3"/>
    <x v="1"/>
    <n v="18"/>
    <n v="111"/>
    <n v="1"/>
    <x v="1"/>
    <n v="97.1"/>
    <x v="93"/>
    <x v="0"/>
  </r>
  <r>
    <d v="2024-11-15T11:42:39"/>
    <x v="7"/>
    <s v="19.5450"/>
    <s v="73.0968"/>
    <n v="172"/>
    <x v="0"/>
    <n v="22.8"/>
    <n v="60.4"/>
    <x v="0"/>
    <n v="38"/>
    <n v="187"/>
    <n v="9"/>
    <x v="1"/>
    <n v="83.3"/>
    <x v="17"/>
    <x v="0"/>
  </r>
  <r>
    <d v="2024-07-01T16:37:53"/>
    <x v="0"/>
    <s v="33.3351"/>
    <s v="-103.9260"/>
    <n v="252"/>
    <x v="0"/>
    <n v="24.4"/>
    <n v="72.3"/>
    <x v="0"/>
    <n v="54"/>
    <n v="156"/>
    <n v="6"/>
    <x v="3"/>
    <n v="86.8"/>
    <x v="64"/>
    <x v="0"/>
  </r>
  <r>
    <d v="2024-06-11T08:04:09"/>
    <x v="4"/>
    <s v="-63.2064"/>
    <s v="30.0818"/>
    <n v="118"/>
    <x v="0"/>
    <n v="21.8"/>
    <n v="52.1"/>
    <x v="2"/>
    <n v="19"/>
    <n v="421"/>
    <n v="8"/>
    <x v="3"/>
    <n v="99.1"/>
    <x v="94"/>
    <x v="0"/>
  </r>
  <r>
    <d v="2024-07-03T15:08:44"/>
    <x v="4"/>
    <s v="83.2858"/>
    <s v="-66.1069"/>
    <n v="179"/>
    <x v="0"/>
    <n v="25"/>
    <n v="71.099999999999994"/>
    <x v="0"/>
    <n v="60"/>
    <n v="325"/>
    <n v="1"/>
    <x v="1"/>
    <n v="66.8"/>
    <x v="95"/>
    <x v="0"/>
  </r>
  <r>
    <d v="2024-02-05T00:41:30"/>
    <x v="1"/>
    <s v="-23.2424"/>
    <s v="18.6206"/>
    <n v="119"/>
    <x v="2"/>
    <n v="25.9"/>
    <n v="77.7"/>
    <x v="2"/>
    <n v="38"/>
    <n v="189"/>
    <n v="7"/>
    <x v="1"/>
    <n v="79.3"/>
    <x v="96"/>
    <x v="1"/>
  </r>
  <r>
    <d v="2024-03-12T03:54:06"/>
    <x v="8"/>
    <s v="-89.0793"/>
    <s v="130.3362"/>
    <n v="221"/>
    <x v="0"/>
    <n v="22.8"/>
    <n v="76.099999999999994"/>
    <x v="0"/>
    <n v="35"/>
    <n v="233"/>
    <n v="4"/>
    <x v="0"/>
    <n v="61.5"/>
    <x v="97"/>
    <x v="0"/>
  </r>
  <r>
    <d v="2024-11-17T06:38:26"/>
    <x v="0"/>
    <s v="-11.2908"/>
    <s v="-105.2515"/>
    <n v="261"/>
    <x v="0"/>
    <n v="24.5"/>
    <n v="74.2"/>
    <x v="0"/>
    <n v="36"/>
    <n v="201"/>
    <n v="10"/>
    <x v="3"/>
    <n v="67"/>
    <x v="95"/>
    <x v="0"/>
  </r>
  <r>
    <d v="2024-07-30T10:23:03"/>
    <x v="8"/>
    <s v="0.3773"/>
    <s v="-13.6838"/>
    <n v="226"/>
    <x v="2"/>
    <n v="25.4"/>
    <n v="73.7"/>
    <x v="0"/>
    <n v="46"/>
    <n v="138"/>
    <n v="8"/>
    <x v="2"/>
    <n v="75.5"/>
    <x v="84"/>
    <x v="1"/>
  </r>
  <r>
    <d v="2024-12-07T16:11:00"/>
    <x v="2"/>
    <s v="-7.7700"/>
    <s v="163.5958"/>
    <n v="226"/>
    <x v="1"/>
    <n v="21.1"/>
    <n v="56.1"/>
    <x v="1"/>
    <n v="50"/>
    <n v="160"/>
    <n v="5"/>
    <x v="0"/>
    <n v="77.3"/>
    <x v="1"/>
    <x v="0"/>
  </r>
  <r>
    <d v="2024-03-15T17:54:08"/>
    <x v="0"/>
    <s v="-80.1222"/>
    <s v="-56.1497"/>
    <n v="415"/>
    <x v="1"/>
    <n v="25.3"/>
    <n v="54.4"/>
    <x v="1"/>
    <n v="53"/>
    <n v="345"/>
    <n v="2"/>
    <x v="3"/>
    <n v="87.4"/>
    <x v="98"/>
    <x v="0"/>
  </r>
  <r>
    <d v="2024-10-15T06:49:32"/>
    <x v="7"/>
    <s v="-84.8041"/>
    <s v="57.1680"/>
    <n v="422"/>
    <x v="2"/>
    <n v="29.7"/>
    <n v="68.3"/>
    <x v="1"/>
    <n v="45"/>
    <n v="246"/>
    <n v="1"/>
    <x v="1"/>
    <n v="85.6"/>
    <x v="80"/>
    <x v="0"/>
  </r>
  <r>
    <d v="2024-08-27T06:52:35"/>
    <x v="6"/>
    <s v="-13.1475"/>
    <s v="-1.0702"/>
    <n v="413"/>
    <x v="0"/>
    <n v="23.4"/>
    <n v="67.099999999999994"/>
    <x v="1"/>
    <n v="32"/>
    <n v="325"/>
    <n v="3"/>
    <x v="3"/>
    <n v="93.3"/>
    <x v="99"/>
    <x v="0"/>
  </r>
  <r>
    <d v="2024-08-02T02:01:25"/>
    <x v="9"/>
    <s v="-87.5547"/>
    <s v="113.4629"/>
    <n v="269"/>
    <x v="1"/>
    <n v="25.2"/>
    <n v="57.7"/>
    <x v="0"/>
    <n v="20"/>
    <n v="247"/>
    <n v="2"/>
    <x v="1"/>
    <n v="60.9"/>
    <x v="100"/>
    <x v="1"/>
  </r>
  <r>
    <d v="2024-11-27T18:48:54"/>
    <x v="4"/>
    <s v="72.9066"/>
    <s v="36.1965"/>
    <n v="489"/>
    <x v="2"/>
    <n v="25.7"/>
    <n v="50.1"/>
    <x v="1"/>
    <n v="51"/>
    <n v="204"/>
    <n v="1"/>
    <x v="1"/>
    <n v="65.099999999999994"/>
    <x v="101"/>
    <x v="0"/>
  </r>
  <r>
    <d v="2024-12-03T05:26:24"/>
    <x v="1"/>
    <s v="16.1951"/>
    <s v="-119.4492"/>
    <n v="426"/>
    <x v="1"/>
    <n v="28.8"/>
    <n v="56.2"/>
    <x v="2"/>
    <n v="30"/>
    <n v="145"/>
    <n v="3"/>
    <x v="2"/>
    <n v="81.2"/>
    <x v="30"/>
    <x v="1"/>
  </r>
  <r>
    <d v="2024-02-05T03:19:43"/>
    <x v="8"/>
    <s v="28.3461"/>
    <s v="-1.5547"/>
    <n v="457"/>
    <x v="2"/>
    <n v="27.9"/>
    <n v="78.599999999999994"/>
    <x v="1"/>
    <n v="18"/>
    <n v="461"/>
    <n v="6"/>
    <x v="1"/>
    <n v="69.099999999999994"/>
    <x v="49"/>
    <x v="0"/>
  </r>
  <r>
    <d v="2024-12-19T22:58:09"/>
    <x v="9"/>
    <s v="-35.5663"/>
    <s v="47.4028"/>
    <n v="270"/>
    <x v="2"/>
    <n v="21.7"/>
    <n v="53.6"/>
    <x v="2"/>
    <n v="15"/>
    <n v="499"/>
    <n v="8"/>
    <x v="3"/>
    <n v="94.9"/>
    <x v="102"/>
    <x v="1"/>
  </r>
  <r>
    <d v="2024-11-23T08:44:11"/>
    <x v="0"/>
    <s v="-33.2460"/>
    <s v="106.3248"/>
    <n v="267"/>
    <x v="1"/>
    <n v="29.8"/>
    <n v="79.8"/>
    <x v="1"/>
    <n v="55"/>
    <n v="282"/>
    <n v="5"/>
    <x v="0"/>
    <n v="90.5"/>
    <x v="103"/>
    <x v="0"/>
  </r>
  <r>
    <d v="2024-04-30T14:49:18"/>
    <x v="8"/>
    <s v="10.2059"/>
    <s v="98.6180"/>
    <n v="381"/>
    <x v="2"/>
    <n v="24.4"/>
    <n v="50.1"/>
    <x v="1"/>
    <n v="54"/>
    <n v="243"/>
    <n v="6"/>
    <x v="0"/>
    <n v="61.5"/>
    <x v="104"/>
    <x v="0"/>
  </r>
  <r>
    <d v="2024-06-07T06:45:59"/>
    <x v="7"/>
    <s v="-6.2311"/>
    <s v="173.6264"/>
    <n v="402"/>
    <x v="2"/>
    <n v="27"/>
    <n v="74.2"/>
    <x v="1"/>
    <n v="17"/>
    <n v="155"/>
    <n v="10"/>
    <x v="2"/>
    <n v="73.400000000000006"/>
    <x v="97"/>
    <x v="0"/>
  </r>
  <r>
    <d v="2024-11-24T04:49:31"/>
    <x v="4"/>
    <s v="-78.1094"/>
    <s v="-52.5435"/>
    <n v="331"/>
    <x v="2"/>
    <n v="20.399999999999999"/>
    <n v="66.099999999999994"/>
    <x v="1"/>
    <n v="25"/>
    <n v="261"/>
    <n v="6"/>
    <x v="3"/>
    <n v="77.7"/>
    <x v="63"/>
    <x v="0"/>
  </r>
  <r>
    <d v="2024-07-29T00:56:10"/>
    <x v="8"/>
    <s v="-70.3645"/>
    <s v="-128.8622"/>
    <n v="167"/>
    <x v="2"/>
    <n v="25.6"/>
    <n v="62.5"/>
    <x v="0"/>
    <n v="40"/>
    <n v="246"/>
    <n v="9"/>
    <x v="2"/>
    <n v="63.8"/>
    <x v="105"/>
    <x v="1"/>
  </r>
  <r>
    <d v="2024-06-01T20:00:16"/>
    <x v="4"/>
    <s v="18.1183"/>
    <s v="116.4939"/>
    <n v="187"/>
    <x v="0"/>
    <n v="23.3"/>
    <n v="71.7"/>
    <x v="1"/>
    <n v="10"/>
    <n v="209"/>
    <n v="10"/>
    <x v="2"/>
    <n v="97.2"/>
    <x v="74"/>
    <x v="0"/>
  </r>
  <r>
    <d v="2024-07-18T12:19:20"/>
    <x v="2"/>
    <s v="20.2969"/>
    <s v="124.1885"/>
    <n v="298"/>
    <x v="1"/>
    <n v="18.600000000000001"/>
    <n v="74.400000000000006"/>
    <x v="0"/>
    <n v="41"/>
    <n v="248"/>
    <n v="1"/>
    <x v="0"/>
    <n v="86.3"/>
    <x v="106"/>
    <x v="1"/>
  </r>
  <r>
    <d v="2024-12-16T11:48:34"/>
    <x v="1"/>
    <s v="-27.7387"/>
    <s v="19.6189"/>
    <n v="331"/>
    <x v="0"/>
    <n v="21.4"/>
    <n v="62.9"/>
    <x v="0"/>
    <n v="46"/>
    <n v="235"/>
    <n v="8"/>
    <x v="3"/>
    <n v="62.6"/>
    <x v="84"/>
    <x v="0"/>
  </r>
  <r>
    <d v="2024-04-15T22:37:19"/>
    <x v="5"/>
    <s v="-31.1328"/>
    <s v="175.8453"/>
    <n v="180"/>
    <x v="2"/>
    <n v="27.2"/>
    <n v="52.9"/>
    <x v="2"/>
    <n v="29"/>
    <n v="390"/>
    <n v="8"/>
    <x v="3"/>
    <n v="68.400000000000006"/>
    <x v="107"/>
    <x v="1"/>
  </r>
  <r>
    <d v="2024-04-05T10:29:17"/>
    <x v="2"/>
    <s v="24.8353"/>
    <s v="-83.7173"/>
    <n v="282"/>
    <x v="1"/>
    <n v="19.399999999999999"/>
    <n v="71.900000000000006"/>
    <x v="2"/>
    <n v="43"/>
    <n v="464"/>
    <n v="10"/>
    <x v="2"/>
    <n v="90"/>
    <x v="108"/>
    <x v="1"/>
  </r>
  <r>
    <d v="2024-12-20T12:26:19"/>
    <x v="4"/>
    <s v="-32.7240"/>
    <s v="82.9577"/>
    <n v="363"/>
    <x v="0"/>
    <n v="27"/>
    <n v="70.900000000000006"/>
    <x v="0"/>
    <n v="52"/>
    <n v="482"/>
    <n v="6"/>
    <x v="1"/>
    <n v="62.9"/>
    <x v="19"/>
    <x v="0"/>
  </r>
  <r>
    <d v="2024-07-02T03:07:27"/>
    <x v="7"/>
    <s v="72.1220"/>
    <s v="89.9728"/>
    <n v="212"/>
    <x v="2"/>
    <n v="25.9"/>
    <n v="68"/>
    <x v="1"/>
    <n v="32"/>
    <n v="312"/>
    <n v="6"/>
    <x v="3"/>
    <n v="87.6"/>
    <x v="92"/>
    <x v="0"/>
  </r>
  <r>
    <d v="2024-01-28T04:43:23"/>
    <x v="9"/>
    <s v="-7.6360"/>
    <s v="51.0615"/>
    <n v="317"/>
    <x v="1"/>
    <n v="23.9"/>
    <n v="69.5"/>
    <x v="2"/>
    <n v="59"/>
    <n v="447"/>
    <n v="1"/>
    <x v="1"/>
    <n v="97.1"/>
    <x v="109"/>
    <x v="1"/>
  </r>
  <r>
    <d v="2024-01-14T20:39:14"/>
    <x v="5"/>
    <s v="-24.0118"/>
    <s v="111.4726"/>
    <n v="240"/>
    <x v="2"/>
    <n v="18.8"/>
    <n v="63.9"/>
    <x v="0"/>
    <n v="23"/>
    <n v="462"/>
    <n v="1"/>
    <x v="0"/>
    <n v="61.2"/>
    <x v="110"/>
    <x v="1"/>
  </r>
  <r>
    <d v="2024-08-06T11:35:04"/>
    <x v="2"/>
    <s v="77.0042"/>
    <s v="-12.2919"/>
    <n v="427"/>
    <x v="0"/>
    <n v="20.3"/>
    <n v="57.3"/>
    <x v="1"/>
    <n v="18"/>
    <n v="341"/>
    <n v="3"/>
    <x v="1"/>
    <n v="85.7"/>
    <x v="5"/>
    <x v="0"/>
  </r>
  <r>
    <d v="2024-12-08T01:10:23"/>
    <x v="2"/>
    <s v="-38.6867"/>
    <s v="-19.9939"/>
    <n v="144"/>
    <x v="0"/>
    <n v="18.2"/>
    <n v="53.1"/>
    <x v="2"/>
    <n v="16"/>
    <n v="106"/>
    <n v="5"/>
    <x v="1"/>
    <n v="69.400000000000006"/>
    <x v="77"/>
    <x v="0"/>
  </r>
  <r>
    <d v="2024-02-27T01:51:59"/>
    <x v="6"/>
    <s v="41.3750"/>
    <s v="77.2949"/>
    <n v="280"/>
    <x v="1"/>
    <n v="25.5"/>
    <n v="74.2"/>
    <x v="2"/>
    <n v="46"/>
    <n v="447"/>
    <n v="2"/>
    <x v="2"/>
    <n v="65.3"/>
    <x v="56"/>
    <x v="1"/>
  </r>
  <r>
    <d v="2024-02-14T21:28:31"/>
    <x v="5"/>
    <s v="-68.4651"/>
    <s v="179.4433"/>
    <n v="182"/>
    <x v="0"/>
    <n v="20.3"/>
    <n v="59.8"/>
    <x v="0"/>
    <n v="30"/>
    <n v="288"/>
    <n v="7"/>
    <x v="0"/>
    <n v="83.3"/>
    <x v="108"/>
    <x v="0"/>
  </r>
  <r>
    <d v="2024-03-21T11:48:25"/>
    <x v="7"/>
    <s v="-13.0063"/>
    <s v="0.5345"/>
    <n v="439"/>
    <x v="0"/>
    <n v="21.5"/>
    <n v="72.8"/>
    <x v="1"/>
    <n v="30"/>
    <n v="101"/>
    <n v="10"/>
    <x v="3"/>
    <n v="90.4"/>
    <x v="12"/>
    <x v="0"/>
  </r>
  <r>
    <d v="2024-10-16T22:56:13"/>
    <x v="5"/>
    <s v="41.3066"/>
    <s v="161.1462"/>
    <n v="174"/>
    <x v="0"/>
    <n v="27.2"/>
    <n v="77.900000000000006"/>
    <x v="1"/>
    <n v="39"/>
    <n v="173"/>
    <n v="5"/>
    <x v="3"/>
    <n v="91.1"/>
    <x v="24"/>
    <x v="0"/>
  </r>
  <r>
    <d v="2024-02-21T23:20:41"/>
    <x v="1"/>
    <s v="-23.1011"/>
    <s v="-54.5176"/>
    <n v="186"/>
    <x v="0"/>
    <n v="24"/>
    <n v="67.3"/>
    <x v="0"/>
    <n v="44"/>
    <n v="352"/>
    <n v="9"/>
    <x v="0"/>
    <n v="85.7"/>
    <x v="24"/>
    <x v="0"/>
  </r>
  <r>
    <d v="2024-09-24T22:17:10"/>
    <x v="2"/>
    <s v="-17.6088"/>
    <s v="-41.4304"/>
    <n v="109"/>
    <x v="2"/>
    <n v="26.9"/>
    <n v="75.3"/>
    <x v="0"/>
    <n v="26"/>
    <n v="314"/>
    <n v="7"/>
    <x v="0"/>
    <n v="93.3"/>
    <x v="111"/>
    <x v="1"/>
  </r>
  <r>
    <d v="2024-03-30T10:22:10"/>
    <x v="4"/>
    <s v="-72.4492"/>
    <s v="131.8524"/>
    <n v="483"/>
    <x v="1"/>
    <n v="21.9"/>
    <n v="71.900000000000006"/>
    <x v="0"/>
    <n v="59"/>
    <n v="226"/>
    <n v="10"/>
    <x v="3"/>
    <n v="69.2"/>
    <x v="112"/>
    <x v="1"/>
  </r>
  <r>
    <d v="2024-12-15T07:37:03"/>
    <x v="5"/>
    <s v="27.3601"/>
    <s v="-105.0457"/>
    <n v="100"/>
    <x v="0"/>
    <n v="27.5"/>
    <n v="68.599999999999994"/>
    <x v="2"/>
    <n v="49"/>
    <n v="464"/>
    <n v="3"/>
    <x v="0"/>
    <n v="61.7"/>
    <x v="96"/>
    <x v="0"/>
  </r>
  <r>
    <d v="2024-03-26T22:29:16"/>
    <x v="9"/>
    <s v="-86.5291"/>
    <s v="-36.5789"/>
    <n v="128"/>
    <x v="2"/>
    <n v="28.9"/>
    <n v="63.7"/>
    <x v="2"/>
    <n v="56"/>
    <n v="140"/>
    <n v="1"/>
    <x v="1"/>
    <n v="72.8"/>
    <x v="51"/>
    <x v="1"/>
  </r>
  <r>
    <d v="2024-05-09T18:49:33"/>
    <x v="2"/>
    <s v="10.2078"/>
    <s v="36.8570"/>
    <n v="100"/>
    <x v="1"/>
    <n v="21.9"/>
    <n v="72.099999999999994"/>
    <x v="0"/>
    <n v="22"/>
    <n v="413"/>
    <n v="1"/>
    <x v="1"/>
    <n v="67.5"/>
    <x v="113"/>
    <x v="1"/>
  </r>
  <r>
    <d v="2024-11-19T09:57:01"/>
    <x v="1"/>
    <s v="-42.6759"/>
    <s v="-7.9818"/>
    <n v="468"/>
    <x v="0"/>
    <n v="28.6"/>
    <n v="65.099999999999994"/>
    <x v="1"/>
    <n v="45"/>
    <n v="419"/>
    <n v="8"/>
    <x v="0"/>
    <n v="76.099999999999994"/>
    <x v="114"/>
    <x v="0"/>
  </r>
  <r>
    <d v="2024-11-26T17:09:09"/>
    <x v="6"/>
    <s v="36.2494"/>
    <s v="143.1951"/>
    <n v="243"/>
    <x v="1"/>
    <n v="27.7"/>
    <n v="74.8"/>
    <x v="0"/>
    <n v="28"/>
    <n v="311"/>
    <n v="9"/>
    <x v="0"/>
    <n v="97.5"/>
    <x v="75"/>
    <x v="1"/>
  </r>
  <r>
    <d v="2024-04-20T09:54:18"/>
    <x v="5"/>
    <s v="28.9964"/>
    <s v="151.6114"/>
    <n v="134"/>
    <x v="0"/>
    <n v="29.2"/>
    <n v="55.5"/>
    <x v="0"/>
    <n v="34"/>
    <n v="189"/>
    <n v="1"/>
    <x v="1"/>
    <n v="87.8"/>
    <x v="4"/>
    <x v="0"/>
  </r>
  <r>
    <d v="2024-06-05T19:19:16"/>
    <x v="7"/>
    <s v="-22.1005"/>
    <s v="-38.8449"/>
    <n v="484"/>
    <x v="2"/>
    <n v="29.1"/>
    <n v="54.7"/>
    <x v="0"/>
    <n v="48"/>
    <n v="320"/>
    <n v="7"/>
    <x v="1"/>
    <n v="84.6"/>
    <x v="115"/>
    <x v="1"/>
  </r>
  <r>
    <d v="2024-07-08T04:26:39"/>
    <x v="1"/>
    <s v="47.2803"/>
    <s v="32.1356"/>
    <n v="300"/>
    <x v="2"/>
    <n v="22.4"/>
    <n v="54.3"/>
    <x v="1"/>
    <n v="23"/>
    <n v="323"/>
    <n v="5"/>
    <x v="1"/>
    <n v="65.5"/>
    <x v="116"/>
    <x v="0"/>
  </r>
  <r>
    <d v="2024-04-01T03:56:41"/>
    <x v="2"/>
    <s v="-25.4692"/>
    <s v="-70.7603"/>
    <n v="396"/>
    <x v="2"/>
    <n v="21.9"/>
    <n v="67.400000000000006"/>
    <x v="0"/>
    <n v="24"/>
    <n v="238"/>
    <n v="3"/>
    <x v="1"/>
    <n v="60.4"/>
    <x v="83"/>
    <x v="1"/>
  </r>
  <r>
    <d v="2024-02-11T04:52:58"/>
    <x v="4"/>
    <s v="20.1451"/>
    <s v="158.7402"/>
    <n v="135"/>
    <x v="2"/>
    <n v="26.8"/>
    <n v="79.099999999999994"/>
    <x v="0"/>
    <n v="57"/>
    <n v="173"/>
    <n v="7"/>
    <x v="3"/>
    <n v="81.3"/>
    <x v="13"/>
    <x v="1"/>
  </r>
  <r>
    <d v="2024-08-23T00:05:52"/>
    <x v="6"/>
    <s v="-29.2726"/>
    <s v="149.6329"/>
    <n v="236"/>
    <x v="2"/>
    <n v="21.9"/>
    <n v="51.9"/>
    <x v="0"/>
    <n v="21"/>
    <n v="233"/>
    <n v="6"/>
    <x v="3"/>
    <n v="72"/>
    <x v="13"/>
    <x v="1"/>
  </r>
  <r>
    <d v="2024-11-04T00:29:20"/>
    <x v="9"/>
    <s v="-82.3942"/>
    <s v="179.9237"/>
    <n v="294"/>
    <x v="2"/>
    <n v="27.6"/>
    <n v="79.7"/>
    <x v="1"/>
    <n v="24"/>
    <n v="181"/>
    <n v="5"/>
    <x v="1"/>
    <n v="88.2"/>
    <x v="117"/>
    <x v="0"/>
  </r>
  <r>
    <d v="2024-05-04T19:24:30"/>
    <x v="4"/>
    <s v="37.3932"/>
    <s v="53.4470"/>
    <n v="209"/>
    <x v="0"/>
    <n v="29.4"/>
    <n v="57.8"/>
    <x v="0"/>
    <n v="34"/>
    <n v="319"/>
    <n v="4"/>
    <x v="3"/>
    <n v="85"/>
    <x v="118"/>
    <x v="0"/>
  </r>
  <r>
    <d v="2024-11-13T04:19:12"/>
    <x v="4"/>
    <s v="-3.4094"/>
    <s v="-85.8774"/>
    <n v="378"/>
    <x v="0"/>
    <n v="28.2"/>
    <n v="70.2"/>
    <x v="2"/>
    <n v="60"/>
    <n v="490"/>
    <n v="9"/>
    <x v="2"/>
    <n v="66.8"/>
    <x v="119"/>
    <x v="0"/>
  </r>
  <r>
    <d v="2024-02-13T19:17:18"/>
    <x v="9"/>
    <s v="-60.2782"/>
    <s v="-7.5464"/>
    <n v="355"/>
    <x v="0"/>
    <n v="22.5"/>
    <n v="74"/>
    <x v="2"/>
    <n v="20"/>
    <n v="321"/>
    <n v="3"/>
    <x v="1"/>
    <n v="90.6"/>
    <x v="27"/>
    <x v="0"/>
  </r>
  <r>
    <d v="2024-06-28T07:17:35"/>
    <x v="3"/>
    <s v="-1.8123"/>
    <s v="-156.2070"/>
    <n v="474"/>
    <x v="0"/>
    <n v="29.2"/>
    <n v="66.099999999999994"/>
    <x v="1"/>
    <n v="26"/>
    <n v="318"/>
    <n v="5"/>
    <x v="1"/>
    <n v="96.2"/>
    <x v="107"/>
    <x v="0"/>
  </r>
  <r>
    <d v="2024-12-15T22:06:59"/>
    <x v="1"/>
    <s v="45.5530"/>
    <s v="20.9015"/>
    <n v="218"/>
    <x v="2"/>
    <n v="19.5"/>
    <n v="67.900000000000006"/>
    <x v="0"/>
    <n v="27"/>
    <n v="257"/>
    <n v="10"/>
    <x v="3"/>
    <n v="62.2"/>
    <x v="82"/>
    <x v="1"/>
  </r>
  <r>
    <d v="2024-06-30T14:22:40"/>
    <x v="5"/>
    <s v="-28.3820"/>
    <s v="-47.8231"/>
    <n v="357"/>
    <x v="1"/>
    <n v="29.3"/>
    <n v="73.2"/>
    <x v="2"/>
    <n v="22"/>
    <n v="229"/>
    <n v="7"/>
    <x v="3"/>
    <n v="94.3"/>
    <x v="120"/>
    <x v="1"/>
  </r>
  <r>
    <d v="2024-12-05T16:36:07"/>
    <x v="8"/>
    <s v="-71.0852"/>
    <s v="-12.9187"/>
    <n v="255"/>
    <x v="0"/>
    <n v="27.4"/>
    <n v="59.6"/>
    <x v="2"/>
    <n v="20"/>
    <n v="497"/>
    <n v="3"/>
    <x v="2"/>
    <n v="98.4"/>
    <x v="121"/>
    <x v="0"/>
  </r>
  <r>
    <d v="2024-06-13T13:04:28"/>
    <x v="5"/>
    <s v="-35.6424"/>
    <s v="-106.7595"/>
    <n v="415"/>
    <x v="0"/>
    <n v="22.2"/>
    <n v="65.8"/>
    <x v="1"/>
    <n v="18"/>
    <n v="287"/>
    <n v="2"/>
    <x v="2"/>
    <n v="61.1"/>
    <x v="15"/>
    <x v="0"/>
  </r>
  <r>
    <d v="2024-03-17T08:20:11"/>
    <x v="3"/>
    <s v="-81.6220"/>
    <s v="-152.0754"/>
    <n v="353"/>
    <x v="2"/>
    <n v="29.5"/>
    <n v="76.8"/>
    <x v="1"/>
    <n v="41"/>
    <n v="421"/>
    <n v="8"/>
    <x v="0"/>
    <n v="97.7"/>
    <x v="60"/>
    <x v="0"/>
  </r>
  <r>
    <d v="2024-09-21T03:09:39"/>
    <x v="6"/>
    <s v="-22.9111"/>
    <s v="-154.3594"/>
    <n v="260"/>
    <x v="1"/>
    <n v="23.8"/>
    <n v="58.4"/>
    <x v="2"/>
    <n v="49"/>
    <n v="266"/>
    <n v="7"/>
    <x v="3"/>
    <n v="77.8"/>
    <x v="120"/>
    <x v="1"/>
  </r>
  <r>
    <d v="2024-02-20T20:52:03"/>
    <x v="4"/>
    <s v="-68.7937"/>
    <s v="-164.3866"/>
    <n v="447"/>
    <x v="2"/>
    <n v="21.1"/>
    <n v="75.599999999999994"/>
    <x v="1"/>
    <n v="51"/>
    <n v="315"/>
    <n v="1"/>
    <x v="3"/>
    <n v="64.7"/>
    <x v="122"/>
    <x v="0"/>
  </r>
  <r>
    <d v="2024-11-19T18:03:38"/>
    <x v="8"/>
    <s v="-25.5794"/>
    <s v="132.2662"/>
    <n v="483"/>
    <x v="0"/>
    <n v="26.6"/>
    <n v="50"/>
    <x v="2"/>
    <n v="51"/>
    <n v="466"/>
    <n v="6"/>
    <x v="3"/>
    <n v="87.9"/>
    <x v="75"/>
    <x v="0"/>
  </r>
  <r>
    <d v="2024-11-07T16:16:40"/>
    <x v="2"/>
    <s v="49.0465"/>
    <s v="41.3428"/>
    <n v="363"/>
    <x v="2"/>
    <n v="28.6"/>
    <n v="75.2"/>
    <x v="1"/>
    <n v="19"/>
    <n v="358"/>
    <n v="1"/>
    <x v="1"/>
    <n v="77.400000000000006"/>
    <x v="75"/>
    <x v="0"/>
  </r>
  <r>
    <d v="2024-02-18T14:10:22"/>
    <x v="6"/>
    <s v="-81.6677"/>
    <s v="-40.8327"/>
    <n v="313"/>
    <x v="0"/>
    <n v="20.5"/>
    <n v="79.3"/>
    <x v="0"/>
    <n v="49"/>
    <n v="229"/>
    <n v="7"/>
    <x v="0"/>
    <n v="98.5"/>
    <x v="105"/>
    <x v="0"/>
  </r>
  <r>
    <d v="2024-03-03T00:53:07"/>
    <x v="2"/>
    <s v="-69.6887"/>
    <s v="-34.4563"/>
    <n v="289"/>
    <x v="2"/>
    <n v="19.3"/>
    <n v="68.599999999999994"/>
    <x v="2"/>
    <n v="33"/>
    <n v="149"/>
    <n v="4"/>
    <x v="0"/>
    <n v="74.3"/>
    <x v="30"/>
    <x v="1"/>
  </r>
  <r>
    <d v="2024-06-02T09:09:21"/>
    <x v="4"/>
    <s v="-49.1811"/>
    <s v="-94.1515"/>
    <n v="171"/>
    <x v="2"/>
    <n v="21.3"/>
    <n v="66.099999999999994"/>
    <x v="2"/>
    <n v="57"/>
    <n v="125"/>
    <n v="8"/>
    <x v="0"/>
    <n v="98.9"/>
    <x v="123"/>
    <x v="1"/>
  </r>
  <r>
    <d v="2024-01-25T12:09:42"/>
    <x v="1"/>
    <s v="12.8172"/>
    <s v="76.1408"/>
    <n v="401"/>
    <x v="1"/>
    <n v="25.7"/>
    <n v="71.400000000000006"/>
    <x v="2"/>
    <n v="30"/>
    <n v="494"/>
    <n v="4"/>
    <x v="1"/>
    <n v="81.099999999999994"/>
    <x v="45"/>
    <x v="1"/>
  </r>
  <r>
    <d v="2024-10-04T16:19:17"/>
    <x v="3"/>
    <s v="20.1146"/>
    <s v="19.7583"/>
    <n v="376"/>
    <x v="2"/>
    <n v="25.1"/>
    <n v="54.1"/>
    <x v="2"/>
    <n v="55"/>
    <n v="305"/>
    <n v="5"/>
    <x v="3"/>
    <n v="83.2"/>
    <x v="124"/>
    <x v="1"/>
  </r>
  <r>
    <d v="2024-11-02T12:07:34"/>
    <x v="7"/>
    <s v="84.1317"/>
    <s v="-144.7840"/>
    <n v="371"/>
    <x v="0"/>
    <n v="26.2"/>
    <n v="58.5"/>
    <x v="1"/>
    <n v="46"/>
    <n v="168"/>
    <n v="10"/>
    <x v="2"/>
    <n v="69.5"/>
    <x v="125"/>
    <x v="0"/>
  </r>
  <r>
    <d v="2024-04-22T01:56:59"/>
    <x v="4"/>
    <s v="-53.9329"/>
    <s v="30.3236"/>
    <n v="496"/>
    <x v="1"/>
    <n v="23.4"/>
    <n v="71.599999999999994"/>
    <x v="2"/>
    <n v="15"/>
    <n v="451"/>
    <n v="3"/>
    <x v="1"/>
    <n v="76.3"/>
    <x v="21"/>
    <x v="1"/>
  </r>
  <r>
    <d v="2024-04-15T22:28:46"/>
    <x v="5"/>
    <s v="31.8571"/>
    <s v="-83.1698"/>
    <n v="149"/>
    <x v="1"/>
    <n v="20.9"/>
    <n v="68.099999999999994"/>
    <x v="0"/>
    <n v="39"/>
    <n v="274"/>
    <n v="9"/>
    <x v="2"/>
    <n v="71.8"/>
    <x v="72"/>
    <x v="1"/>
  </r>
  <r>
    <d v="2024-01-19T14:28:30"/>
    <x v="1"/>
    <s v="67.7302"/>
    <s v="-70.1861"/>
    <n v="166"/>
    <x v="1"/>
    <n v="29.4"/>
    <n v="59.5"/>
    <x v="1"/>
    <n v="40"/>
    <n v="210"/>
    <n v="4"/>
    <x v="2"/>
    <n v="82.9"/>
    <x v="126"/>
    <x v="0"/>
  </r>
  <r>
    <d v="2024-09-22T12:19:08"/>
    <x v="3"/>
    <s v="73.3723"/>
    <s v="93.2464"/>
    <n v="369"/>
    <x v="0"/>
    <n v="28"/>
    <n v="52.3"/>
    <x v="0"/>
    <n v="35"/>
    <n v="481"/>
    <n v="5"/>
    <x v="3"/>
    <n v="73.400000000000006"/>
    <x v="127"/>
    <x v="0"/>
  </r>
  <r>
    <d v="2024-11-01T23:47:02"/>
    <x v="8"/>
    <s v="68.2361"/>
    <s v="-85.9216"/>
    <n v="409"/>
    <x v="1"/>
    <n v="22"/>
    <n v="68.099999999999994"/>
    <x v="2"/>
    <n v="18"/>
    <n v="423"/>
    <n v="10"/>
    <x v="1"/>
    <n v="62.8"/>
    <x v="23"/>
    <x v="1"/>
  </r>
  <r>
    <d v="2024-05-13T14:10:55"/>
    <x v="6"/>
    <s v="40.5478"/>
    <s v="147.0261"/>
    <n v="494"/>
    <x v="0"/>
    <n v="19.2"/>
    <n v="58.4"/>
    <x v="2"/>
    <n v="52"/>
    <n v="231"/>
    <n v="10"/>
    <x v="1"/>
    <n v="89.5"/>
    <x v="128"/>
    <x v="0"/>
  </r>
  <r>
    <d v="2024-02-17T07:36:46"/>
    <x v="1"/>
    <s v="-36.4299"/>
    <s v="58.0595"/>
    <n v="238"/>
    <x v="0"/>
    <n v="23.8"/>
    <n v="79.400000000000006"/>
    <x v="0"/>
    <n v="33"/>
    <n v="416"/>
    <n v="5"/>
    <x v="1"/>
    <n v="88.2"/>
    <x v="129"/>
    <x v="0"/>
  </r>
  <r>
    <d v="2024-11-23T19:33:59"/>
    <x v="6"/>
    <s v="83.2003"/>
    <s v="-119.0412"/>
    <n v="422"/>
    <x v="1"/>
    <n v="19.2"/>
    <n v="54.5"/>
    <x v="2"/>
    <n v="18"/>
    <n v="437"/>
    <n v="3"/>
    <x v="0"/>
    <n v="73.5"/>
    <x v="130"/>
    <x v="1"/>
  </r>
  <r>
    <d v="2024-09-23T10:32:15"/>
    <x v="3"/>
    <s v="74.5816"/>
    <s v="-19.6986"/>
    <n v="132"/>
    <x v="1"/>
    <n v="28.2"/>
    <n v="57.2"/>
    <x v="2"/>
    <n v="23"/>
    <n v="401"/>
    <n v="6"/>
    <x v="0"/>
    <n v="93.6"/>
    <x v="44"/>
    <x v="1"/>
  </r>
  <r>
    <d v="2024-08-25T22:32:25"/>
    <x v="9"/>
    <s v="-64.7094"/>
    <s v="137.7910"/>
    <n v="189"/>
    <x v="0"/>
    <n v="25.2"/>
    <n v="70"/>
    <x v="2"/>
    <n v="10"/>
    <n v="360"/>
    <n v="6"/>
    <x v="3"/>
    <n v="81.900000000000006"/>
    <x v="117"/>
    <x v="0"/>
  </r>
  <r>
    <d v="2024-09-27T06:23:53"/>
    <x v="9"/>
    <s v="-59.6020"/>
    <s v="62.7120"/>
    <n v="255"/>
    <x v="2"/>
    <n v="28.5"/>
    <n v="72.2"/>
    <x v="2"/>
    <n v="60"/>
    <n v="419"/>
    <n v="2"/>
    <x v="2"/>
    <n v="68.400000000000006"/>
    <x v="126"/>
    <x v="1"/>
  </r>
  <r>
    <d v="2024-05-09T04:02:20"/>
    <x v="0"/>
    <s v="-68.3712"/>
    <s v="-65.9802"/>
    <n v="107"/>
    <x v="0"/>
    <n v="21.9"/>
    <n v="74.099999999999994"/>
    <x v="1"/>
    <n v="51"/>
    <n v="413"/>
    <n v="1"/>
    <x v="1"/>
    <n v="84.9"/>
    <x v="131"/>
    <x v="0"/>
  </r>
  <r>
    <d v="2024-05-27T10:59:49"/>
    <x v="1"/>
    <s v="3.8431"/>
    <s v="91.0078"/>
    <n v="274"/>
    <x v="0"/>
    <n v="19.3"/>
    <n v="51.4"/>
    <x v="1"/>
    <n v="57"/>
    <n v="279"/>
    <n v="10"/>
    <x v="0"/>
    <n v="75.3"/>
    <x v="51"/>
    <x v="0"/>
  </r>
  <r>
    <d v="2024-02-23T18:39:32"/>
    <x v="4"/>
    <s v="76.3946"/>
    <s v="105.7941"/>
    <n v="206"/>
    <x v="0"/>
    <n v="21.9"/>
    <n v="68.599999999999994"/>
    <x v="1"/>
    <n v="42"/>
    <n v="100"/>
    <n v="7"/>
    <x v="2"/>
    <n v="63.3"/>
    <x v="132"/>
    <x v="0"/>
  </r>
  <r>
    <d v="2024-07-28T22:29:33"/>
    <x v="8"/>
    <s v="-46.1871"/>
    <s v="9.4679"/>
    <n v="270"/>
    <x v="1"/>
    <n v="26.7"/>
    <n v="72.2"/>
    <x v="1"/>
    <n v="35"/>
    <n v="107"/>
    <n v="10"/>
    <x v="2"/>
    <n v="90.8"/>
    <x v="124"/>
    <x v="0"/>
  </r>
  <r>
    <d v="2024-03-05T10:30:30"/>
    <x v="2"/>
    <s v="-10.8849"/>
    <s v="86.0812"/>
    <n v="277"/>
    <x v="1"/>
    <n v="23.7"/>
    <n v="72.099999999999994"/>
    <x v="2"/>
    <n v="12"/>
    <n v="195"/>
    <n v="5"/>
    <x v="2"/>
    <n v="64.5"/>
    <x v="133"/>
    <x v="1"/>
  </r>
  <r>
    <d v="2024-01-06T21:16:03"/>
    <x v="4"/>
    <s v="-67.7619"/>
    <s v="176.4012"/>
    <n v="454"/>
    <x v="0"/>
    <n v="21"/>
    <n v="77.3"/>
    <x v="2"/>
    <n v="15"/>
    <n v="112"/>
    <n v="10"/>
    <x v="1"/>
    <n v="73.2"/>
    <x v="134"/>
    <x v="0"/>
  </r>
  <r>
    <d v="2024-09-14T16:45:31"/>
    <x v="5"/>
    <s v="-22.1101"/>
    <s v="-65.1350"/>
    <n v="197"/>
    <x v="1"/>
    <n v="27.3"/>
    <n v="71.3"/>
    <x v="0"/>
    <n v="24"/>
    <n v="460"/>
    <n v="9"/>
    <x v="0"/>
    <n v="64.7"/>
    <x v="125"/>
    <x v="1"/>
  </r>
  <r>
    <d v="2024-11-03T23:16:49"/>
    <x v="8"/>
    <s v="75.1113"/>
    <s v="-136.4800"/>
    <n v="182"/>
    <x v="2"/>
    <n v="19.7"/>
    <n v="72.3"/>
    <x v="2"/>
    <n v="50"/>
    <n v="428"/>
    <n v="3"/>
    <x v="0"/>
    <n v="63.3"/>
    <x v="135"/>
    <x v="1"/>
  </r>
  <r>
    <d v="2024-03-19T21:36:22"/>
    <x v="1"/>
    <s v="-69.3430"/>
    <s v="131.9033"/>
    <n v="171"/>
    <x v="2"/>
    <n v="25.1"/>
    <n v="76.5"/>
    <x v="1"/>
    <n v="55"/>
    <n v="309"/>
    <n v="3"/>
    <x v="2"/>
    <n v="94.6"/>
    <x v="136"/>
    <x v="0"/>
  </r>
  <r>
    <d v="2024-02-01T18:55:10"/>
    <x v="7"/>
    <s v="35.6522"/>
    <s v="-84.7025"/>
    <n v="159"/>
    <x v="2"/>
    <n v="26.9"/>
    <n v="69.5"/>
    <x v="2"/>
    <n v="32"/>
    <n v="272"/>
    <n v="7"/>
    <x v="0"/>
    <n v="69.7"/>
    <x v="104"/>
    <x v="1"/>
  </r>
  <r>
    <d v="2024-04-18T12:04:40"/>
    <x v="6"/>
    <s v="-86.1570"/>
    <s v="-92.4652"/>
    <n v="378"/>
    <x v="0"/>
    <n v="29.5"/>
    <n v="61.7"/>
    <x v="0"/>
    <n v="13"/>
    <n v="305"/>
    <n v="8"/>
    <x v="3"/>
    <n v="98.5"/>
    <x v="70"/>
    <x v="0"/>
  </r>
  <r>
    <d v="2024-05-26T14:30:07"/>
    <x v="9"/>
    <s v="25.1355"/>
    <s v="-2.6802"/>
    <n v="469"/>
    <x v="1"/>
    <n v="26.2"/>
    <n v="65"/>
    <x v="2"/>
    <n v="19"/>
    <n v="477"/>
    <n v="2"/>
    <x v="3"/>
    <n v="96.9"/>
    <x v="8"/>
    <x v="1"/>
  </r>
  <r>
    <d v="2024-07-29T16:54:53"/>
    <x v="6"/>
    <s v="12.0938"/>
    <s v="96.8996"/>
    <n v="106"/>
    <x v="1"/>
    <n v="27"/>
    <n v="56.8"/>
    <x v="0"/>
    <n v="31"/>
    <n v="120"/>
    <n v="4"/>
    <x v="1"/>
    <n v="95.7"/>
    <x v="137"/>
    <x v="1"/>
  </r>
  <r>
    <d v="2024-12-09T13:41:26"/>
    <x v="7"/>
    <s v="-77.0862"/>
    <s v="137.9042"/>
    <n v="486"/>
    <x v="1"/>
    <n v="21.7"/>
    <n v="76"/>
    <x v="2"/>
    <n v="42"/>
    <n v="282"/>
    <n v="9"/>
    <x v="3"/>
    <n v="80.5"/>
    <x v="138"/>
    <x v="1"/>
  </r>
  <r>
    <d v="2024-09-14T09:03:54"/>
    <x v="5"/>
    <s v="-17.1205"/>
    <s v="-47.0657"/>
    <n v="248"/>
    <x v="1"/>
    <n v="26.3"/>
    <n v="53.7"/>
    <x v="0"/>
    <n v="40"/>
    <n v="146"/>
    <n v="10"/>
    <x v="1"/>
    <n v="71.7"/>
    <x v="126"/>
    <x v="1"/>
  </r>
  <r>
    <d v="2024-12-01T01:52:30"/>
    <x v="7"/>
    <s v="-52.8874"/>
    <s v="162.7464"/>
    <n v="157"/>
    <x v="1"/>
    <n v="25.4"/>
    <n v="79.099999999999994"/>
    <x v="0"/>
    <n v="17"/>
    <n v="311"/>
    <n v="9"/>
    <x v="1"/>
    <n v="69.900000000000006"/>
    <x v="81"/>
    <x v="1"/>
  </r>
  <r>
    <d v="2024-08-19T17:09:24"/>
    <x v="1"/>
    <s v="-3.6578"/>
    <s v="176.2990"/>
    <n v="235"/>
    <x v="1"/>
    <n v="23.2"/>
    <n v="54.6"/>
    <x v="2"/>
    <n v="28"/>
    <n v="467"/>
    <n v="9"/>
    <x v="3"/>
    <n v="68.2"/>
    <x v="8"/>
    <x v="1"/>
  </r>
  <r>
    <d v="2024-04-15T18:58:09"/>
    <x v="0"/>
    <s v="-7.6641"/>
    <s v="-25.3717"/>
    <n v="170"/>
    <x v="0"/>
    <n v="25.4"/>
    <n v="55.8"/>
    <x v="1"/>
    <n v="55"/>
    <n v="463"/>
    <n v="10"/>
    <x v="1"/>
    <n v="60.1"/>
    <x v="136"/>
    <x v="0"/>
  </r>
  <r>
    <d v="2024-04-12T10:58:21"/>
    <x v="1"/>
    <s v="-82.1416"/>
    <s v="-91.8925"/>
    <n v="342"/>
    <x v="2"/>
    <n v="25.1"/>
    <n v="52.4"/>
    <x v="2"/>
    <n v="24"/>
    <n v="103"/>
    <n v="2"/>
    <x v="3"/>
    <n v="88"/>
    <x v="40"/>
    <x v="1"/>
  </r>
  <r>
    <d v="2024-02-23T09:29:19"/>
    <x v="7"/>
    <s v="87.5079"/>
    <s v="-125.5319"/>
    <n v="290"/>
    <x v="1"/>
    <n v="20.5"/>
    <n v="51.4"/>
    <x v="2"/>
    <n v="22"/>
    <n v="170"/>
    <n v="4"/>
    <x v="3"/>
    <n v="74.7"/>
    <x v="139"/>
    <x v="1"/>
  </r>
  <r>
    <d v="2024-02-27T05:17:36"/>
    <x v="9"/>
    <s v="-76.8771"/>
    <s v="94.6166"/>
    <n v="260"/>
    <x v="0"/>
    <n v="22.8"/>
    <n v="71.7"/>
    <x v="1"/>
    <n v="44"/>
    <n v="393"/>
    <n v="5"/>
    <x v="3"/>
    <n v="94.1"/>
    <x v="44"/>
    <x v="0"/>
  </r>
  <r>
    <d v="2024-07-26T19:10:43"/>
    <x v="8"/>
    <s v="89.2765"/>
    <s v="166.6548"/>
    <n v="378"/>
    <x v="0"/>
    <n v="18.899999999999999"/>
    <n v="55.5"/>
    <x v="1"/>
    <n v="35"/>
    <n v="367"/>
    <n v="4"/>
    <x v="1"/>
    <n v="74.400000000000006"/>
    <x v="140"/>
    <x v="0"/>
  </r>
  <r>
    <d v="2024-06-29T05:20:24"/>
    <x v="5"/>
    <s v="-82.8546"/>
    <s v="7.8760"/>
    <n v="177"/>
    <x v="0"/>
    <n v="19.2"/>
    <n v="70.099999999999994"/>
    <x v="2"/>
    <n v="57"/>
    <n v="141"/>
    <n v="4"/>
    <x v="1"/>
    <n v="86.6"/>
    <x v="123"/>
    <x v="0"/>
  </r>
  <r>
    <d v="2024-04-15T04:40:07"/>
    <x v="5"/>
    <s v="-40.2840"/>
    <s v="-86.8089"/>
    <n v="310"/>
    <x v="1"/>
    <n v="22.8"/>
    <n v="64.400000000000006"/>
    <x v="1"/>
    <n v="33"/>
    <n v="104"/>
    <n v="2"/>
    <x v="3"/>
    <n v="98.9"/>
    <x v="107"/>
    <x v="0"/>
  </r>
  <r>
    <d v="2024-07-24T04:09:02"/>
    <x v="7"/>
    <s v="2.2208"/>
    <s v="-170.2641"/>
    <n v="132"/>
    <x v="2"/>
    <n v="27.5"/>
    <n v="57.2"/>
    <x v="1"/>
    <n v="36"/>
    <n v="481"/>
    <n v="5"/>
    <x v="2"/>
    <n v="65.2"/>
    <x v="50"/>
    <x v="0"/>
  </r>
  <r>
    <d v="2024-07-19T01:06:21"/>
    <x v="6"/>
    <s v="54.8423"/>
    <s v="175.5701"/>
    <n v="331"/>
    <x v="0"/>
    <n v="25.6"/>
    <n v="77.8"/>
    <x v="1"/>
    <n v="26"/>
    <n v="213"/>
    <n v="9"/>
    <x v="2"/>
    <n v="90.7"/>
    <x v="141"/>
    <x v="0"/>
  </r>
  <r>
    <d v="2024-04-23T16:50:45"/>
    <x v="9"/>
    <s v="-78.4723"/>
    <s v="-82.6150"/>
    <n v="294"/>
    <x v="2"/>
    <n v="24.4"/>
    <n v="65.2"/>
    <x v="0"/>
    <n v="23"/>
    <n v="439"/>
    <n v="8"/>
    <x v="2"/>
    <n v="65"/>
    <x v="142"/>
    <x v="1"/>
  </r>
  <r>
    <d v="2024-06-18T12:57:05"/>
    <x v="1"/>
    <s v="4.8496"/>
    <s v="-60.7988"/>
    <n v="277"/>
    <x v="2"/>
    <n v="29.3"/>
    <n v="50.7"/>
    <x v="1"/>
    <n v="24"/>
    <n v="242"/>
    <n v="2"/>
    <x v="3"/>
    <n v="93.4"/>
    <x v="143"/>
    <x v="0"/>
  </r>
  <r>
    <d v="2024-12-17T04:11:19"/>
    <x v="8"/>
    <s v="54.0342"/>
    <s v="-98.3083"/>
    <n v="329"/>
    <x v="0"/>
    <n v="29.7"/>
    <n v="77.900000000000006"/>
    <x v="1"/>
    <n v="33"/>
    <n v="232"/>
    <n v="5"/>
    <x v="1"/>
    <n v="91.9"/>
    <x v="144"/>
    <x v="0"/>
  </r>
  <r>
    <d v="2024-11-17T04:41:18"/>
    <x v="6"/>
    <s v="41.4300"/>
    <s v="-128.1678"/>
    <n v="204"/>
    <x v="2"/>
    <n v="18.7"/>
    <n v="68.5"/>
    <x v="1"/>
    <n v="27"/>
    <n v="473"/>
    <n v="2"/>
    <x v="2"/>
    <n v="76.900000000000006"/>
    <x v="78"/>
    <x v="0"/>
  </r>
  <r>
    <d v="2024-06-20T11:18:46"/>
    <x v="9"/>
    <s v="-56.0674"/>
    <s v="82.9431"/>
    <n v="410"/>
    <x v="2"/>
    <n v="28.9"/>
    <n v="60.3"/>
    <x v="2"/>
    <n v="32"/>
    <n v="436"/>
    <n v="1"/>
    <x v="0"/>
    <n v="77.2"/>
    <x v="75"/>
    <x v="1"/>
  </r>
  <r>
    <d v="2024-06-29T11:16:26"/>
    <x v="0"/>
    <s v="-0.8539"/>
    <s v="-177.5496"/>
    <n v="417"/>
    <x v="0"/>
    <n v="26.9"/>
    <n v="70.8"/>
    <x v="2"/>
    <n v="44"/>
    <n v="103"/>
    <n v="7"/>
    <x v="3"/>
    <n v="94.7"/>
    <x v="98"/>
    <x v="0"/>
  </r>
  <r>
    <d v="2024-07-05T09:14:48"/>
    <x v="1"/>
    <s v="54.5973"/>
    <s v="-128.4974"/>
    <n v="324"/>
    <x v="2"/>
    <n v="20.7"/>
    <n v="72.400000000000006"/>
    <x v="2"/>
    <n v="12"/>
    <n v="173"/>
    <n v="7"/>
    <x v="0"/>
    <n v="95.1"/>
    <x v="68"/>
    <x v="1"/>
  </r>
  <r>
    <d v="2024-07-19T20:10:54"/>
    <x v="6"/>
    <s v="-46.1457"/>
    <s v="161.0254"/>
    <n v="218"/>
    <x v="0"/>
    <n v="23.8"/>
    <n v="52.3"/>
    <x v="0"/>
    <n v="52"/>
    <n v="389"/>
    <n v="2"/>
    <x v="2"/>
    <n v="79.5"/>
    <x v="14"/>
    <x v="0"/>
  </r>
  <r>
    <d v="2024-08-27T22:26:18"/>
    <x v="8"/>
    <s v="76.8391"/>
    <s v="140.3011"/>
    <n v="137"/>
    <x v="0"/>
    <n v="23.6"/>
    <n v="51.7"/>
    <x v="0"/>
    <n v="24"/>
    <n v="124"/>
    <n v="6"/>
    <x v="2"/>
    <n v="70.599999999999994"/>
    <x v="145"/>
    <x v="0"/>
  </r>
  <r>
    <d v="2024-06-17T02:43:31"/>
    <x v="4"/>
    <s v="-59.1914"/>
    <s v="-125.4515"/>
    <n v="414"/>
    <x v="0"/>
    <n v="18.3"/>
    <n v="76.400000000000006"/>
    <x v="0"/>
    <n v="42"/>
    <n v="332"/>
    <n v="10"/>
    <x v="2"/>
    <n v="66.3"/>
    <x v="123"/>
    <x v="0"/>
  </r>
  <r>
    <d v="2024-05-21T02:30:18"/>
    <x v="9"/>
    <s v="-75.6177"/>
    <s v="-156.9760"/>
    <n v="216"/>
    <x v="1"/>
    <n v="26.9"/>
    <n v="67.2"/>
    <x v="0"/>
    <n v="35"/>
    <n v="181"/>
    <n v="10"/>
    <x v="1"/>
    <n v="86.2"/>
    <x v="146"/>
    <x v="1"/>
  </r>
  <r>
    <d v="2024-05-08T02:13:49"/>
    <x v="6"/>
    <s v="-24.1694"/>
    <s v="30.0335"/>
    <n v="170"/>
    <x v="0"/>
    <n v="26.4"/>
    <n v="51.6"/>
    <x v="0"/>
    <n v="47"/>
    <n v="278"/>
    <n v="3"/>
    <x v="0"/>
    <n v="96.4"/>
    <x v="73"/>
    <x v="0"/>
  </r>
  <r>
    <d v="2024-05-02T09:49:37"/>
    <x v="5"/>
    <s v="-6.8584"/>
    <s v="150.6127"/>
    <n v="154"/>
    <x v="2"/>
    <n v="28.6"/>
    <n v="66.8"/>
    <x v="2"/>
    <n v="18"/>
    <n v="384"/>
    <n v="9"/>
    <x v="1"/>
    <n v="60.4"/>
    <x v="87"/>
    <x v="1"/>
  </r>
  <r>
    <d v="2024-01-25T20:15:13"/>
    <x v="5"/>
    <s v="-32.2146"/>
    <s v="166.7941"/>
    <n v="213"/>
    <x v="2"/>
    <n v="25"/>
    <n v="72.7"/>
    <x v="0"/>
    <n v="51"/>
    <n v="353"/>
    <n v="8"/>
    <x v="0"/>
    <n v="82.6"/>
    <x v="147"/>
    <x v="1"/>
  </r>
  <r>
    <d v="2024-01-07T12:49:12"/>
    <x v="4"/>
    <s v="-46.3051"/>
    <s v="-93.1541"/>
    <n v="276"/>
    <x v="2"/>
    <n v="24.9"/>
    <n v="77"/>
    <x v="0"/>
    <n v="60"/>
    <n v="467"/>
    <n v="4"/>
    <x v="1"/>
    <n v="84.6"/>
    <x v="148"/>
    <x v="1"/>
  </r>
  <r>
    <d v="2024-03-08T10:09:37"/>
    <x v="2"/>
    <s v="-85.0859"/>
    <s v="41.1380"/>
    <n v="382"/>
    <x v="1"/>
    <n v="22"/>
    <n v="77.8"/>
    <x v="2"/>
    <n v="47"/>
    <n v="448"/>
    <n v="5"/>
    <x v="1"/>
    <n v="81.400000000000006"/>
    <x v="126"/>
    <x v="1"/>
  </r>
  <r>
    <d v="2024-12-22T15:01:19"/>
    <x v="6"/>
    <s v="89.1858"/>
    <s v="-159.3242"/>
    <n v="383"/>
    <x v="1"/>
    <n v="19.100000000000001"/>
    <n v="69"/>
    <x v="0"/>
    <n v="16"/>
    <n v="238"/>
    <n v="3"/>
    <x v="1"/>
    <n v="90.7"/>
    <x v="52"/>
    <x v="1"/>
  </r>
  <r>
    <d v="2024-01-21T13:17:03"/>
    <x v="9"/>
    <s v="1.4290"/>
    <s v="-119.0925"/>
    <n v="334"/>
    <x v="0"/>
    <n v="26.6"/>
    <n v="74.099999999999994"/>
    <x v="0"/>
    <n v="10"/>
    <n v="317"/>
    <n v="3"/>
    <x v="2"/>
    <n v="73"/>
    <x v="101"/>
    <x v="0"/>
  </r>
  <r>
    <d v="2024-06-25T02:35:14"/>
    <x v="3"/>
    <s v="78.3252"/>
    <s v="15.2758"/>
    <n v="421"/>
    <x v="0"/>
    <n v="26.3"/>
    <n v="68.8"/>
    <x v="1"/>
    <n v="53"/>
    <n v="128"/>
    <n v="6"/>
    <x v="0"/>
    <n v="76.599999999999994"/>
    <x v="93"/>
    <x v="0"/>
  </r>
  <r>
    <d v="2024-05-27T05:13:33"/>
    <x v="5"/>
    <s v="-9.2287"/>
    <s v="107.9306"/>
    <n v="329"/>
    <x v="2"/>
    <n v="25"/>
    <n v="51.2"/>
    <x v="0"/>
    <n v="53"/>
    <n v="233"/>
    <n v="5"/>
    <x v="3"/>
    <n v="67.2"/>
    <x v="149"/>
    <x v="1"/>
  </r>
  <r>
    <d v="2024-01-27T01:05:38"/>
    <x v="2"/>
    <s v="71.4327"/>
    <s v="127.3664"/>
    <n v="284"/>
    <x v="1"/>
    <n v="22.1"/>
    <n v="77.2"/>
    <x v="1"/>
    <n v="16"/>
    <n v="226"/>
    <n v="4"/>
    <x v="0"/>
    <n v="95.8"/>
    <x v="8"/>
    <x v="0"/>
  </r>
  <r>
    <d v="2024-01-21T03:11:55"/>
    <x v="5"/>
    <s v="-84.0049"/>
    <s v="111.8327"/>
    <n v="184"/>
    <x v="0"/>
    <n v="19.2"/>
    <n v="59.8"/>
    <x v="1"/>
    <n v="23"/>
    <n v="126"/>
    <n v="4"/>
    <x v="3"/>
    <n v="90.4"/>
    <x v="150"/>
    <x v="0"/>
  </r>
  <r>
    <d v="2024-08-03T13:26:27"/>
    <x v="8"/>
    <s v="7.0779"/>
    <s v="-165.1360"/>
    <n v="403"/>
    <x v="2"/>
    <n v="20.6"/>
    <n v="66.099999999999994"/>
    <x v="2"/>
    <n v="15"/>
    <n v="461"/>
    <n v="4"/>
    <x v="0"/>
    <n v="77.099999999999994"/>
    <x v="87"/>
    <x v="1"/>
  </r>
  <r>
    <d v="2024-06-05T18:09:34"/>
    <x v="1"/>
    <s v="-86.0858"/>
    <s v="117.8697"/>
    <n v="100"/>
    <x v="1"/>
    <n v="22.3"/>
    <n v="72.3"/>
    <x v="0"/>
    <n v="43"/>
    <n v="256"/>
    <n v="5"/>
    <x v="0"/>
    <n v="92.8"/>
    <x v="25"/>
    <x v="1"/>
  </r>
  <r>
    <d v="2024-10-27T12:09:17"/>
    <x v="7"/>
    <s v="59.2432"/>
    <s v="175.9873"/>
    <n v="135"/>
    <x v="0"/>
    <n v="18.899999999999999"/>
    <n v="55.5"/>
    <x v="1"/>
    <n v="57"/>
    <n v="162"/>
    <n v="9"/>
    <x v="0"/>
    <n v="75.3"/>
    <x v="51"/>
    <x v="0"/>
  </r>
  <r>
    <d v="2024-10-22T14:28:47"/>
    <x v="9"/>
    <s v="-39.3003"/>
    <s v="-121.6771"/>
    <n v="220"/>
    <x v="1"/>
    <n v="25"/>
    <n v="79"/>
    <x v="1"/>
    <n v="51"/>
    <n v="481"/>
    <n v="2"/>
    <x v="1"/>
    <n v="64.3"/>
    <x v="151"/>
    <x v="0"/>
  </r>
  <r>
    <d v="2024-09-03T09:41:58"/>
    <x v="6"/>
    <s v="-83.6720"/>
    <s v="164.2522"/>
    <n v="318"/>
    <x v="1"/>
    <n v="29.8"/>
    <n v="51.4"/>
    <x v="2"/>
    <n v="24"/>
    <n v="216"/>
    <n v="3"/>
    <x v="1"/>
    <n v="83.8"/>
    <x v="152"/>
    <x v="1"/>
  </r>
  <r>
    <d v="2024-01-03T11:20:33"/>
    <x v="0"/>
    <s v="5.9541"/>
    <s v="-156.4873"/>
    <n v="237"/>
    <x v="2"/>
    <n v="29.2"/>
    <n v="56.2"/>
    <x v="0"/>
    <n v="15"/>
    <n v="251"/>
    <n v="3"/>
    <x v="1"/>
    <n v="76.3"/>
    <x v="6"/>
    <x v="1"/>
  </r>
  <r>
    <d v="2024-06-11T23:38:53"/>
    <x v="5"/>
    <s v="-16.3804"/>
    <s v="-119.0546"/>
    <n v="459"/>
    <x v="1"/>
    <n v="27.2"/>
    <n v="78.5"/>
    <x v="1"/>
    <n v="22"/>
    <n v="323"/>
    <n v="7"/>
    <x v="0"/>
    <n v="87.3"/>
    <x v="143"/>
    <x v="0"/>
  </r>
  <r>
    <d v="2024-01-04T23:32:40"/>
    <x v="1"/>
    <s v="-27.4913"/>
    <s v="-1.8571"/>
    <n v="332"/>
    <x v="1"/>
    <n v="21.7"/>
    <n v="58.9"/>
    <x v="1"/>
    <n v="33"/>
    <n v="363"/>
    <n v="6"/>
    <x v="1"/>
    <n v="90.1"/>
    <x v="120"/>
    <x v="0"/>
  </r>
  <r>
    <d v="2024-08-02T06:58:21"/>
    <x v="6"/>
    <s v="67.7002"/>
    <s v="43.8530"/>
    <n v="133"/>
    <x v="1"/>
    <n v="28.7"/>
    <n v="69.5"/>
    <x v="0"/>
    <n v="57"/>
    <n v="342"/>
    <n v="6"/>
    <x v="2"/>
    <n v="99.9"/>
    <x v="35"/>
    <x v="1"/>
  </r>
  <r>
    <d v="2024-08-29T02:07:16"/>
    <x v="6"/>
    <s v="30.5045"/>
    <s v="52.2559"/>
    <n v="499"/>
    <x v="0"/>
    <n v="18.3"/>
    <n v="75.099999999999994"/>
    <x v="2"/>
    <n v="22"/>
    <n v="251"/>
    <n v="1"/>
    <x v="3"/>
    <n v="79.2"/>
    <x v="138"/>
    <x v="0"/>
  </r>
  <r>
    <d v="2024-02-22T18:02:00"/>
    <x v="2"/>
    <s v="4.8619"/>
    <s v="61.4224"/>
    <n v="350"/>
    <x v="2"/>
    <n v="25.3"/>
    <n v="71.2"/>
    <x v="0"/>
    <n v="19"/>
    <n v="177"/>
    <n v="1"/>
    <x v="0"/>
    <n v="67"/>
    <x v="40"/>
    <x v="1"/>
  </r>
  <r>
    <d v="2024-06-21T20:31:34"/>
    <x v="0"/>
    <s v="84.0872"/>
    <s v="85.2383"/>
    <n v="186"/>
    <x v="0"/>
    <n v="24.1"/>
    <n v="72"/>
    <x v="0"/>
    <n v="26"/>
    <n v="131"/>
    <n v="4"/>
    <x v="0"/>
    <n v="68.2"/>
    <x v="5"/>
    <x v="0"/>
  </r>
  <r>
    <d v="2024-01-27T15:36:15"/>
    <x v="6"/>
    <s v="11.5213"/>
    <s v="-168.4741"/>
    <n v="403"/>
    <x v="2"/>
    <n v="23.1"/>
    <n v="69.3"/>
    <x v="0"/>
    <n v="24"/>
    <n v="487"/>
    <n v="10"/>
    <x v="3"/>
    <n v="69.599999999999994"/>
    <x v="153"/>
    <x v="1"/>
  </r>
  <r>
    <d v="2024-06-17T12:40:13"/>
    <x v="1"/>
    <s v="63.7701"/>
    <s v="163.2651"/>
    <n v="193"/>
    <x v="0"/>
    <n v="22.1"/>
    <n v="68.2"/>
    <x v="1"/>
    <n v="29"/>
    <n v="231"/>
    <n v="3"/>
    <x v="1"/>
    <n v="69.7"/>
    <x v="6"/>
    <x v="0"/>
  </r>
  <r>
    <d v="2024-03-31T14:30:18"/>
    <x v="5"/>
    <s v="57.5757"/>
    <s v="-35.0439"/>
    <n v="254"/>
    <x v="2"/>
    <n v="24"/>
    <n v="78.599999999999994"/>
    <x v="1"/>
    <n v="24"/>
    <n v="108"/>
    <n v="3"/>
    <x v="1"/>
    <n v="66.599999999999994"/>
    <x v="154"/>
    <x v="0"/>
  </r>
  <r>
    <d v="2024-03-23T08:10:19"/>
    <x v="3"/>
    <s v="-66.6009"/>
    <s v="-11.7155"/>
    <n v="368"/>
    <x v="2"/>
    <n v="26.1"/>
    <n v="71"/>
    <x v="2"/>
    <n v="58"/>
    <n v="336"/>
    <n v="2"/>
    <x v="3"/>
    <n v="86.5"/>
    <x v="155"/>
    <x v="1"/>
  </r>
  <r>
    <d v="2024-10-02T15:12:00"/>
    <x v="1"/>
    <s v="18.7550"/>
    <s v="-46.8871"/>
    <n v="283"/>
    <x v="0"/>
    <n v="28.5"/>
    <n v="50.7"/>
    <x v="0"/>
    <n v="11"/>
    <n v="495"/>
    <n v="10"/>
    <x v="1"/>
    <n v="88.1"/>
    <x v="150"/>
    <x v="0"/>
  </r>
  <r>
    <d v="2024-07-28T18:36:05"/>
    <x v="2"/>
    <s v="50.3574"/>
    <s v="128.5618"/>
    <n v="164"/>
    <x v="2"/>
    <n v="25.5"/>
    <n v="67.599999999999994"/>
    <x v="1"/>
    <n v="20"/>
    <n v="188"/>
    <n v="7"/>
    <x v="3"/>
    <n v="60.1"/>
    <x v="151"/>
    <x v="0"/>
  </r>
  <r>
    <d v="2024-01-11T15:19:53"/>
    <x v="8"/>
    <s v="46.9009"/>
    <s v="3.7490"/>
    <n v="419"/>
    <x v="2"/>
    <n v="22.1"/>
    <n v="74.7"/>
    <x v="0"/>
    <n v="31"/>
    <n v="236"/>
    <n v="10"/>
    <x v="2"/>
    <n v="95.9"/>
    <x v="59"/>
    <x v="1"/>
  </r>
  <r>
    <d v="2024-12-28T18:53:31"/>
    <x v="3"/>
    <s v="17.5319"/>
    <s v="-65.0765"/>
    <n v="489"/>
    <x v="2"/>
    <n v="25"/>
    <n v="69.400000000000006"/>
    <x v="2"/>
    <n v="30"/>
    <n v="345"/>
    <n v="8"/>
    <x v="0"/>
    <n v="66.099999999999994"/>
    <x v="48"/>
    <x v="1"/>
  </r>
  <r>
    <d v="2024-09-07T12:50:16"/>
    <x v="5"/>
    <s v="4.8305"/>
    <s v="-6.5757"/>
    <n v="498"/>
    <x v="0"/>
    <n v="20.2"/>
    <n v="55"/>
    <x v="2"/>
    <n v="51"/>
    <n v="147"/>
    <n v="8"/>
    <x v="1"/>
    <n v="97.7"/>
    <x v="156"/>
    <x v="0"/>
  </r>
  <r>
    <d v="2024-12-09T11:15:02"/>
    <x v="2"/>
    <s v="38.8917"/>
    <s v="-38.8032"/>
    <n v="244"/>
    <x v="0"/>
    <n v="21.2"/>
    <n v="61.8"/>
    <x v="0"/>
    <n v="24"/>
    <n v="181"/>
    <n v="2"/>
    <x v="2"/>
    <n v="70.099999999999994"/>
    <x v="11"/>
    <x v="0"/>
  </r>
  <r>
    <d v="2024-10-05T18:34:00"/>
    <x v="4"/>
    <s v="-20.0482"/>
    <s v="-83.6915"/>
    <n v="488"/>
    <x v="2"/>
    <n v="21.5"/>
    <n v="50.3"/>
    <x v="1"/>
    <n v="32"/>
    <n v="120"/>
    <n v="1"/>
    <x v="3"/>
    <n v="79.099999999999994"/>
    <x v="102"/>
    <x v="0"/>
  </r>
  <r>
    <d v="2024-04-22T10:55:19"/>
    <x v="3"/>
    <s v="-83.2534"/>
    <s v="-166.3309"/>
    <n v="152"/>
    <x v="0"/>
    <n v="21.2"/>
    <n v="70.3"/>
    <x v="2"/>
    <n v="10"/>
    <n v="467"/>
    <n v="10"/>
    <x v="0"/>
    <n v="61.5"/>
    <x v="141"/>
    <x v="0"/>
  </r>
  <r>
    <d v="2024-02-27T21:45:48"/>
    <x v="2"/>
    <s v="-4.8643"/>
    <s v="75.4304"/>
    <n v="168"/>
    <x v="0"/>
    <n v="23.2"/>
    <n v="71.5"/>
    <x v="2"/>
    <n v="23"/>
    <n v="292"/>
    <n v="3"/>
    <x v="2"/>
    <n v="98.8"/>
    <x v="129"/>
    <x v="0"/>
  </r>
  <r>
    <d v="2024-05-23T22:03:43"/>
    <x v="8"/>
    <s v="46.7637"/>
    <s v="-146.4348"/>
    <n v="268"/>
    <x v="2"/>
    <n v="23.9"/>
    <n v="79.2"/>
    <x v="2"/>
    <n v="41"/>
    <n v="295"/>
    <n v="9"/>
    <x v="3"/>
    <n v="69.5"/>
    <x v="157"/>
    <x v="1"/>
  </r>
  <r>
    <d v="2024-01-02T22:19:42"/>
    <x v="0"/>
    <s v="-68.3909"/>
    <s v="-122.5570"/>
    <n v="341"/>
    <x v="1"/>
    <n v="21.3"/>
    <n v="76.2"/>
    <x v="1"/>
    <n v="58"/>
    <n v="429"/>
    <n v="3"/>
    <x v="0"/>
    <n v="78.599999999999994"/>
    <x v="158"/>
    <x v="0"/>
  </r>
  <r>
    <d v="2024-09-29T06:31:55"/>
    <x v="0"/>
    <s v="62.3457"/>
    <s v="-54.2033"/>
    <n v="166"/>
    <x v="2"/>
    <n v="28.9"/>
    <n v="50.6"/>
    <x v="1"/>
    <n v="58"/>
    <n v="197"/>
    <n v="3"/>
    <x v="2"/>
    <n v="88.8"/>
    <x v="23"/>
    <x v="0"/>
  </r>
  <r>
    <d v="2024-12-18T08:33:58"/>
    <x v="0"/>
    <s v="72.8857"/>
    <s v="135.9494"/>
    <n v="483"/>
    <x v="0"/>
    <n v="21.4"/>
    <n v="51.2"/>
    <x v="1"/>
    <n v="33"/>
    <n v="249"/>
    <n v="2"/>
    <x v="0"/>
    <n v="67.599999999999994"/>
    <x v="79"/>
    <x v="0"/>
  </r>
  <r>
    <d v="2024-08-11T10:28:58"/>
    <x v="2"/>
    <s v="2.2782"/>
    <s v="-158.4628"/>
    <n v="232"/>
    <x v="2"/>
    <n v="22.3"/>
    <n v="73.3"/>
    <x v="1"/>
    <n v="19"/>
    <n v="332"/>
    <n v="4"/>
    <x v="0"/>
    <n v="78.599999999999994"/>
    <x v="22"/>
    <x v="0"/>
  </r>
  <r>
    <d v="2024-03-24T22:56:32"/>
    <x v="7"/>
    <s v="11.7686"/>
    <s v="154.6043"/>
    <n v="392"/>
    <x v="1"/>
    <n v="20.7"/>
    <n v="62.8"/>
    <x v="0"/>
    <n v="12"/>
    <n v="417"/>
    <n v="2"/>
    <x v="1"/>
    <n v="69.3"/>
    <x v="99"/>
    <x v="1"/>
  </r>
  <r>
    <d v="2024-06-02T00:24:04"/>
    <x v="6"/>
    <s v="-75.5980"/>
    <s v="11.1340"/>
    <n v="480"/>
    <x v="1"/>
    <n v="24.9"/>
    <n v="77.8"/>
    <x v="1"/>
    <n v="53"/>
    <n v="318"/>
    <n v="3"/>
    <x v="3"/>
    <n v="69.5"/>
    <x v="98"/>
    <x v="0"/>
  </r>
  <r>
    <d v="2024-02-02T03:46:54"/>
    <x v="7"/>
    <s v="23.2931"/>
    <s v="106.0267"/>
    <n v="368"/>
    <x v="2"/>
    <n v="28"/>
    <n v="53.4"/>
    <x v="0"/>
    <n v="42"/>
    <n v="182"/>
    <n v="5"/>
    <x v="0"/>
    <n v="77.5"/>
    <x v="31"/>
    <x v="1"/>
  </r>
  <r>
    <d v="2024-10-02T12:56:46"/>
    <x v="1"/>
    <s v="-11.3114"/>
    <s v="-139.8110"/>
    <n v="373"/>
    <x v="1"/>
    <n v="25"/>
    <n v="62.4"/>
    <x v="2"/>
    <n v="20"/>
    <n v="125"/>
    <n v="1"/>
    <x v="3"/>
    <n v="91.2"/>
    <x v="3"/>
    <x v="1"/>
  </r>
  <r>
    <d v="2024-09-25T12:20:07"/>
    <x v="5"/>
    <s v="9.6491"/>
    <s v="47.3499"/>
    <n v="154"/>
    <x v="2"/>
    <n v="22"/>
    <n v="53.3"/>
    <x v="1"/>
    <n v="50"/>
    <n v="208"/>
    <n v="4"/>
    <x v="0"/>
    <n v="85"/>
    <x v="14"/>
    <x v="0"/>
  </r>
  <r>
    <d v="2024-02-24T08:11:09"/>
    <x v="7"/>
    <s v="10.9354"/>
    <s v="-27.3551"/>
    <n v="184"/>
    <x v="2"/>
    <n v="19.2"/>
    <n v="55.3"/>
    <x v="1"/>
    <n v="14"/>
    <n v="450"/>
    <n v="3"/>
    <x v="0"/>
    <n v="86.7"/>
    <x v="156"/>
    <x v="0"/>
  </r>
  <r>
    <d v="2024-10-28T10:00:20"/>
    <x v="3"/>
    <s v="84.9482"/>
    <s v="59.5314"/>
    <n v="204"/>
    <x v="2"/>
    <n v="21.4"/>
    <n v="61.5"/>
    <x v="2"/>
    <n v="51"/>
    <n v="490"/>
    <n v="5"/>
    <x v="3"/>
    <n v="68"/>
    <x v="66"/>
    <x v="1"/>
  </r>
  <r>
    <d v="2024-05-31T23:20:31"/>
    <x v="5"/>
    <s v="49.7212"/>
    <s v="179.2025"/>
    <n v="227"/>
    <x v="2"/>
    <n v="26.1"/>
    <n v="65.7"/>
    <x v="0"/>
    <n v="47"/>
    <n v="247"/>
    <n v="8"/>
    <x v="2"/>
    <n v="77.8"/>
    <x v="22"/>
    <x v="1"/>
  </r>
  <r>
    <d v="2024-01-22T00:34:19"/>
    <x v="8"/>
    <s v="-28.8968"/>
    <s v="-117.9471"/>
    <n v="405"/>
    <x v="1"/>
    <n v="28"/>
    <n v="67.7"/>
    <x v="2"/>
    <n v="48"/>
    <n v="348"/>
    <n v="3"/>
    <x v="3"/>
    <n v="78.3"/>
    <x v="142"/>
    <x v="1"/>
  </r>
  <r>
    <d v="2024-12-19T11:06:09"/>
    <x v="0"/>
    <s v="-55.5154"/>
    <s v="-163.6943"/>
    <n v="392"/>
    <x v="2"/>
    <n v="27.4"/>
    <n v="69"/>
    <x v="0"/>
    <n v="31"/>
    <n v="347"/>
    <n v="9"/>
    <x v="1"/>
    <n v="98"/>
    <x v="159"/>
    <x v="1"/>
  </r>
  <r>
    <d v="2024-01-05T22:46:26"/>
    <x v="7"/>
    <s v="16.7636"/>
    <s v="29.2783"/>
    <n v="429"/>
    <x v="1"/>
    <n v="27.7"/>
    <n v="75"/>
    <x v="1"/>
    <n v="12"/>
    <n v="446"/>
    <n v="4"/>
    <x v="0"/>
    <n v="65.7"/>
    <x v="160"/>
    <x v="0"/>
  </r>
  <r>
    <d v="2024-06-26T08:09:13"/>
    <x v="0"/>
    <s v="-76.3070"/>
    <s v="5.0298"/>
    <n v="488"/>
    <x v="2"/>
    <n v="25.2"/>
    <n v="63.9"/>
    <x v="1"/>
    <n v="19"/>
    <n v="219"/>
    <n v="4"/>
    <x v="1"/>
    <n v="100"/>
    <x v="101"/>
    <x v="0"/>
  </r>
  <r>
    <d v="2024-07-31T02:07:09"/>
    <x v="1"/>
    <s v="-22.4693"/>
    <s v="149.9634"/>
    <n v="444"/>
    <x v="0"/>
    <n v="29.8"/>
    <n v="67.5"/>
    <x v="2"/>
    <n v="41"/>
    <n v="125"/>
    <n v="5"/>
    <x v="1"/>
    <n v="63.3"/>
    <x v="112"/>
    <x v="0"/>
  </r>
  <r>
    <d v="2024-11-27T04:21:18"/>
    <x v="9"/>
    <s v="71.8859"/>
    <s v="93.4464"/>
    <n v="420"/>
    <x v="0"/>
    <n v="18.399999999999999"/>
    <n v="68.5"/>
    <x v="1"/>
    <n v="50"/>
    <n v="340"/>
    <n v="10"/>
    <x v="1"/>
    <n v="76.8"/>
    <x v="60"/>
    <x v="0"/>
  </r>
  <r>
    <d v="2024-06-06T04:02:08"/>
    <x v="9"/>
    <s v="-9.7179"/>
    <s v="-117.0145"/>
    <n v="391"/>
    <x v="1"/>
    <n v="25.5"/>
    <n v="73.7"/>
    <x v="0"/>
    <n v="31"/>
    <n v="472"/>
    <n v="10"/>
    <x v="1"/>
    <n v="77.2"/>
    <x v="99"/>
    <x v="1"/>
  </r>
  <r>
    <d v="2024-05-16T20:34:06"/>
    <x v="3"/>
    <s v="-12.2288"/>
    <s v="-74.7801"/>
    <n v="212"/>
    <x v="2"/>
    <n v="20.6"/>
    <n v="50.5"/>
    <x v="2"/>
    <n v="41"/>
    <n v="498"/>
    <n v="5"/>
    <x v="3"/>
    <n v="94.1"/>
    <x v="125"/>
    <x v="1"/>
  </r>
  <r>
    <d v="2024-07-14T21:14:08"/>
    <x v="4"/>
    <s v="5.4618"/>
    <s v="-179.8202"/>
    <n v="157"/>
    <x v="2"/>
    <n v="20.9"/>
    <n v="77.099999999999994"/>
    <x v="2"/>
    <n v="26"/>
    <n v="499"/>
    <n v="4"/>
    <x v="2"/>
    <n v="91.4"/>
    <x v="77"/>
    <x v="1"/>
  </r>
  <r>
    <d v="2024-11-22T11:31:54"/>
    <x v="6"/>
    <s v="-54.8317"/>
    <s v="66.4706"/>
    <n v="399"/>
    <x v="2"/>
    <n v="26.3"/>
    <n v="79.400000000000006"/>
    <x v="0"/>
    <n v="25"/>
    <n v="476"/>
    <n v="4"/>
    <x v="3"/>
    <n v="95.6"/>
    <x v="15"/>
    <x v="1"/>
  </r>
  <r>
    <d v="2024-11-01T21:31:14"/>
    <x v="5"/>
    <s v="-80.0522"/>
    <s v="-102.2508"/>
    <n v="103"/>
    <x v="2"/>
    <n v="27.9"/>
    <n v="53.1"/>
    <x v="0"/>
    <n v="52"/>
    <n v="386"/>
    <n v="1"/>
    <x v="0"/>
    <n v="97.7"/>
    <x v="85"/>
    <x v="1"/>
  </r>
  <r>
    <d v="2024-10-27T15:39:37"/>
    <x v="3"/>
    <s v="-13.0527"/>
    <s v="-122.0924"/>
    <n v="333"/>
    <x v="0"/>
    <n v="22.1"/>
    <n v="65"/>
    <x v="0"/>
    <n v="22"/>
    <n v="243"/>
    <n v="5"/>
    <x v="3"/>
    <n v="83.2"/>
    <x v="111"/>
    <x v="0"/>
  </r>
  <r>
    <d v="2024-02-14T12:20:37"/>
    <x v="1"/>
    <s v="6.3666"/>
    <s v="136.0794"/>
    <n v="234"/>
    <x v="2"/>
    <n v="27.3"/>
    <n v="70.099999999999994"/>
    <x v="0"/>
    <n v="45"/>
    <n v="416"/>
    <n v="8"/>
    <x v="0"/>
    <n v="86.9"/>
    <x v="79"/>
    <x v="1"/>
  </r>
  <r>
    <d v="2024-05-02T11:14:44"/>
    <x v="3"/>
    <s v="83.1243"/>
    <s v="48.4325"/>
    <n v="146"/>
    <x v="0"/>
    <n v="29"/>
    <n v="55.5"/>
    <x v="0"/>
    <n v="52"/>
    <n v="414"/>
    <n v="10"/>
    <x v="3"/>
    <n v="82.3"/>
    <x v="91"/>
    <x v="0"/>
  </r>
  <r>
    <d v="2024-09-02T05:03:25"/>
    <x v="0"/>
    <s v="51.1898"/>
    <s v="25.5964"/>
    <n v="109"/>
    <x v="0"/>
    <n v="20.7"/>
    <n v="60.9"/>
    <x v="1"/>
    <n v="39"/>
    <n v="147"/>
    <n v="9"/>
    <x v="2"/>
    <n v="75"/>
    <x v="132"/>
    <x v="0"/>
  </r>
  <r>
    <d v="2024-12-08T04:35:38"/>
    <x v="6"/>
    <s v="-76.3987"/>
    <s v="-68.1922"/>
    <n v="357"/>
    <x v="0"/>
    <n v="24.6"/>
    <n v="73.5"/>
    <x v="2"/>
    <n v="48"/>
    <n v="266"/>
    <n v="10"/>
    <x v="2"/>
    <n v="74.400000000000006"/>
    <x v="95"/>
    <x v="0"/>
  </r>
  <r>
    <d v="2024-01-23T05:35:54"/>
    <x v="3"/>
    <s v="70.5541"/>
    <s v="-150.1626"/>
    <n v="356"/>
    <x v="2"/>
    <n v="19.5"/>
    <n v="63.1"/>
    <x v="2"/>
    <n v="16"/>
    <n v="118"/>
    <n v="3"/>
    <x v="0"/>
    <n v="77.8"/>
    <x v="116"/>
    <x v="1"/>
  </r>
  <r>
    <d v="2024-01-25T11:27:54"/>
    <x v="5"/>
    <s v="-38.2185"/>
    <s v="104.1667"/>
    <n v="349"/>
    <x v="2"/>
    <n v="19.399999999999999"/>
    <n v="62.7"/>
    <x v="0"/>
    <n v="19"/>
    <n v="296"/>
    <n v="3"/>
    <x v="0"/>
    <n v="72.3"/>
    <x v="100"/>
    <x v="1"/>
  </r>
  <r>
    <d v="2024-11-08T13:31:56"/>
    <x v="9"/>
    <s v="39.1411"/>
    <s v="138.1786"/>
    <n v="159"/>
    <x v="2"/>
    <n v="27.1"/>
    <n v="77.5"/>
    <x v="1"/>
    <n v="33"/>
    <n v="429"/>
    <n v="9"/>
    <x v="0"/>
    <n v="77.900000000000006"/>
    <x v="150"/>
    <x v="0"/>
  </r>
  <r>
    <d v="2024-05-30T01:04:50"/>
    <x v="4"/>
    <s v="-68.8006"/>
    <s v="159.0040"/>
    <n v="148"/>
    <x v="2"/>
    <n v="25"/>
    <n v="60.7"/>
    <x v="2"/>
    <n v="43"/>
    <n v="196"/>
    <n v="4"/>
    <x v="3"/>
    <n v="64.599999999999994"/>
    <x v="28"/>
    <x v="1"/>
  </r>
  <r>
    <d v="2024-05-30T11:30:34"/>
    <x v="7"/>
    <s v="51.1598"/>
    <s v="-170.9311"/>
    <n v="354"/>
    <x v="2"/>
    <n v="26.9"/>
    <n v="65.5"/>
    <x v="1"/>
    <n v="14"/>
    <n v="245"/>
    <n v="4"/>
    <x v="0"/>
    <n v="73.400000000000006"/>
    <x v="74"/>
    <x v="0"/>
  </r>
  <r>
    <d v="2024-03-02T23:49:21"/>
    <x v="6"/>
    <s v="-29.5867"/>
    <s v="41.0612"/>
    <n v="214"/>
    <x v="2"/>
    <n v="21.5"/>
    <n v="69.099999999999994"/>
    <x v="1"/>
    <n v="49"/>
    <n v="417"/>
    <n v="10"/>
    <x v="2"/>
    <n v="76.7"/>
    <x v="123"/>
    <x v="0"/>
  </r>
  <r>
    <d v="2024-08-29T11:52:35"/>
    <x v="6"/>
    <s v="-51.3412"/>
    <s v="-112.1636"/>
    <n v="307"/>
    <x v="0"/>
    <n v="21"/>
    <n v="52.8"/>
    <x v="2"/>
    <n v="21"/>
    <n v="475"/>
    <n v="4"/>
    <x v="0"/>
    <n v="82.8"/>
    <x v="108"/>
    <x v="0"/>
  </r>
  <r>
    <d v="2024-05-26T01:53:03"/>
    <x v="9"/>
    <s v="-49.5057"/>
    <s v="174.3533"/>
    <n v="385"/>
    <x v="1"/>
    <n v="24.3"/>
    <n v="59.4"/>
    <x v="2"/>
    <n v="37"/>
    <n v="239"/>
    <n v="3"/>
    <x v="0"/>
    <n v="88.3"/>
    <x v="161"/>
    <x v="1"/>
  </r>
  <r>
    <d v="2024-07-24T01:20:43"/>
    <x v="6"/>
    <s v="0.7577"/>
    <s v="120.0181"/>
    <n v="490"/>
    <x v="0"/>
    <n v="24"/>
    <n v="56.1"/>
    <x v="1"/>
    <n v="29"/>
    <n v="463"/>
    <n v="6"/>
    <x v="3"/>
    <n v="81.099999999999994"/>
    <x v="32"/>
    <x v="0"/>
  </r>
  <r>
    <d v="2024-12-24T10:20:56"/>
    <x v="4"/>
    <s v="-2.2911"/>
    <s v="64.2731"/>
    <n v="133"/>
    <x v="0"/>
    <n v="19.399999999999999"/>
    <n v="76"/>
    <x v="0"/>
    <n v="36"/>
    <n v="182"/>
    <n v="3"/>
    <x v="0"/>
    <n v="70.5"/>
    <x v="123"/>
    <x v="0"/>
  </r>
  <r>
    <d v="2024-02-11T14:40:04"/>
    <x v="5"/>
    <s v="78.4324"/>
    <s v="125.0181"/>
    <n v="472"/>
    <x v="2"/>
    <n v="24.9"/>
    <n v="63.2"/>
    <x v="0"/>
    <n v="36"/>
    <n v="485"/>
    <n v="9"/>
    <x v="0"/>
    <n v="78.900000000000006"/>
    <x v="143"/>
    <x v="1"/>
  </r>
  <r>
    <d v="2024-04-24T00:54:49"/>
    <x v="0"/>
    <s v="-2.8329"/>
    <s v="-29.9102"/>
    <n v="338"/>
    <x v="1"/>
    <n v="28.9"/>
    <n v="55.5"/>
    <x v="0"/>
    <n v="39"/>
    <n v="181"/>
    <n v="2"/>
    <x v="3"/>
    <n v="88.6"/>
    <x v="47"/>
    <x v="1"/>
  </r>
  <r>
    <d v="2024-01-08T10:20:44"/>
    <x v="5"/>
    <s v="70.0103"/>
    <s v="-164.1914"/>
    <n v="172"/>
    <x v="2"/>
    <n v="25.5"/>
    <n v="55.7"/>
    <x v="0"/>
    <n v="25"/>
    <n v="259"/>
    <n v="1"/>
    <x v="2"/>
    <n v="65.2"/>
    <x v="36"/>
    <x v="1"/>
  </r>
  <r>
    <d v="2024-10-25T03:01:44"/>
    <x v="5"/>
    <s v="11.4885"/>
    <s v="-172.5690"/>
    <n v="187"/>
    <x v="0"/>
    <n v="24.8"/>
    <n v="52"/>
    <x v="0"/>
    <n v="31"/>
    <n v="231"/>
    <n v="5"/>
    <x v="1"/>
    <n v="91.6"/>
    <x v="162"/>
    <x v="0"/>
  </r>
  <r>
    <d v="2024-12-12T15:03:51"/>
    <x v="6"/>
    <s v="74.5261"/>
    <s v="123.6828"/>
    <n v="439"/>
    <x v="1"/>
    <n v="23.5"/>
    <n v="55.1"/>
    <x v="0"/>
    <n v="47"/>
    <n v="454"/>
    <n v="3"/>
    <x v="1"/>
    <n v="75.5"/>
    <x v="37"/>
    <x v="1"/>
  </r>
  <r>
    <d v="2024-11-30T09:16:40"/>
    <x v="0"/>
    <s v="-12.9509"/>
    <s v="132.4986"/>
    <n v="159"/>
    <x v="1"/>
    <n v="18.100000000000001"/>
    <n v="76"/>
    <x v="0"/>
    <n v="18"/>
    <n v="202"/>
    <n v="2"/>
    <x v="1"/>
    <n v="94.4"/>
    <x v="57"/>
    <x v="1"/>
  </r>
  <r>
    <d v="2024-05-13T09:05:25"/>
    <x v="0"/>
    <s v="81.7900"/>
    <s v="-52.7516"/>
    <n v="362"/>
    <x v="2"/>
    <n v="18.3"/>
    <n v="57.6"/>
    <x v="1"/>
    <n v="58"/>
    <n v="437"/>
    <n v="8"/>
    <x v="3"/>
    <n v="66.8"/>
    <x v="43"/>
    <x v="0"/>
  </r>
  <r>
    <d v="2024-12-16T06:06:57"/>
    <x v="4"/>
    <s v="47.7175"/>
    <s v="72.5310"/>
    <n v="163"/>
    <x v="2"/>
    <n v="24.6"/>
    <n v="53.2"/>
    <x v="0"/>
    <n v="34"/>
    <n v="473"/>
    <n v="9"/>
    <x v="2"/>
    <n v="72.400000000000006"/>
    <x v="87"/>
    <x v="1"/>
  </r>
  <r>
    <d v="2024-02-14T07:54:59"/>
    <x v="0"/>
    <s v="-21.5329"/>
    <s v="-145.2581"/>
    <n v="258"/>
    <x v="0"/>
    <n v="19.899999999999999"/>
    <n v="51.9"/>
    <x v="1"/>
    <n v="54"/>
    <n v="237"/>
    <n v="10"/>
    <x v="0"/>
    <n v="92.7"/>
    <x v="143"/>
    <x v="0"/>
  </r>
  <r>
    <d v="2024-06-25T12:15:28"/>
    <x v="3"/>
    <s v="-4.5863"/>
    <s v="71.7337"/>
    <n v="319"/>
    <x v="0"/>
    <n v="18"/>
    <n v="63.6"/>
    <x v="0"/>
    <n v="23"/>
    <n v="473"/>
    <n v="7"/>
    <x v="1"/>
    <n v="83"/>
    <x v="163"/>
    <x v="0"/>
  </r>
  <r>
    <d v="2024-08-14T03:59:00"/>
    <x v="3"/>
    <s v="-26.6775"/>
    <s v="-77.2847"/>
    <n v="247"/>
    <x v="2"/>
    <n v="28.9"/>
    <n v="60.7"/>
    <x v="2"/>
    <n v="56"/>
    <n v="115"/>
    <n v="10"/>
    <x v="3"/>
    <n v="61.6"/>
    <x v="4"/>
    <x v="1"/>
  </r>
  <r>
    <d v="2024-04-08T19:43:53"/>
    <x v="6"/>
    <s v="-30.6957"/>
    <s v="29.2550"/>
    <n v="134"/>
    <x v="1"/>
    <n v="19.899999999999999"/>
    <n v="67.5"/>
    <x v="0"/>
    <n v="42"/>
    <n v="421"/>
    <n v="5"/>
    <x v="3"/>
    <n v="77.599999999999994"/>
    <x v="39"/>
    <x v="1"/>
  </r>
  <r>
    <d v="2024-11-07T14:21:51"/>
    <x v="4"/>
    <s v="64.5212"/>
    <s v="-83.2639"/>
    <n v="175"/>
    <x v="1"/>
    <n v="20.9"/>
    <n v="58.7"/>
    <x v="0"/>
    <n v="35"/>
    <n v="274"/>
    <n v="9"/>
    <x v="3"/>
    <n v="61.1"/>
    <x v="28"/>
    <x v="1"/>
  </r>
  <r>
    <d v="2024-01-12T17:01:33"/>
    <x v="3"/>
    <s v="68.1810"/>
    <s v="-84.9051"/>
    <n v="179"/>
    <x v="0"/>
    <n v="24.2"/>
    <n v="50.2"/>
    <x v="2"/>
    <n v="31"/>
    <n v="485"/>
    <n v="10"/>
    <x v="0"/>
    <n v="75.8"/>
    <x v="36"/>
    <x v="0"/>
  </r>
  <r>
    <d v="2024-05-30T08:29:11"/>
    <x v="2"/>
    <s v="-81.2116"/>
    <s v="13.9727"/>
    <n v="105"/>
    <x v="0"/>
    <n v="27.1"/>
    <n v="59.8"/>
    <x v="2"/>
    <n v="36"/>
    <n v="409"/>
    <n v="7"/>
    <x v="2"/>
    <n v="75.7"/>
    <x v="52"/>
    <x v="0"/>
  </r>
  <r>
    <d v="2024-05-16T07:34:11"/>
    <x v="5"/>
    <s v="-21.3080"/>
    <s v="-14.9017"/>
    <n v="277"/>
    <x v="1"/>
    <n v="23.5"/>
    <n v="63.9"/>
    <x v="1"/>
    <n v="11"/>
    <n v="292"/>
    <n v="8"/>
    <x v="1"/>
    <n v="67.5"/>
    <x v="162"/>
    <x v="0"/>
  </r>
  <r>
    <d v="2024-12-08T12:26:38"/>
    <x v="8"/>
    <s v="77.2059"/>
    <s v="-132.0473"/>
    <n v="427"/>
    <x v="0"/>
    <n v="26.7"/>
    <n v="63.8"/>
    <x v="0"/>
    <n v="54"/>
    <n v="453"/>
    <n v="6"/>
    <x v="1"/>
    <n v="86.7"/>
    <x v="25"/>
    <x v="0"/>
  </r>
  <r>
    <d v="2024-03-28T08:34:01"/>
    <x v="7"/>
    <s v="21.4872"/>
    <s v="-123.6879"/>
    <n v="348"/>
    <x v="0"/>
    <n v="22.7"/>
    <n v="63.3"/>
    <x v="0"/>
    <n v="23"/>
    <n v="134"/>
    <n v="4"/>
    <x v="3"/>
    <n v="99.6"/>
    <x v="164"/>
    <x v="0"/>
  </r>
  <r>
    <d v="2024-04-16T21:31:53"/>
    <x v="7"/>
    <s v="47.7603"/>
    <s v="-137.0932"/>
    <n v="300"/>
    <x v="0"/>
    <n v="23.1"/>
    <n v="78.099999999999994"/>
    <x v="0"/>
    <n v="53"/>
    <n v="146"/>
    <n v="4"/>
    <x v="1"/>
    <n v="73.3"/>
    <x v="135"/>
    <x v="0"/>
  </r>
  <r>
    <d v="2024-11-20T14:44:30"/>
    <x v="9"/>
    <s v="-4.7971"/>
    <s v="56.4110"/>
    <n v="457"/>
    <x v="2"/>
    <n v="27.2"/>
    <n v="69.099999999999994"/>
    <x v="1"/>
    <n v="55"/>
    <n v="319"/>
    <n v="2"/>
    <x v="2"/>
    <n v="67.7"/>
    <x v="165"/>
    <x v="0"/>
  </r>
  <r>
    <d v="2024-06-20T08:17:55"/>
    <x v="9"/>
    <s v="-11.1333"/>
    <s v="-40.0454"/>
    <n v="316"/>
    <x v="0"/>
    <n v="26.8"/>
    <n v="53.5"/>
    <x v="2"/>
    <n v="35"/>
    <n v="402"/>
    <n v="10"/>
    <x v="3"/>
    <n v="93.6"/>
    <x v="8"/>
    <x v="0"/>
  </r>
  <r>
    <d v="2024-08-11T15:40:34"/>
    <x v="3"/>
    <s v="15.5083"/>
    <s v="115.4388"/>
    <n v="207"/>
    <x v="1"/>
    <n v="19.2"/>
    <n v="59.7"/>
    <x v="0"/>
    <n v="56"/>
    <n v="484"/>
    <n v="7"/>
    <x v="2"/>
    <n v="72.599999999999994"/>
    <x v="0"/>
    <x v="1"/>
  </r>
  <r>
    <d v="2024-10-30T12:44:31"/>
    <x v="2"/>
    <s v="-70.6858"/>
    <s v="54.4683"/>
    <n v="333"/>
    <x v="2"/>
    <n v="27.5"/>
    <n v="55.8"/>
    <x v="1"/>
    <n v="36"/>
    <n v="141"/>
    <n v="2"/>
    <x v="2"/>
    <n v="67"/>
    <x v="63"/>
    <x v="0"/>
  </r>
  <r>
    <d v="2024-03-22T11:00:20"/>
    <x v="2"/>
    <s v="-18.4278"/>
    <s v="101.4997"/>
    <n v="327"/>
    <x v="0"/>
    <n v="22.6"/>
    <n v="57.4"/>
    <x v="0"/>
    <n v="38"/>
    <n v="432"/>
    <n v="4"/>
    <x v="2"/>
    <n v="68.400000000000006"/>
    <x v="10"/>
    <x v="0"/>
  </r>
  <r>
    <d v="2024-05-12T13:40:05"/>
    <x v="7"/>
    <s v="43.7523"/>
    <s v="149.8334"/>
    <n v="197"/>
    <x v="1"/>
    <n v="20"/>
    <n v="69.599999999999994"/>
    <x v="0"/>
    <n v="42"/>
    <n v="314"/>
    <n v="3"/>
    <x v="2"/>
    <n v="87.2"/>
    <x v="128"/>
    <x v="1"/>
  </r>
  <r>
    <d v="2024-11-15T08:08:17"/>
    <x v="0"/>
    <s v="18.5151"/>
    <s v="24.3559"/>
    <n v="356"/>
    <x v="0"/>
    <n v="23.4"/>
    <n v="72.8"/>
    <x v="0"/>
    <n v="39"/>
    <n v="486"/>
    <n v="9"/>
    <x v="3"/>
    <n v="99.2"/>
    <x v="23"/>
    <x v="0"/>
  </r>
  <r>
    <d v="2024-10-07T06:11:39"/>
    <x v="3"/>
    <s v="84.6774"/>
    <s v="61.0153"/>
    <n v="359"/>
    <x v="0"/>
    <n v="29.2"/>
    <n v="54.5"/>
    <x v="0"/>
    <n v="50"/>
    <n v="268"/>
    <n v="1"/>
    <x v="0"/>
    <n v="67.400000000000006"/>
    <x v="123"/>
    <x v="0"/>
  </r>
  <r>
    <d v="2024-09-09T03:30:12"/>
    <x v="7"/>
    <s v="49.5864"/>
    <s v="-154.4224"/>
    <n v="377"/>
    <x v="2"/>
    <n v="18.100000000000001"/>
    <n v="55"/>
    <x v="0"/>
    <n v="59"/>
    <n v="476"/>
    <n v="6"/>
    <x v="1"/>
    <n v="70.2"/>
    <x v="151"/>
    <x v="1"/>
  </r>
  <r>
    <d v="2024-08-21T20:07:08"/>
    <x v="1"/>
    <s v="-51.3190"/>
    <s v="-46.5841"/>
    <n v="228"/>
    <x v="0"/>
    <n v="24.2"/>
    <n v="59.2"/>
    <x v="1"/>
    <n v="26"/>
    <n v="321"/>
    <n v="5"/>
    <x v="2"/>
    <n v="96.3"/>
    <x v="165"/>
    <x v="0"/>
  </r>
  <r>
    <d v="2024-01-17T03:33:56"/>
    <x v="2"/>
    <s v="-12.9902"/>
    <s v="176.1206"/>
    <n v="399"/>
    <x v="2"/>
    <n v="23.4"/>
    <n v="71.7"/>
    <x v="1"/>
    <n v="12"/>
    <n v="239"/>
    <n v="1"/>
    <x v="0"/>
    <n v="67.599999999999994"/>
    <x v="71"/>
    <x v="0"/>
  </r>
  <r>
    <d v="2024-12-02T12:07:59"/>
    <x v="7"/>
    <s v="6.8181"/>
    <s v="52.3685"/>
    <n v="157"/>
    <x v="1"/>
    <n v="29.8"/>
    <n v="54"/>
    <x v="2"/>
    <n v="33"/>
    <n v="151"/>
    <n v="10"/>
    <x v="1"/>
    <n v="81.2"/>
    <x v="65"/>
    <x v="1"/>
  </r>
  <r>
    <d v="2024-11-18T07:52:13"/>
    <x v="2"/>
    <s v="-3.0380"/>
    <s v="106.5694"/>
    <n v="327"/>
    <x v="1"/>
    <n v="21.2"/>
    <n v="52.6"/>
    <x v="2"/>
    <n v="48"/>
    <n v="209"/>
    <n v="8"/>
    <x v="3"/>
    <n v="98.6"/>
    <x v="153"/>
    <x v="1"/>
  </r>
  <r>
    <d v="2024-04-29T11:54:26"/>
    <x v="5"/>
    <s v="35.5141"/>
    <s v="90.8087"/>
    <n v="215"/>
    <x v="0"/>
    <n v="21.7"/>
    <n v="73.400000000000006"/>
    <x v="0"/>
    <n v="17"/>
    <n v="146"/>
    <n v="9"/>
    <x v="0"/>
    <n v="70.400000000000006"/>
    <x v="92"/>
    <x v="0"/>
  </r>
  <r>
    <d v="2024-05-29T06:49:50"/>
    <x v="3"/>
    <s v="-40.8724"/>
    <s v="-42.3243"/>
    <n v="213"/>
    <x v="0"/>
    <n v="20.2"/>
    <n v="63.7"/>
    <x v="2"/>
    <n v="16"/>
    <n v="248"/>
    <n v="10"/>
    <x v="0"/>
    <n v="68.8"/>
    <x v="80"/>
    <x v="0"/>
  </r>
  <r>
    <d v="2024-11-10T05:49:21"/>
    <x v="0"/>
    <s v="44.6347"/>
    <s v="-110.6304"/>
    <n v="226"/>
    <x v="1"/>
    <n v="21.4"/>
    <n v="58"/>
    <x v="0"/>
    <n v="47"/>
    <n v="348"/>
    <n v="7"/>
    <x v="3"/>
    <n v="85.7"/>
    <x v="80"/>
    <x v="1"/>
  </r>
  <r>
    <d v="2024-11-03T20:21:38"/>
    <x v="9"/>
    <s v="76.5468"/>
    <s v="-13.5249"/>
    <n v="334"/>
    <x v="2"/>
    <n v="24.2"/>
    <n v="76.2"/>
    <x v="2"/>
    <n v="24"/>
    <n v="402"/>
    <n v="7"/>
    <x v="2"/>
    <n v="71.5"/>
    <x v="73"/>
    <x v="1"/>
  </r>
  <r>
    <d v="2024-09-04T10:45:13"/>
    <x v="5"/>
    <s v="72.8206"/>
    <s v="90.5169"/>
    <n v="319"/>
    <x v="1"/>
    <n v="25.5"/>
    <n v="51.7"/>
    <x v="0"/>
    <n v="32"/>
    <n v="350"/>
    <n v="2"/>
    <x v="0"/>
    <n v="69.7"/>
    <x v="61"/>
    <x v="1"/>
  </r>
  <r>
    <d v="2024-09-25T21:53:09"/>
    <x v="6"/>
    <s v="81.2554"/>
    <s v="4.8416"/>
    <n v="411"/>
    <x v="1"/>
    <n v="20.5"/>
    <n v="77.400000000000006"/>
    <x v="1"/>
    <n v="51"/>
    <n v="211"/>
    <n v="5"/>
    <x v="3"/>
    <n v="76.900000000000006"/>
    <x v="166"/>
    <x v="0"/>
  </r>
  <r>
    <d v="2024-07-24T06:30:18"/>
    <x v="1"/>
    <s v="74.9107"/>
    <s v="17.8019"/>
    <n v="208"/>
    <x v="0"/>
    <n v="28.8"/>
    <n v="64.900000000000006"/>
    <x v="2"/>
    <n v="40"/>
    <n v="437"/>
    <n v="6"/>
    <x v="1"/>
    <n v="64.599999999999994"/>
    <x v="146"/>
    <x v="0"/>
  </r>
  <r>
    <d v="2024-04-02T13:43:06"/>
    <x v="8"/>
    <s v="20.4460"/>
    <s v="149.3776"/>
    <n v="328"/>
    <x v="2"/>
    <n v="22.8"/>
    <n v="73.599999999999994"/>
    <x v="2"/>
    <n v="12"/>
    <n v="349"/>
    <n v="9"/>
    <x v="3"/>
    <n v="93.3"/>
    <x v="125"/>
    <x v="1"/>
  </r>
  <r>
    <d v="2024-03-04T06:43:40"/>
    <x v="7"/>
    <s v="-60.7101"/>
    <s v="-29.4842"/>
    <n v="219"/>
    <x v="0"/>
    <n v="22.9"/>
    <n v="56.6"/>
    <x v="1"/>
    <n v="49"/>
    <n v="372"/>
    <n v="6"/>
    <x v="3"/>
    <n v="64.400000000000006"/>
    <x v="167"/>
    <x v="0"/>
  </r>
  <r>
    <d v="2024-12-10T12:39:50"/>
    <x v="6"/>
    <s v="74.2314"/>
    <s v="-113.7355"/>
    <n v="438"/>
    <x v="1"/>
    <n v="25.7"/>
    <n v="71.2"/>
    <x v="0"/>
    <n v="21"/>
    <n v="445"/>
    <n v="5"/>
    <x v="1"/>
    <n v="90.4"/>
    <x v="44"/>
    <x v="1"/>
  </r>
  <r>
    <d v="2024-01-05T03:23:06"/>
    <x v="3"/>
    <s v="16.9737"/>
    <s v="-7.8198"/>
    <n v="145"/>
    <x v="1"/>
    <n v="23.3"/>
    <n v="70.3"/>
    <x v="0"/>
    <n v="44"/>
    <n v="421"/>
    <n v="2"/>
    <x v="0"/>
    <n v="93.9"/>
    <x v="137"/>
    <x v="1"/>
  </r>
  <r>
    <d v="2024-01-18T17:13:48"/>
    <x v="9"/>
    <s v="35.8055"/>
    <s v="-41.1532"/>
    <n v="299"/>
    <x v="2"/>
    <n v="22.4"/>
    <n v="64.2"/>
    <x v="2"/>
    <n v="54"/>
    <n v="303"/>
    <n v="1"/>
    <x v="2"/>
    <n v="88.1"/>
    <x v="76"/>
    <x v="1"/>
  </r>
  <r>
    <d v="2024-05-10T06:01:32"/>
    <x v="8"/>
    <s v="6.7867"/>
    <s v="-133.6343"/>
    <n v="356"/>
    <x v="2"/>
    <n v="18.899999999999999"/>
    <n v="71.7"/>
    <x v="2"/>
    <n v="25"/>
    <n v="368"/>
    <n v="1"/>
    <x v="2"/>
    <n v="66.099999999999994"/>
    <x v="91"/>
    <x v="1"/>
  </r>
  <r>
    <d v="2024-10-26T05:59:54"/>
    <x v="7"/>
    <s v="6.1840"/>
    <s v="36.1898"/>
    <n v="137"/>
    <x v="2"/>
    <n v="22.8"/>
    <n v="50.6"/>
    <x v="0"/>
    <n v="24"/>
    <n v="465"/>
    <n v="6"/>
    <x v="1"/>
    <n v="61.3"/>
    <x v="95"/>
    <x v="1"/>
  </r>
  <r>
    <d v="2024-04-21T16:13:53"/>
    <x v="6"/>
    <s v="-75.0605"/>
    <s v="-52.5256"/>
    <n v="231"/>
    <x v="2"/>
    <n v="24.3"/>
    <n v="57.8"/>
    <x v="2"/>
    <n v="56"/>
    <n v="368"/>
    <n v="7"/>
    <x v="1"/>
    <n v="87.2"/>
    <x v="160"/>
    <x v="1"/>
  </r>
  <r>
    <d v="2024-09-14T01:51:27"/>
    <x v="5"/>
    <s v="-77.8910"/>
    <s v="-96.7804"/>
    <n v="336"/>
    <x v="2"/>
    <n v="19.7"/>
    <n v="66.7"/>
    <x v="2"/>
    <n v="54"/>
    <n v="163"/>
    <n v="7"/>
    <x v="3"/>
    <n v="71.400000000000006"/>
    <x v="62"/>
    <x v="1"/>
  </r>
  <r>
    <d v="2024-05-12T17:51:01"/>
    <x v="3"/>
    <s v="-47.1540"/>
    <s v="6.9021"/>
    <n v="290"/>
    <x v="1"/>
    <n v="27.6"/>
    <n v="71.8"/>
    <x v="1"/>
    <n v="50"/>
    <n v="460"/>
    <n v="7"/>
    <x v="3"/>
    <n v="95.9"/>
    <x v="115"/>
    <x v="0"/>
  </r>
  <r>
    <d v="2024-09-03T09:06:58"/>
    <x v="9"/>
    <s v="76.1715"/>
    <s v="-0.0071"/>
    <n v="427"/>
    <x v="0"/>
    <n v="23.2"/>
    <n v="70.099999999999994"/>
    <x v="1"/>
    <n v="17"/>
    <n v="320"/>
    <n v="4"/>
    <x v="1"/>
    <n v="73"/>
    <x v="125"/>
    <x v="0"/>
  </r>
  <r>
    <d v="2024-05-06T09:16:38"/>
    <x v="3"/>
    <s v="-85.8283"/>
    <s v="163.4575"/>
    <n v="439"/>
    <x v="2"/>
    <n v="26.4"/>
    <n v="71.3"/>
    <x v="2"/>
    <n v="41"/>
    <n v="491"/>
    <n v="7"/>
    <x v="2"/>
    <n v="67.400000000000006"/>
    <x v="90"/>
    <x v="1"/>
  </r>
  <r>
    <d v="2024-01-09T08:52:44"/>
    <x v="0"/>
    <s v="6.0090"/>
    <s v="-33.8380"/>
    <n v="461"/>
    <x v="2"/>
    <n v="18.600000000000001"/>
    <n v="74.599999999999994"/>
    <x v="1"/>
    <n v="23"/>
    <n v="185"/>
    <n v="4"/>
    <x v="2"/>
    <n v="77.8"/>
    <x v="168"/>
    <x v="0"/>
  </r>
  <r>
    <d v="2024-09-06T03:02:40"/>
    <x v="3"/>
    <s v="3.8184"/>
    <s v="139.4876"/>
    <n v="414"/>
    <x v="2"/>
    <n v="29"/>
    <n v="70.599999999999994"/>
    <x v="1"/>
    <n v="25"/>
    <n v="291"/>
    <n v="4"/>
    <x v="2"/>
    <n v="92.9"/>
    <x v="44"/>
    <x v="0"/>
  </r>
  <r>
    <d v="2024-08-05T16:44:46"/>
    <x v="1"/>
    <s v="66.3417"/>
    <s v="-154.1243"/>
    <n v="498"/>
    <x v="0"/>
    <n v="23.8"/>
    <n v="55.9"/>
    <x v="0"/>
    <n v="16"/>
    <n v="381"/>
    <n v="7"/>
    <x v="0"/>
    <n v="67.2"/>
    <x v="120"/>
    <x v="0"/>
  </r>
  <r>
    <d v="2024-08-16T10:45:59"/>
    <x v="4"/>
    <s v="-61.8623"/>
    <s v="113.6304"/>
    <n v="334"/>
    <x v="2"/>
    <n v="22.5"/>
    <n v="57.1"/>
    <x v="2"/>
    <n v="43"/>
    <n v="381"/>
    <n v="6"/>
    <x v="0"/>
    <n v="73.8"/>
    <x v="169"/>
    <x v="1"/>
  </r>
  <r>
    <d v="2024-07-12T02:46:57"/>
    <x v="5"/>
    <s v="44.5020"/>
    <s v="66.5819"/>
    <n v="144"/>
    <x v="0"/>
    <n v="23"/>
    <n v="70.3"/>
    <x v="1"/>
    <n v="54"/>
    <n v="152"/>
    <n v="1"/>
    <x v="3"/>
    <n v="84.3"/>
    <x v="29"/>
    <x v="0"/>
  </r>
  <r>
    <d v="2024-01-24T08:44:24"/>
    <x v="7"/>
    <s v="-12.2885"/>
    <s v="38.4287"/>
    <n v="231"/>
    <x v="2"/>
    <n v="28.2"/>
    <n v="67.2"/>
    <x v="2"/>
    <n v="50"/>
    <n v="221"/>
    <n v="1"/>
    <x v="0"/>
    <n v="84.8"/>
    <x v="4"/>
    <x v="1"/>
  </r>
  <r>
    <d v="2024-01-13T21:47:31"/>
    <x v="8"/>
    <s v="-40.8275"/>
    <s v="-46.7423"/>
    <n v="324"/>
    <x v="0"/>
    <n v="25.5"/>
    <n v="65.2"/>
    <x v="2"/>
    <n v="51"/>
    <n v="233"/>
    <n v="9"/>
    <x v="2"/>
    <n v="90.2"/>
    <x v="113"/>
    <x v="0"/>
  </r>
  <r>
    <d v="2024-04-16T08:03:32"/>
    <x v="1"/>
    <s v="-76.5757"/>
    <s v="-52.2690"/>
    <n v="246"/>
    <x v="2"/>
    <n v="19.399999999999999"/>
    <n v="56.3"/>
    <x v="2"/>
    <n v="16"/>
    <n v="406"/>
    <n v="9"/>
    <x v="1"/>
    <n v="65.7"/>
    <x v="50"/>
    <x v="1"/>
  </r>
  <r>
    <d v="2024-02-12T03:22:04"/>
    <x v="5"/>
    <s v="-79.2790"/>
    <s v="69.5680"/>
    <n v="283"/>
    <x v="0"/>
    <n v="27.7"/>
    <n v="52.4"/>
    <x v="1"/>
    <n v="16"/>
    <n v="280"/>
    <n v="8"/>
    <x v="2"/>
    <n v="96"/>
    <x v="170"/>
    <x v="0"/>
  </r>
  <r>
    <d v="2024-05-08T03:54:27"/>
    <x v="2"/>
    <s v="84.3451"/>
    <s v="-106.8770"/>
    <n v="453"/>
    <x v="0"/>
    <n v="21.8"/>
    <n v="66.400000000000006"/>
    <x v="2"/>
    <n v="48"/>
    <n v="305"/>
    <n v="2"/>
    <x v="3"/>
    <n v="68.900000000000006"/>
    <x v="60"/>
    <x v="0"/>
  </r>
  <r>
    <d v="2024-12-07T12:50:56"/>
    <x v="2"/>
    <s v="-19.0721"/>
    <s v="161.7246"/>
    <n v="392"/>
    <x v="2"/>
    <n v="30"/>
    <n v="72.099999999999994"/>
    <x v="0"/>
    <n v="52"/>
    <n v="329"/>
    <n v="4"/>
    <x v="2"/>
    <n v="66.599999999999994"/>
    <x v="1"/>
    <x v="1"/>
  </r>
  <r>
    <d v="2024-11-26T00:36:15"/>
    <x v="1"/>
    <s v="-69.0311"/>
    <s v="-32.9575"/>
    <n v="343"/>
    <x v="1"/>
    <n v="25.2"/>
    <n v="72.599999999999994"/>
    <x v="2"/>
    <n v="21"/>
    <n v="400"/>
    <n v="9"/>
    <x v="1"/>
    <n v="87.7"/>
    <x v="167"/>
    <x v="1"/>
  </r>
  <r>
    <d v="2024-05-07T08:15:24"/>
    <x v="4"/>
    <s v="87.7793"/>
    <s v="-108.9268"/>
    <n v="144"/>
    <x v="0"/>
    <n v="25.8"/>
    <n v="65.599999999999994"/>
    <x v="0"/>
    <n v="23"/>
    <n v="362"/>
    <n v="10"/>
    <x v="2"/>
    <n v="88.9"/>
    <x v="171"/>
    <x v="0"/>
  </r>
  <r>
    <d v="2024-11-05T21:58:32"/>
    <x v="3"/>
    <s v="-48.3633"/>
    <s v="-36.2936"/>
    <n v="151"/>
    <x v="0"/>
    <n v="22.1"/>
    <n v="59.7"/>
    <x v="2"/>
    <n v="58"/>
    <n v="338"/>
    <n v="1"/>
    <x v="2"/>
    <n v="81.5"/>
    <x v="19"/>
    <x v="0"/>
  </r>
  <r>
    <d v="2024-02-28T11:48:48"/>
    <x v="0"/>
    <s v="-36.4104"/>
    <s v="-4.3350"/>
    <n v="389"/>
    <x v="1"/>
    <n v="27.2"/>
    <n v="59.8"/>
    <x v="1"/>
    <n v="20"/>
    <n v="129"/>
    <n v="8"/>
    <x v="2"/>
    <n v="80.8"/>
    <x v="172"/>
    <x v="0"/>
  </r>
  <r>
    <d v="2024-04-16T23:04:14"/>
    <x v="5"/>
    <s v="-39.2250"/>
    <s v="-156.4228"/>
    <n v="355"/>
    <x v="0"/>
    <n v="19.2"/>
    <n v="62.2"/>
    <x v="2"/>
    <n v="10"/>
    <n v="137"/>
    <n v="2"/>
    <x v="2"/>
    <n v="67"/>
    <x v="141"/>
    <x v="0"/>
  </r>
  <r>
    <d v="2024-11-28T00:36:34"/>
    <x v="2"/>
    <s v="84.0407"/>
    <s v="-74.7098"/>
    <n v="493"/>
    <x v="0"/>
    <n v="20.7"/>
    <n v="70.900000000000006"/>
    <x v="2"/>
    <n v="52"/>
    <n v="478"/>
    <n v="1"/>
    <x v="2"/>
    <n v="62.5"/>
    <x v="130"/>
    <x v="0"/>
  </r>
  <r>
    <d v="2024-02-09T06:40:41"/>
    <x v="3"/>
    <s v="-68.5324"/>
    <s v="127.5394"/>
    <n v="181"/>
    <x v="2"/>
    <n v="22.9"/>
    <n v="70.3"/>
    <x v="0"/>
    <n v="49"/>
    <n v="441"/>
    <n v="7"/>
    <x v="0"/>
    <n v="94.7"/>
    <x v="173"/>
    <x v="1"/>
  </r>
  <r>
    <d v="2024-05-14T13:25:22"/>
    <x v="1"/>
    <s v="-8.4586"/>
    <s v="44.4779"/>
    <n v="342"/>
    <x v="1"/>
    <n v="22.6"/>
    <n v="55.5"/>
    <x v="0"/>
    <n v="35"/>
    <n v="119"/>
    <n v="3"/>
    <x v="0"/>
    <n v="73.900000000000006"/>
    <x v="171"/>
    <x v="1"/>
  </r>
  <r>
    <d v="2024-08-28T13:33:22"/>
    <x v="3"/>
    <s v="14.0092"/>
    <s v="-131.9758"/>
    <n v="376"/>
    <x v="0"/>
    <n v="20.5"/>
    <n v="55.5"/>
    <x v="2"/>
    <n v="34"/>
    <n v="315"/>
    <n v="9"/>
    <x v="0"/>
    <n v="70.7"/>
    <x v="170"/>
    <x v="0"/>
  </r>
  <r>
    <d v="2024-02-21T02:51:08"/>
    <x v="4"/>
    <s v="3.6602"/>
    <s v="107.7790"/>
    <n v="464"/>
    <x v="1"/>
    <n v="20.8"/>
    <n v="50.1"/>
    <x v="1"/>
    <n v="16"/>
    <n v="441"/>
    <n v="7"/>
    <x v="0"/>
    <n v="91.1"/>
    <x v="28"/>
    <x v="0"/>
  </r>
  <r>
    <d v="2024-10-25T05:54:37"/>
    <x v="7"/>
    <s v="29.3420"/>
    <s v="-68.5682"/>
    <n v="452"/>
    <x v="1"/>
    <n v="26.7"/>
    <n v="64.099999999999994"/>
    <x v="2"/>
    <n v="36"/>
    <n v="152"/>
    <n v="1"/>
    <x v="0"/>
    <n v="90.1"/>
    <x v="14"/>
    <x v="1"/>
  </r>
  <r>
    <d v="2024-07-18T23:30:52"/>
    <x v="3"/>
    <s v="-20.6524"/>
    <s v="-102.5762"/>
    <n v="228"/>
    <x v="2"/>
    <n v="28.7"/>
    <n v="65"/>
    <x v="1"/>
    <n v="26"/>
    <n v="271"/>
    <n v="3"/>
    <x v="2"/>
    <n v="66"/>
    <x v="52"/>
    <x v="0"/>
  </r>
  <r>
    <d v="2024-02-28T23:27:53"/>
    <x v="2"/>
    <s v="-88.6960"/>
    <s v="117.3902"/>
    <n v="288"/>
    <x v="2"/>
    <n v="27.1"/>
    <n v="69.400000000000006"/>
    <x v="1"/>
    <n v="37"/>
    <n v="144"/>
    <n v="2"/>
    <x v="0"/>
    <n v="63.6"/>
    <x v="105"/>
    <x v="0"/>
  </r>
  <r>
    <d v="2024-07-13T15:41:00"/>
    <x v="2"/>
    <s v="-27.0315"/>
    <s v="40.2451"/>
    <n v="133"/>
    <x v="0"/>
    <n v="18.600000000000001"/>
    <n v="79.400000000000006"/>
    <x v="2"/>
    <n v="14"/>
    <n v="314"/>
    <n v="10"/>
    <x v="3"/>
    <n v="98.8"/>
    <x v="99"/>
    <x v="0"/>
  </r>
  <r>
    <d v="2024-06-21T04:12:55"/>
    <x v="1"/>
    <s v="25.5135"/>
    <s v="-147.3897"/>
    <n v="117"/>
    <x v="1"/>
    <n v="29.7"/>
    <n v="63.7"/>
    <x v="2"/>
    <n v="17"/>
    <n v="159"/>
    <n v="8"/>
    <x v="0"/>
    <n v="77"/>
    <x v="17"/>
    <x v="1"/>
  </r>
  <r>
    <d v="2024-09-29T17:58:30"/>
    <x v="5"/>
    <s v="68.4014"/>
    <s v="-52.0862"/>
    <n v="428"/>
    <x v="0"/>
    <n v="28.4"/>
    <n v="74.2"/>
    <x v="2"/>
    <n v="54"/>
    <n v="492"/>
    <n v="1"/>
    <x v="0"/>
    <n v="86.2"/>
    <x v="137"/>
    <x v="0"/>
  </r>
  <r>
    <d v="2024-06-05T07:32:41"/>
    <x v="6"/>
    <s v="-7.1543"/>
    <s v="-132.8372"/>
    <n v="381"/>
    <x v="2"/>
    <n v="18"/>
    <n v="53"/>
    <x v="2"/>
    <n v="25"/>
    <n v="398"/>
    <n v="9"/>
    <x v="1"/>
    <n v="94.6"/>
    <x v="93"/>
    <x v="1"/>
  </r>
  <r>
    <d v="2024-12-19T21:28:31"/>
    <x v="3"/>
    <s v="-78.2763"/>
    <s v="151.3943"/>
    <n v="166"/>
    <x v="0"/>
    <n v="22.5"/>
    <n v="53.8"/>
    <x v="2"/>
    <n v="57"/>
    <n v="442"/>
    <n v="6"/>
    <x v="1"/>
    <n v="72.099999999999994"/>
    <x v="94"/>
    <x v="0"/>
  </r>
  <r>
    <d v="2024-04-23T18:51:26"/>
    <x v="5"/>
    <s v="33.9665"/>
    <s v="-46.5423"/>
    <n v="225"/>
    <x v="1"/>
    <n v="26.1"/>
    <n v="75.8"/>
    <x v="1"/>
    <n v="41"/>
    <n v="286"/>
    <n v="3"/>
    <x v="3"/>
    <n v="72.900000000000006"/>
    <x v="9"/>
    <x v="0"/>
  </r>
  <r>
    <d v="2024-02-17T20:09:25"/>
    <x v="5"/>
    <s v="-59.6899"/>
    <s v="143.0428"/>
    <n v="364"/>
    <x v="0"/>
    <n v="18.8"/>
    <n v="68.2"/>
    <x v="0"/>
    <n v="41"/>
    <n v="373"/>
    <n v="1"/>
    <x v="1"/>
    <n v="88.7"/>
    <x v="168"/>
    <x v="0"/>
  </r>
  <r>
    <d v="2024-07-21T06:13:04"/>
    <x v="0"/>
    <s v="25.7047"/>
    <s v="150.6302"/>
    <n v="318"/>
    <x v="1"/>
    <n v="25.3"/>
    <n v="74.599999999999994"/>
    <x v="2"/>
    <n v="32"/>
    <n v="486"/>
    <n v="9"/>
    <x v="1"/>
    <n v="68.099999999999994"/>
    <x v="121"/>
    <x v="1"/>
  </r>
  <r>
    <d v="2024-04-03T05:24:14"/>
    <x v="5"/>
    <s v="15.4009"/>
    <s v="52.3537"/>
    <n v="417"/>
    <x v="1"/>
    <n v="20"/>
    <n v="61"/>
    <x v="1"/>
    <n v="54"/>
    <n v="300"/>
    <n v="4"/>
    <x v="2"/>
    <n v="74.5"/>
    <x v="71"/>
    <x v="0"/>
  </r>
  <r>
    <d v="2024-10-22T10:43:44"/>
    <x v="0"/>
    <s v="-86.7799"/>
    <s v="-102.1496"/>
    <n v="180"/>
    <x v="0"/>
    <n v="18.5"/>
    <n v="52.1"/>
    <x v="2"/>
    <n v="10"/>
    <n v="182"/>
    <n v="5"/>
    <x v="3"/>
    <n v="99"/>
    <x v="145"/>
    <x v="0"/>
  </r>
  <r>
    <d v="2024-04-28T12:38:55"/>
    <x v="6"/>
    <s v="40.3406"/>
    <s v="159.0723"/>
    <n v="134"/>
    <x v="0"/>
    <n v="24.1"/>
    <n v="68.2"/>
    <x v="1"/>
    <n v="35"/>
    <n v="187"/>
    <n v="6"/>
    <x v="3"/>
    <n v="99.9"/>
    <x v="129"/>
    <x v="0"/>
  </r>
  <r>
    <d v="2024-09-28T12:11:17"/>
    <x v="6"/>
    <s v="40.4005"/>
    <s v="-149.1521"/>
    <n v="237"/>
    <x v="1"/>
    <n v="28.1"/>
    <n v="75.5"/>
    <x v="0"/>
    <n v="18"/>
    <n v="349"/>
    <n v="2"/>
    <x v="1"/>
    <n v="90.5"/>
    <x v="5"/>
    <x v="1"/>
  </r>
  <r>
    <d v="2024-09-09T11:51:15"/>
    <x v="8"/>
    <s v="-85.1352"/>
    <s v="73.2511"/>
    <n v="259"/>
    <x v="0"/>
    <n v="26.6"/>
    <n v="53"/>
    <x v="2"/>
    <n v="28"/>
    <n v="118"/>
    <n v="4"/>
    <x v="2"/>
    <n v="60.2"/>
    <x v="123"/>
    <x v="0"/>
  </r>
  <r>
    <d v="2024-10-02T21:49:15"/>
    <x v="7"/>
    <s v="-1.2800"/>
    <s v="1.0168"/>
    <n v="463"/>
    <x v="1"/>
    <n v="19.8"/>
    <n v="54.5"/>
    <x v="1"/>
    <n v="12"/>
    <n v="408"/>
    <n v="8"/>
    <x v="2"/>
    <n v="71.2"/>
    <x v="140"/>
    <x v="0"/>
  </r>
  <r>
    <d v="2024-05-05T05:42:10"/>
    <x v="2"/>
    <s v="45.2617"/>
    <s v="-152.3952"/>
    <n v="290"/>
    <x v="2"/>
    <n v="23.7"/>
    <n v="53.5"/>
    <x v="0"/>
    <n v="44"/>
    <n v="237"/>
    <n v="5"/>
    <x v="3"/>
    <n v="85.8"/>
    <x v="4"/>
    <x v="1"/>
  </r>
  <r>
    <d v="2024-05-21T02:33:29"/>
    <x v="6"/>
    <s v="-14.7713"/>
    <s v="-117.3565"/>
    <n v="345"/>
    <x v="0"/>
    <n v="21.3"/>
    <n v="53.6"/>
    <x v="2"/>
    <n v="35"/>
    <n v="388"/>
    <n v="4"/>
    <x v="1"/>
    <n v="83.5"/>
    <x v="174"/>
    <x v="0"/>
  </r>
  <r>
    <d v="2024-03-15T22:19:21"/>
    <x v="1"/>
    <s v="51.4225"/>
    <s v="112.3362"/>
    <n v="165"/>
    <x v="0"/>
    <n v="25.6"/>
    <n v="61.7"/>
    <x v="0"/>
    <n v="50"/>
    <n v="149"/>
    <n v="10"/>
    <x v="2"/>
    <n v="62.6"/>
    <x v="27"/>
    <x v="0"/>
  </r>
  <r>
    <d v="2024-02-07T19:45:50"/>
    <x v="7"/>
    <s v="-15.2991"/>
    <s v="-95.0112"/>
    <n v="259"/>
    <x v="1"/>
    <n v="27"/>
    <n v="79.7"/>
    <x v="1"/>
    <n v="15"/>
    <n v="167"/>
    <n v="9"/>
    <x v="2"/>
    <n v="88.6"/>
    <x v="139"/>
    <x v="0"/>
  </r>
  <r>
    <d v="2024-05-11T05:18:46"/>
    <x v="0"/>
    <s v="86.6678"/>
    <s v="-139.6955"/>
    <n v="330"/>
    <x v="2"/>
    <n v="26.9"/>
    <n v="62.9"/>
    <x v="0"/>
    <n v="47"/>
    <n v="382"/>
    <n v="6"/>
    <x v="1"/>
    <n v="90.3"/>
    <x v="13"/>
    <x v="1"/>
  </r>
  <r>
    <d v="2024-01-31T05:31:37"/>
    <x v="8"/>
    <s v="44.5442"/>
    <s v="-73.4346"/>
    <n v="467"/>
    <x v="2"/>
    <n v="19.3"/>
    <n v="62.1"/>
    <x v="0"/>
    <n v="39"/>
    <n v="180"/>
    <n v="8"/>
    <x v="3"/>
    <n v="63.8"/>
    <x v="113"/>
    <x v="1"/>
  </r>
  <r>
    <d v="2024-11-01T01:28:08"/>
    <x v="7"/>
    <s v="-48.4503"/>
    <s v="-99.9978"/>
    <n v="329"/>
    <x v="1"/>
    <n v="26.7"/>
    <n v="56.2"/>
    <x v="0"/>
    <n v="16"/>
    <n v="261"/>
    <n v="9"/>
    <x v="2"/>
    <n v="90.7"/>
    <x v="153"/>
    <x v="1"/>
  </r>
  <r>
    <d v="2024-03-03T04:17:01"/>
    <x v="3"/>
    <s v="-37.3934"/>
    <s v="31.4093"/>
    <n v="122"/>
    <x v="2"/>
    <n v="22.9"/>
    <n v="64"/>
    <x v="1"/>
    <n v="24"/>
    <n v="409"/>
    <n v="5"/>
    <x v="3"/>
    <n v="99.7"/>
    <x v="101"/>
    <x v="0"/>
  </r>
  <r>
    <d v="2024-03-09T00:10:34"/>
    <x v="7"/>
    <s v="34.0712"/>
    <s v="123.0237"/>
    <n v="146"/>
    <x v="1"/>
    <n v="24.2"/>
    <n v="69.099999999999994"/>
    <x v="2"/>
    <n v="58"/>
    <n v="301"/>
    <n v="2"/>
    <x v="0"/>
    <n v="82"/>
    <x v="11"/>
    <x v="1"/>
  </r>
  <r>
    <d v="2024-04-17T17:28:32"/>
    <x v="2"/>
    <s v="-21.5633"/>
    <s v="-12.8487"/>
    <n v="419"/>
    <x v="2"/>
    <n v="26.1"/>
    <n v="62"/>
    <x v="1"/>
    <n v="19"/>
    <n v="484"/>
    <n v="8"/>
    <x v="0"/>
    <n v="96.4"/>
    <x v="24"/>
    <x v="0"/>
  </r>
  <r>
    <d v="2024-09-21T10:33:05"/>
    <x v="0"/>
    <s v="-33.3756"/>
    <s v="7.8261"/>
    <n v="143"/>
    <x v="1"/>
    <n v="20.100000000000001"/>
    <n v="57"/>
    <x v="0"/>
    <n v="41"/>
    <n v="143"/>
    <n v="9"/>
    <x v="0"/>
    <n v="62.1"/>
    <x v="17"/>
    <x v="1"/>
  </r>
  <r>
    <d v="2024-02-11T10:31:50"/>
    <x v="2"/>
    <s v="-61.8490"/>
    <s v="-123.7835"/>
    <n v="445"/>
    <x v="2"/>
    <n v="19.8"/>
    <n v="54.1"/>
    <x v="2"/>
    <n v="39"/>
    <n v="375"/>
    <n v="2"/>
    <x v="1"/>
    <n v="88.3"/>
    <x v="156"/>
    <x v="1"/>
  </r>
  <r>
    <d v="2024-06-15T11:59:39"/>
    <x v="8"/>
    <s v="88.5686"/>
    <s v="-161.7382"/>
    <n v="450"/>
    <x v="0"/>
    <n v="18.7"/>
    <n v="56.4"/>
    <x v="0"/>
    <n v="12"/>
    <n v="140"/>
    <n v="8"/>
    <x v="3"/>
    <n v="61.9"/>
    <x v="3"/>
    <x v="0"/>
  </r>
  <r>
    <d v="2024-08-09T03:00:34"/>
    <x v="5"/>
    <s v="-69.4080"/>
    <s v="-8.1703"/>
    <n v="451"/>
    <x v="2"/>
    <n v="22.5"/>
    <n v="51.6"/>
    <x v="0"/>
    <n v="28"/>
    <n v="421"/>
    <n v="6"/>
    <x v="0"/>
    <n v="68.8"/>
    <x v="108"/>
    <x v="1"/>
  </r>
  <r>
    <d v="2024-07-22T00:56:20"/>
    <x v="4"/>
    <s v="-49.1524"/>
    <s v="14.1164"/>
    <n v="425"/>
    <x v="0"/>
    <n v="22.4"/>
    <n v="65.900000000000006"/>
    <x v="2"/>
    <n v="30"/>
    <n v="452"/>
    <n v="10"/>
    <x v="2"/>
    <n v="91.4"/>
    <x v="175"/>
    <x v="0"/>
  </r>
  <r>
    <d v="2024-08-17T07:37:02"/>
    <x v="6"/>
    <s v="27.7870"/>
    <s v="8.2288"/>
    <n v="235"/>
    <x v="2"/>
    <n v="25.8"/>
    <n v="62.6"/>
    <x v="1"/>
    <n v="51"/>
    <n v="171"/>
    <n v="6"/>
    <x v="3"/>
    <n v="87.5"/>
    <x v="176"/>
    <x v="0"/>
  </r>
  <r>
    <d v="2024-12-11T23:47:30"/>
    <x v="0"/>
    <s v="-13.8485"/>
    <s v="119.2071"/>
    <n v="181"/>
    <x v="1"/>
    <n v="29.7"/>
    <n v="51.8"/>
    <x v="2"/>
    <n v="38"/>
    <n v="388"/>
    <n v="10"/>
    <x v="0"/>
    <n v="92.4"/>
    <x v="148"/>
    <x v="1"/>
  </r>
  <r>
    <d v="2024-09-12T00:06:39"/>
    <x v="7"/>
    <s v="25.5003"/>
    <s v="-47.5718"/>
    <n v="370"/>
    <x v="2"/>
    <n v="23.5"/>
    <n v="74.400000000000006"/>
    <x v="1"/>
    <n v="60"/>
    <n v="105"/>
    <n v="1"/>
    <x v="0"/>
    <n v="99.5"/>
    <x v="48"/>
    <x v="0"/>
  </r>
  <r>
    <d v="2024-07-08T14:07:29"/>
    <x v="7"/>
    <s v="69.4106"/>
    <s v="61.7368"/>
    <n v="102"/>
    <x v="0"/>
    <n v="25.6"/>
    <n v="76"/>
    <x v="1"/>
    <n v="50"/>
    <n v="444"/>
    <n v="9"/>
    <x v="2"/>
    <n v="88.3"/>
    <x v="73"/>
    <x v="0"/>
  </r>
  <r>
    <d v="2024-03-06T13:14:35"/>
    <x v="7"/>
    <s v="-6.8964"/>
    <s v="-35.5418"/>
    <n v="200"/>
    <x v="2"/>
    <n v="18.5"/>
    <n v="77.7"/>
    <x v="0"/>
    <n v="24"/>
    <n v="158"/>
    <n v="4"/>
    <x v="0"/>
    <n v="82.5"/>
    <x v="162"/>
    <x v="1"/>
  </r>
  <r>
    <d v="2024-10-30T04:55:27"/>
    <x v="1"/>
    <s v="-0.1148"/>
    <s v="-127.6784"/>
    <n v="292"/>
    <x v="1"/>
    <n v="23.2"/>
    <n v="68.099999999999994"/>
    <x v="1"/>
    <n v="41"/>
    <n v="440"/>
    <n v="10"/>
    <x v="3"/>
    <n v="88.9"/>
    <x v="3"/>
    <x v="0"/>
  </r>
  <r>
    <d v="2024-10-07T10:54:40"/>
    <x v="8"/>
    <s v="-41.4279"/>
    <s v="178.8694"/>
    <n v="401"/>
    <x v="1"/>
    <n v="28.2"/>
    <n v="51"/>
    <x v="2"/>
    <n v="51"/>
    <n v="327"/>
    <n v="3"/>
    <x v="0"/>
    <n v="85.6"/>
    <x v="72"/>
    <x v="1"/>
  </r>
  <r>
    <d v="2024-06-06T22:52:41"/>
    <x v="7"/>
    <s v="-0.9333"/>
    <s v="124.8495"/>
    <n v="305"/>
    <x v="0"/>
    <n v="27.4"/>
    <n v="50.8"/>
    <x v="2"/>
    <n v="34"/>
    <n v="474"/>
    <n v="1"/>
    <x v="3"/>
    <n v="82"/>
    <x v="95"/>
    <x v="0"/>
  </r>
  <r>
    <d v="2024-04-20T00:14:34"/>
    <x v="7"/>
    <s v="-58.2175"/>
    <s v="7.2699"/>
    <n v="441"/>
    <x v="1"/>
    <n v="25"/>
    <n v="75.400000000000006"/>
    <x v="1"/>
    <n v="58"/>
    <n v="149"/>
    <n v="10"/>
    <x v="2"/>
    <n v="61.3"/>
    <x v="156"/>
    <x v="0"/>
  </r>
  <r>
    <d v="2024-08-02T00:10:54"/>
    <x v="5"/>
    <s v="83.3287"/>
    <s v="-84.2738"/>
    <n v="130"/>
    <x v="0"/>
    <n v="18.7"/>
    <n v="67.2"/>
    <x v="2"/>
    <n v="47"/>
    <n v="367"/>
    <n v="1"/>
    <x v="2"/>
    <n v="81.7"/>
    <x v="120"/>
    <x v="0"/>
  </r>
  <r>
    <d v="2024-10-03T02:54:03"/>
    <x v="1"/>
    <s v="-33.2637"/>
    <s v="45.4122"/>
    <n v="265"/>
    <x v="1"/>
    <n v="23.4"/>
    <n v="56.1"/>
    <x v="0"/>
    <n v="34"/>
    <n v="406"/>
    <n v="6"/>
    <x v="3"/>
    <n v="95"/>
    <x v="159"/>
    <x v="1"/>
  </r>
  <r>
    <d v="2024-09-23T22:37:49"/>
    <x v="9"/>
    <s v="74.3356"/>
    <s v="112.5528"/>
    <n v="426"/>
    <x v="2"/>
    <n v="26.3"/>
    <n v="77.7"/>
    <x v="0"/>
    <n v="58"/>
    <n v="373"/>
    <n v="6"/>
    <x v="2"/>
    <n v="93"/>
    <x v="76"/>
    <x v="1"/>
  </r>
  <r>
    <d v="2024-02-17T16:11:22"/>
    <x v="1"/>
    <s v="-53.3015"/>
    <s v="11.4861"/>
    <n v="432"/>
    <x v="1"/>
    <n v="28"/>
    <n v="65.2"/>
    <x v="1"/>
    <n v="35"/>
    <n v="499"/>
    <n v="8"/>
    <x v="1"/>
    <n v="97.4"/>
    <x v="107"/>
    <x v="0"/>
  </r>
  <r>
    <d v="2024-11-23T04:40:26"/>
    <x v="5"/>
    <s v="-22.5519"/>
    <s v="60.7110"/>
    <n v="406"/>
    <x v="0"/>
    <n v="20.9"/>
    <n v="76.400000000000006"/>
    <x v="0"/>
    <n v="57"/>
    <n v="160"/>
    <n v="9"/>
    <x v="0"/>
    <n v="73.3"/>
    <x v="177"/>
    <x v="0"/>
  </r>
  <r>
    <d v="2024-01-11T20:19:14"/>
    <x v="2"/>
    <s v="61.6970"/>
    <s v="164.5493"/>
    <n v="410"/>
    <x v="1"/>
    <n v="24.5"/>
    <n v="62.4"/>
    <x v="2"/>
    <n v="40"/>
    <n v="172"/>
    <n v="5"/>
    <x v="0"/>
    <n v="86.2"/>
    <x v="64"/>
    <x v="1"/>
  </r>
  <r>
    <d v="2024-10-28T02:17:22"/>
    <x v="8"/>
    <s v="-75.2867"/>
    <s v="-163.4000"/>
    <n v="155"/>
    <x v="1"/>
    <n v="22.6"/>
    <n v="77.099999999999994"/>
    <x v="0"/>
    <n v="13"/>
    <n v="196"/>
    <n v="7"/>
    <x v="0"/>
    <n v="83.2"/>
    <x v="173"/>
    <x v="1"/>
  </r>
  <r>
    <d v="2024-12-26T05:05:12"/>
    <x v="7"/>
    <s v="87.1386"/>
    <s v="-114.9680"/>
    <n v="397"/>
    <x v="2"/>
    <n v="23.7"/>
    <n v="73.5"/>
    <x v="0"/>
    <n v="31"/>
    <n v="266"/>
    <n v="1"/>
    <x v="3"/>
    <n v="92.8"/>
    <x v="42"/>
    <x v="1"/>
  </r>
  <r>
    <d v="2024-03-28T10:24:32"/>
    <x v="8"/>
    <s v="51.2486"/>
    <s v="-41.4882"/>
    <n v="305"/>
    <x v="2"/>
    <n v="28"/>
    <n v="67.8"/>
    <x v="0"/>
    <n v="13"/>
    <n v="455"/>
    <n v="2"/>
    <x v="1"/>
    <n v="80.8"/>
    <x v="139"/>
    <x v="1"/>
  </r>
  <r>
    <d v="2024-04-16T02:44:43"/>
    <x v="5"/>
    <s v="-19.8201"/>
    <s v="2.4374"/>
    <n v="343"/>
    <x v="0"/>
    <n v="26.2"/>
    <n v="62.4"/>
    <x v="0"/>
    <n v="18"/>
    <n v="166"/>
    <n v="7"/>
    <x v="1"/>
    <n v="62.3"/>
    <x v="173"/>
    <x v="0"/>
  </r>
  <r>
    <d v="2024-12-08T06:15:28"/>
    <x v="1"/>
    <s v="-13.5610"/>
    <s v="-52.5469"/>
    <n v="342"/>
    <x v="1"/>
    <n v="27.6"/>
    <n v="71.900000000000006"/>
    <x v="0"/>
    <n v="24"/>
    <n v="216"/>
    <n v="2"/>
    <x v="2"/>
    <n v="67.5"/>
    <x v="64"/>
    <x v="1"/>
  </r>
  <r>
    <d v="2024-09-05T17:43:56"/>
    <x v="7"/>
    <s v="51.4883"/>
    <s v="105.7445"/>
    <n v="347"/>
    <x v="1"/>
    <n v="29.1"/>
    <n v="80"/>
    <x v="1"/>
    <n v="25"/>
    <n v="256"/>
    <n v="3"/>
    <x v="3"/>
    <n v="69.599999999999994"/>
    <x v="88"/>
    <x v="0"/>
  </r>
  <r>
    <d v="2024-02-02T22:24:18"/>
    <x v="7"/>
    <s v="21.5738"/>
    <s v="-95.1501"/>
    <n v="403"/>
    <x v="2"/>
    <n v="29.5"/>
    <n v="76.599999999999994"/>
    <x v="1"/>
    <n v="36"/>
    <n v="379"/>
    <n v="2"/>
    <x v="3"/>
    <n v="66.7"/>
    <x v="29"/>
    <x v="0"/>
  </r>
  <r>
    <d v="2024-04-30T18:44:12"/>
    <x v="3"/>
    <s v="-31.8174"/>
    <s v="59.5716"/>
    <n v="482"/>
    <x v="0"/>
    <n v="18.100000000000001"/>
    <n v="76.099999999999994"/>
    <x v="1"/>
    <n v="54"/>
    <n v="203"/>
    <n v="10"/>
    <x v="2"/>
    <n v="74.099999999999994"/>
    <x v="136"/>
    <x v="0"/>
  </r>
  <r>
    <d v="2024-05-01T03:13:17"/>
    <x v="7"/>
    <s v="-76.0304"/>
    <s v="112.9276"/>
    <n v="130"/>
    <x v="2"/>
    <n v="21.6"/>
    <n v="60.9"/>
    <x v="2"/>
    <n v="48"/>
    <n v="479"/>
    <n v="8"/>
    <x v="2"/>
    <n v="83.3"/>
    <x v="103"/>
    <x v="1"/>
  </r>
  <r>
    <d v="2024-01-10T20:02:28"/>
    <x v="9"/>
    <s v="47.5481"/>
    <s v="-97.4831"/>
    <n v="465"/>
    <x v="0"/>
    <n v="24"/>
    <n v="72.400000000000006"/>
    <x v="1"/>
    <n v="48"/>
    <n v="112"/>
    <n v="8"/>
    <x v="0"/>
    <n v="97.1"/>
    <x v="60"/>
    <x v="0"/>
  </r>
  <r>
    <d v="2024-10-21T11:15:32"/>
    <x v="5"/>
    <s v="77.8751"/>
    <s v="144.0400"/>
    <n v="322"/>
    <x v="0"/>
    <n v="26.1"/>
    <n v="71.900000000000006"/>
    <x v="0"/>
    <n v="45"/>
    <n v="339"/>
    <n v="8"/>
    <x v="1"/>
    <n v="97.6"/>
    <x v="113"/>
    <x v="0"/>
  </r>
  <r>
    <d v="2024-11-25T02:58:57"/>
    <x v="9"/>
    <s v="-56.6674"/>
    <s v="-50.0426"/>
    <n v="126"/>
    <x v="2"/>
    <n v="20.3"/>
    <n v="51.2"/>
    <x v="0"/>
    <n v="53"/>
    <n v="486"/>
    <n v="7"/>
    <x v="3"/>
    <n v="97.5"/>
    <x v="38"/>
    <x v="1"/>
  </r>
  <r>
    <d v="2024-12-20T08:01:23"/>
    <x v="7"/>
    <s v="62.0999"/>
    <s v="-9.5972"/>
    <n v="142"/>
    <x v="1"/>
    <n v="22.7"/>
    <n v="66.099999999999994"/>
    <x v="0"/>
    <n v="59"/>
    <n v="343"/>
    <n v="6"/>
    <x v="3"/>
    <n v="86.7"/>
    <x v="15"/>
    <x v="1"/>
  </r>
  <r>
    <d v="2024-06-29T19:07:17"/>
    <x v="3"/>
    <s v="57.9908"/>
    <s v="-117.5288"/>
    <n v="444"/>
    <x v="2"/>
    <n v="21.6"/>
    <n v="53.2"/>
    <x v="0"/>
    <n v="16"/>
    <n v="113"/>
    <n v="2"/>
    <x v="2"/>
    <n v="96.1"/>
    <x v="98"/>
    <x v="1"/>
  </r>
  <r>
    <d v="2024-12-13T18:57:55"/>
    <x v="5"/>
    <s v="73.1274"/>
    <s v="-63.9399"/>
    <n v="100"/>
    <x v="2"/>
    <n v="22.4"/>
    <n v="71.599999999999994"/>
    <x v="0"/>
    <n v="22"/>
    <n v="389"/>
    <n v="4"/>
    <x v="2"/>
    <n v="73.400000000000006"/>
    <x v="174"/>
    <x v="1"/>
  </r>
  <r>
    <d v="2024-11-20T05:25:19"/>
    <x v="7"/>
    <s v="-28.6949"/>
    <s v="-110.5161"/>
    <n v="227"/>
    <x v="1"/>
    <n v="22.6"/>
    <n v="58.5"/>
    <x v="0"/>
    <n v="24"/>
    <n v="477"/>
    <n v="10"/>
    <x v="1"/>
    <n v="89"/>
    <x v="138"/>
    <x v="1"/>
  </r>
  <r>
    <d v="2024-06-29T09:51:14"/>
    <x v="7"/>
    <s v="-28.9152"/>
    <s v="114.3750"/>
    <n v="416"/>
    <x v="2"/>
    <n v="20.7"/>
    <n v="69.099999999999994"/>
    <x v="0"/>
    <n v="32"/>
    <n v="139"/>
    <n v="6"/>
    <x v="3"/>
    <n v="91.7"/>
    <x v="152"/>
    <x v="1"/>
  </r>
  <r>
    <d v="2024-12-22T23:33:57"/>
    <x v="7"/>
    <s v="83.9488"/>
    <s v="131.1197"/>
    <n v="499"/>
    <x v="0"/>
    <n v="25.8"/>
    <n v="64"/>
    <x v="0"/>
    <n v="46"/>
    <n v="295"/>
    <n v="6"/>
    <x v="2"/>
    <n v="87.6"/>
    <x v="3"/>
    <x v="0"/>
  </r>
  <r>
    <d v="2024-06-23T22:08:31"/>
    <x v="1"/>
    <s v="52.1635"/>
    <s v="10.8296"/>
    <n v="328"/>
    <x v="2"/>
    <n v="29.8"/>
    <n v="53.5"/>
    <x v="2"/>
    <n v="54"/>
    <n v="144"/>
    <n v="6"/>
    <x v="1"/>
    <n v="78"/>
    <x v="124"/>
    <x v="1"/>
  </r>
  <r>
    <d v="2024-03-29T05:14:26"/>
    <x v="9"/>
    <s v="36.5185"/>
    <s v="-71.9718"/>
    <n v="324"/>
    <x v="2"/>
    <n v="28.2"/>
    <n v="56.8"/>
    <x v="1"/>
    <n v="10"/>
    <n v="249"/>
    <n v="7"/>
    <x v="0"/>
    <n v="76.7"/>
    <x v="84"/>
    <x v="0"/>
  </r>
  <r>
    <d v="2024-04-03T14:11:16"/>
    <x v="8"/>
    <s v="-10.8232"/>
    <s v="144.0982"/>
    <n v="401"/>
    <x v="1"/>
    <n v="26.3"/>
    <n v="59.4"/>
    <x v="1"/>
    <n v="30"/>
    <n v="268"/>
    <n v="7"/>
    <x v="0"/>
    <n v="67.599999999999994"/>
    <x v="64"/>
    <x v="0"/>
  </r>
  <r>
    <d v="2024-12-15T14:02:28"/>
    <x v="9"/>
    <s v="-37.9195"/>
    <s v="-99.3768"/>
    <n v="182"/>
    <x v="0"/>
    <n v="22.9"/>
    <n v="54.4"/>
    <x v="0"/>
    <n v="50"/>
    <n v="135"/>
    <n v="3"/>
    <x v="0"/>
    <n v="98.4"/>
    <x v="151"/>
    <x v="0"/>
  </r>
  <r>
    <d v="2024-08-06T13:23:18"/>
    <x v="1"/>
    <s v="-7.2984"/>
    <s v="-44.5918"/>
    <n v="264"/>
    <x v="2"/>
    <n v="29.5"/>
    <n v="67.3"/>
    <x v="1"/>
    <n v="32"/>
    <n v="314"/>
    <n v="8"/>
    <x v="2"/>
    <n v="65.900000000000006"/>
    <x v="86"/>
    <x v="0"/>
  </r>
  <r>
    <d v="2024-03-14T02:35:33"/>
    <x v="6"/>
    <s v="13.6845"/>
    <s v="-126.4199"/>
    <n v="293"/>
    <x v="2"/>
    <n v="23.8"/>
    <n v="62.8"/>
    <x v="0"/>
    <n v="19"/>
    <n v="135"/>
    <n v="1"/>
    <x v="3"/>
    <n v="98.8"/>
    <x v="178"/>
    <x v="1"/>
  </r>
  <r>
    <d v="2024-08-27T00:34:46"/>
    <x v="2"/>
    <s v="-70.6428"/>
    <s v="166.3723"/>
    <n v="343"/>
    <x v="1"/>
    <n v="29.5"/>
    <n v="59.8"/>
    <x v="0"/>
    <n v="35"/>
    <n v="294"/>
    <n v="8"/>
    <x v="0"/>
    <n v="73.7"/>
    <x v="15"/>
    <x v="1"/>
  </r>
  <r>
    <d v="2024-04-24T20:50:47"/>
    <x v="4"/>
    <s v="-19.3929"/>
    <s v="-10.2537"/>
    <n v="103"/>
    <x v="1"/>
    <n v="24.8"/>
    <n v="79.3"/>
    <x v="1"/>
    <n v="22"/>
    <n v="393"/>
    <n v="9"/>
    <x v="1"/>
    <n v="88.6"/>
    <x v="179"/>
    <x v="0"/>
  </r>
  <r>
    <d v="2024-09-09T21:41:33"/>
    <x v="3"/>
    <s v="-32.5141"/>
    <s v="-170.9566"/>
    <n v="295"/>
    <x v="2"/>
    <n v="23.6"/>
    <n v="72.8"/>
    <x v="0"/>
    <n v="18"/>
    <n v="327"/>
    <n v="5"/>
    <x v="0"/>
    <n v="92.1"/>
    <x v="106"/>
    <x v="1"/>
  </r>
  <r>
    <d v="2024-06-20T13:57:57"/>
    <x v="2"/>
    <s v="59.3783"/>
    <s v="74.9628"/>
    <n v="300"/>
    <x v="2"/>
    <n v="27.4"/>
    <n v="52.8"/>
    <x v="0"/>
    <n v="35"/>
    <n v="431"/>
    <n v="10"/>
    <x v="0"/>
    <n v="81.2"/>
    <x v="177"/>
    <x v="1"/>
  </r>
  <r>
    <d v="2024-06-02T10:54:33"/>
    <x v="0"/>
    <s v="-36.2517"/>
    <s v="72.4728"/>
    <n v="108"/>
    <x v="2"/>
    <n v="27.9"/>
    <n v="65.599999999999994"/>
    <x v="1"/>
    <n v="46"/>
    <n v="138"/>
    <n v="4"/>
    <x v="2"/>
    <n v="82.7"/>
    <x v="103"/>
    <x v="0"/>
  </r>
  <r>
    <d v="2024-07-09T23:21:47"/>
    <x v="6"/>
    <s v="-55.9854"/>
    <s v="-149.8958"/>
    <n v="153"/>
    <x v="0"/>
    <n v="27.5"/>
    <n v="69.900000000000006"/>
    <x v="0"/>
    <n v="24"/>
    <n v="118"/>
    <n v="7"/>
    <x v="1"/>
    <n v="62.5"/>
    <x v="134"/>
    <x v="0"/>
  </r>
  <r>
    <d v="2024-07-03T09:52:55"/>
    <x v="6"/>
    <s v="27.3259"/>
    <s v="-116.2066"/>
    <n v="336"/>
    <x v="1"/>
    <n v="22.5"/>
    <n v="51.6"/>
    <x v="0"/>
    <n v="11"/>
    <n v="446"/>
    <n v="6"/>
    <x v="0"/>
    <n v="70.2"/>
    <x v="180"/>
    <x v="1"/>
  </r>
  <r>
    <d v="2024-12-09T20:35:02"/>
    <x v="3"/>
    <s v="27.7357"/>
    <s v="-170.5766"/>
    <n v="211"/>
    <x v="0"/>
    <n v="21.7"/>
    <n v="52.3"/>
    <x v="0"/>
    <n v="11"/>
    <n v="401"/>
    <n v="9"/>
    <x v="0"/>
    <n v="66.2"/>
    <x v="55"/>
    <x v="0"/>
  </r>
  <r>
    <d v="2024-03-14T00:55:34"/>
    <x v="4"/>
    <s v="23.2023"/>
    <s v="92.2763"/>
    <n v="144"/>
    <x v="2"/>
    <n v="21.1"/>
    <n v="58.8"/>
    <x v="2"/>
    <n v="35"/>
    <n v="443"/>
    <n v="10"/>
    <x v="3"/>
    <n v="89"/>
    <x v="85"/>
    <x v="1"/>
  </r>
  <r>
    <d v="2024-05-28T06:29:51"/>
    <x v="2"/>
    <s v="87.5129"/>
    <s v="-65.0922"/>
    <n v="224"/>
    <x v="0"/>
    <n v="21.7"/>
    <n v="78.5"/>
    <x v="2"/>
    <n v="20"/>
    <n v="428"/>
    <n v="7"/>
    <x v="0"/>
    <n v="72.400000000000006"/>
    <x v="181"/>
    <x v="0"/>
  </r>
  <r>
    <d v="2024-11-22T23:49:18"/>
    <x v="3"/>
    <s v="81.1975"/>
    <s v="137.0497"/>
    <n v="185"/>
    <x v="1"/>
    <n v="19.899999999999999"/>
    <n v="66.3"/>
    <x v="0"/>
    <n v="59"/>
    <n v="264"/>
    <n v="4"/>
    <x v="0"/>
    <n v="65.2"/>
    <x v="100"/>
    <x v="1"/>
  </r>
  <r>
    <d v="2024-04-21T03:47:52"/>
    <x v="4"/>
    <s v="55.9190"/>
    <s v="-39.5780"/>
    <n v="220"/>
    <x v="1"/>
    <n v="28.2"/>
    <n v="55.4"/>
    <x v="2"/>
    <n v="10"/>
    <n v="203"/>
    <n v="8"/>
    <x v="1"/>
    <n v="81.099999999999994"/>
    <x v="97"/>
    <x v="1"/>
  </r>
  <r>
    <d v="2024-03-15T07:02:10"/>
    <x v="8"/>
    <s v="-15.3314"/>
    <s v="22.3970"/>
    <n v="236"/>
    <x v="1"/>
    <n v="18.3"/>
    <n v="69"/>
    <x v="2"/>
    <n v="34"/>
    <n v="303"/>
    <n v="2"/>
    <x v="3"/>
    <n v="62.6"/>
    <x v="4"/>
    <x v="1"/>
  </r>
  <r>
    <d v="2024-03-22T14:12:36"/>
    <x v="2"/>
    <s v="-55.3603"/>
    <s v="79.1276"/>
    <n v="159"/>
    <x v="0"/>
    <n v="29.7"/>
    <n v="69.599999999999994"/>
    <x v="2"/>
    <n v="49"/>
    <n v="227"/>
    <n v="1"/>
    <x v="0"/>
    <n v="62"/>
    <x v="182"/>
    <x v="0"/>
  </r>
  <r>
    <d v="2024-09-18T16:35:57"/>
    <x v="1"/>
    <s v="8.3934"/>
    <s v="-165.2068"/>
    <n v="433"/>
    <x v="0"/>
    <n v="26.4"/>
    <n v="69.3"/>
    <x v="0"/>
    <n v="25"/>
    <n v="127"/>
    <n v="8"/>
    <x v="0"/>
    <n v="84.5"/>
    <x v="76"/>
    <x v="0"/>
  </r>
  <r>
    <d v="2024-11-20T19:12:02"/>
    <x v="0"/>
    <s v="27.4990"/>
    <s v="-98.0697"/>
    <n v="109"/>
    <x v="1"/>
    <n v="25.1"/>
    <n v="76.5"/>
    <x v="1"/>
    <n v="16"/>
    <n v="356"/>
    <n v="5"/>
    <x v="0"/>
    <n v="64.900000000000006"/>
    <x v="51"/>
    <x v="0"/>
  </r>
  <r>
    <d v="2024-04-08T18:13:51"/>
    <x v="1"/>
    <s v="14.6870"/>
    <s v="-33.9771"/>
    <n v="453"/>
    <x v="1"/>
    <n v="25.8"/>
    <n v="78.599999999999994"/>
    <x v="0"/>
    <n v="21"/>
    <n v="142"/>
    <n v="10"/>
    <x v="3"/>
    <n v="85.7"/>
    <x v="183"/>
    <x v="1"/>
  </r>
  <r>
    <d v="2024-01-13T16:35:47"/>
    <x v="3"/>
    <s v="19.3645"/>
    <s v="-149.4523"/>
    <n v="169"/>
    <x v="1"/>
    <n v="28.6"/>
    <n v="78.8"/>
    <x v="1"/>
    <n v="27"/>
    <n v="482"/>
    <n v="4"/>
    <x v="2"/>
    <n v="80.5"/>
    <x v="62"/>
    <x v="0"/>
  </r>
  <r>
    <d v="2024-11-11T04:35:37"/>
    <x v="0"/>
    <s v="38.0858"/>
    <s v="-149.2970"/>
    <n v="105"/>
    <x v="0"/>
    <n v="23.6"/>
    <n v="54.4"/>
    <x v="0"/>
    <n v="18"/>
    <n v="364"/>
    <n v="10"/>
    <x v="2"/>
    <n v="76"/>
    <x v="124"/>
    <x v="0"/>
  </r>
  <r>
    <d v="2024-10-04T16:05:37"/>
    <x v="3"/>
    <s v="4.3790"/>
    <s v="97.6354"/>
    <n v="256"/>
    <x v="2"/>
    <n v="29.6"/>
    <n v="73.7"/>
    <x v="1"/>
    <n v="20"/>
    <n v="309"/>
    <n v="8"/>
    <x v="1"/>
    <n v="83.4"/>
    <x v="184"/>
    <x v="0"/>
  </r>
  <r>
    <d v="2024-05-12T21:29:39"/>
    <x v="6"/>
    <s v="-28.8542"/>
    <s v="119.5019"/>
    <n v="309"/>
    <x v="2"/>
    <n v="22.8"/>
    <n v="52.8"/>
    <x v="2"/>
    <n v="19"/>
    <n v="101"/>
    <n v="2"/>
    <x v="3"/>
    <n v="85.5"/>
    <x v="29"/>
    <x v="1"/>
  </r>
  <r>
    <d v="2024-12-23T04:59:36"/>
    <x v="3"/>
    <s v="-17.5843"/>
    <s v="-151.1609"/>
    <n v="346"/>
    <x v="2"/>
    <n v="26.9"/>
    <n v="70.599999999999994"/>
    <x v="0"/>
    <n v="44"/>
    <n v="192"/>
    <n v="9"/>
    <x v="2"/>
    <n v="76.2"/>
    <x v="185"/>
    <x v="1"/>
  </r>
  <r>
    <d v="2024-06-15T00:46:44"/>
    <x v="4"/>
    <s v="15.5281"/>
    <s v="-170.3941"/>
    <n v="302"/>
    <x v="0"/>
    <n v="24.6"/>
    <n v="60.6"/>
    <x v="1"/>
    <n v="30"/>
    <n v="431"/>
    <n v="3"/>
    <x v="0"/>
    <n v="76"/>
    <x v="51"/>
    <x v="0"/>
  </r>
  <r>
    <d v="2024-07-18T17:29:17"/>
    <x v="4"/>
    <s v="-83.8983"/>
    <s v="-128.1642"/>
    <n v="181"/>
    <x v="1"/>
    <n v="24.7"/>
    <n v="63.4"/>
    <x v="1"/>
    <n v="25"/>
    <n v="107"/>
    <n v="8"/>
    <x v="0"/>
    <n v="71.3"/>
    <x v="42"/>
    <x v="0"/>
  </r>
  <r>
    <d v="2024-02-10T08:40:55"/>
    <x v="3"/>
    <s v="-25.4823"/>
    <s v="169.1921"/>
    <n v="282"/>
    <x v="0"/>
    <n v="21.8"/>
    <n v="63.6"/>
    <x v="2"/>
    <n v="43"/>
    <n v="370"/>
    <n v="7"/>
    <x v="2"/>
    <n v="69.400000000000006"/>
    <x v="164"/>
    <x v="0"/>
  </r>
  <r>
    <d v="2024-09-09T10:46:47"/>
    <x v="2"/>
    <s v="-69.4930"/>
    <s v="-118.9742"/>
    <n v="398"/>
    <x v="2"/>
    <n v="26.5"/>
    <n v="64.8"/>
    <x v="1"/>
    <n v="44"/>
    <n v="387"/>
    <n v="1"/>
    <x v="0"/>
    <n v="90.6"/>
    <x v="62"/>
    <x v="0"/>
  </r>
  <r>
    <d v="2024-04-19T08:18:04"/>
    <x v="9"/>
    <s v="-8.0714"/>
    <s v="-158.0304"/>
    <n v="210"/>
    <x v="1"/>
    <n v="24.7"/>
    <n v="65"/>
    <x v="1"/>
    <n v="50"/>
    <n v="185"/>
    <n v="10"/>
    <x v="3"/>
    <n v="84.1"/>
    <x v="50"/>
    <x v="0"/>
  </r>
  <r>
    <d v="2024-08-05T18:45:24"/>
    <x v="3"/>
    <s v="-59.9919"/>
    <s v="-162.9143"/>
    <n v="188"/>
    <x v="0"/>
    <n v="22.4"/>
    <n v="78"/>
    <x v="1"/>
    <n v="40"/>
    <n v="372"/>
    <n v="6"/>
    <x v="1"/>
    <n v="98"/>
    <x v="134"/>
    <x v="0"/>
  </r>
  <r>
    <d v="2024-06-14T18:40:07"/>
    <x v="7"/>
    <s v="-47.5239"/>
    <s v="58.4771"/>
    <n v="298"/>
    <x v="0"/>
    <n v="19.600000000000001"/>
    <n v="76.099999999999994"/>
    <x v="1"/>
    <n v="22"/>
    <n v="396"/>
    <n v="7"/>
    <x v="0"/>
    <n v="65"/>
    <x v="116"/>
    <x v="0"/>
  </r>
  <r>
    <d v="2024-10-18T23:50:28"/>
    <x v="2"/>
    <s v="-39.8052"/>
    <s v="-126.4073"/>
    <n v="298"/>
    <x v="0"/>
    <n v="24"/>
    <n v="63.5"/>
    <x v="0"/>
    <n v="25"/>
    <n v="456"/>
    <n v="2"/>
    <x v="0"/>
    <n v="78.900000000000006"/>
    <x v="139"/>
    <x v="0"/>
  </r>
  <r>
    <d v="2024-04-28T01:31:58"/>
    <x v="7"/>
    <s v="54.0537"/>
    <s v="-145.9922"/>
    <n v="326"/>
    <x v="0"/>
    <n v="20"/>
    <n v="56.6"/>
    <x v="0"/>
    <n v="17"/>
    <n v="260"/>
    <n v="6"/>
    <x v="1"/>
    <n v="67.5"/>
    <x v="125"/>
    <x v="0"/>
  </r>
  <r>
    <d v="2024-11-11T08:44:54"/>
    <x v="1"/>
    <s v="7.0591"/>
    <s v="46.7188"/>
    <n v="354"/>
    <x v="0"/>
    <n v="18.399999999999999"/>
    <n v="77.5"/>
    <x v="1"/>
    <n v="40"/>
    <n v="262"/>
    <n v="7"/>
    <x v="2"/>
    <n v="68.5"/>
    <x v="23"/>
    <x v="0"/>
  </r>
  <r>
    <d v="2024-09-13T10:52:43"/>
    <x v="4"/>
    <s v="-50.3633"/>
    <s v="99.5834"/>
    <n v="269"/>
    <x v="1"/>
    <n v="22.4"/>
    <n v="63.6"/>
    <x v="0"/>
    <n v="54"/>
    <n v="481"/>
    <n v="7"/>
    <x v="2"/>
    <n v="82.5"/>
    <x v="39"/>
    <x v="1"/>
  </r>
  <r>
    <d v="2024-06-14T17:14:20"/>
    <x v="4"/>
    <s v="51.9327"/>
    <s v="-102.4309"/>
    <n v="475"/>
    <x v="2"/>
    <n v="29.3"/>
    <n v="62.8"/>
    <x v="2"/>
    <n v="29"/>
    <n v="359"/>
    <n v="9"/>
    <x v="3"/>
    <n v="95.1"/>
    <x v="62"/>
    <x v="1"/>
  </r>
  <r>
    <d v="2024-01-02T15:30:44"/>
    <x v="4"/>
    <s v="-36.4870"/>
    <s v="14.5024"/>
    <n v="372"/>
    <x v="0"/>
    <n v="20.399999999999999"/>
    <n v="57.2"/>
    <x v="2"/>
    <n v="29"/>
    <n v="153"/>
    <n v="1"/>
    <x v="1"/>
    <n v="78.2"/>
    <x v="152"/>
    <x v="0"/>
  </r>
  <r>
    <d v="2024-10-06T04:58:42"/>
    <x v="8"/>
    <s v="27.2654"/>
    <s v="-34.1042"/>
    <n v="201"/>
    <x v="1"/>
    <n v="26"/>
    <n v="51.5"/>
    <x v="2"/>
    <n v="40"/>
    <n v="429"/>
    <n v="4"/>
    <x v="1"/>
    <n v="87"/>
    <x v="108"/>
    <x v="1"/>
  </r>
  <r>
    <d v="2024-06-04T16:47:14"/>
    <x v="0"/>
    <s v="15.2159"/>
    <s v="-55.6814"/>
    <n v="441"/>
    <x v="1"/>
    <n v="25.3"/>
    <n v="72.900000000000006"/>
    <x v="2"/>
    <n v="47"/>
    <n v="152"/>
    <n v="4"/>
    <x v="1"/>
    <n v="67.400000000000006"/>
    <x v="15"/>
    <x v="1"/>
  </r>
  <r>
    <d v="2024-02-02T12:17:02"/>
    <x v="1"/>
    <s v="27.4437"/>
    <s v="43.3224"/>
    <n v="246"/>
    <x v="0"/>
    <n v="25.3"/>
    <n v="57.4"/>
    <x v="2"/>
    <n v="33"/>
    <n v="298"/>
    <n v="8"/>
    <x v="2"/>
    <n v="70.400000000000006"/>
    <x v="107"/>
    <x v="0"/>
  </r>
  <r>
    <d v="2024-06-22T07:42:17"/>
    <x v="2"/>
    <s v="-58.6928"/>
    <s v="165.8667"/>
    <n v="180"/>
    <x v="0"/>
    <n v="25.4"/>
    <n v="50.4"/>
    <x v="1"/>
    <n v="32"/>
    <n v="246"/>
    <n v="2"/>
    <x v="3"/>
    <n v="65.400000000000006"/>
    <x v="160"/>
    <x v="0"/>
  </r>
  <r>
    <d v="2024-03-01T14:48:13"/>
    <x v="3"/>
    <s v="-38.0737"/>
    <s v="56.0723"/>
    <n v="127"/>
    <x v="0"/>
    <n v="21"/>
    <n v="54.6"/>
    <x v="0"/>
    <n v="13"/>
    <n v="452"/>
    <n v="9"/>
    <x v="3"/>
    <n v="79"/>
    <x v="186"/>
    <x v="0"/>
  </r>
  <r>
    <d v="2024-08-19T01:36:00"/>
    <x v="7"/>
    <s v="-50.6778"/>
    <s v="-102.0410"/>
    <n v="246"/>
    <x v="0"/>
    <n v="20.8"/>
    <n v="79.2"/>
    <x v="1"/>
    <n v="55"/>
    <n v="325"/>
    <n v="2"/>
    <x v="0"/>
    <n v="80.5"/>
    <x v="143"/>
    <x v="0"/>
  </r>
  <r>
    <d v="2024-11-17T02:22:02"/>
    <x v="5"/>
    <s v="-88.7760"/>
    <s v="-125.1628"/>
    <n v="470"/>
    <x v="2"/>
    <n v="21.5"/>
    <n v="51"/>
    <x v="1"/>
    <n v="59"/>
    <n v="293"/>
    <n v="7"/>
    <x v="3"/>
    <n v="86.6"/>
    <x v="41"/>
    <x v="0"/>
  </r>
  <r>
    <d v="2024-07-29T00:17:00"/>
    <x v="6"/>
    <s v="69.6910"/>
    <s v="148.6549"/>
    <n v="386"/>
    <x v="0"/>
    <n v="25.9"/>
    <n v="71.599999999999994"/>
    <x v="2"/>
    <n v="36"/>
    <n v="193"/>
    <n v="10"/>
    <x v="1"/>
    <n v="72"/>
    <x v="186"/>
    <x v="0"/>
  </r>
  <r>
    <d v="2024-05-17T21:00:51"/>
    <x v="6"/>
    <s v="-82.2616"/>
    <s v="-141.8250"/>
    <n v="325"/>
    <x v="1"/>
    <n v="26.2"/>
    <n v="64.3"/>
    <x v="2"/>
    <n v="31"/>
    <n v="491"/>
    <n v="7"/>
    <x v="3"/>
    <n v="60.7"/>
    <x v="52"/>
    <x v="1"/>
  </r>
  <r>
    <d v="2024-03-11T20:09:54"/>
    <x v="9"/>
    <s v="2.7286"/>
    <s v="-99.5442"/>
    <n v="432"/>
    <x v="1"/>
    <n v="25.9"/>
    <n v="65.8"/>
    <x v="2"/>
    <n v="42"/>
    <n v="265"/>
    <n v="8"/>
    <x v="0"/>
    <n v="86.8"/>
    <x v="50"/>
    <x v="1"/>
  </r>
  <r>
    <d v="2024-07-18T05:42:03"/>
    <x v="0"/>
    <s v="84.2498"/>
    <s v="-60.8861"/>
    <n v="273"/>
    <x v="0"/>
    <n v="20.2"/>
    <n v="72.2"/>
    <x v="2"/>
    <n v="19"/>
    <n v="115"/>
    <n v="5"/>
    <x v="0"/>
    <n v="68.8"/>
    <x v="11"/>
    <x v="0"/>
  </r>
  <r>
    <d v="2024-11-13T11:31:44"/>
    <x v="4"/>
    <s v="8.7621"/>
    <s v="-2.9218"/>
    <n v="492"/>
    <x v="2"/>
    <n v="21.6"/>
    <n v="78.3"/>
    <x v="2"/>
    <n v="58"/>
    <n v="122"/>
    <n v="9"/>
    <x v="0"/>
    <n v="61.2"/>
    <x v="86"/>
    <x v="1"/>
  </r>
  <r>
    <d v="2024-01-01T11:37:57"/>
    <x v="4"/>
    <s v="-59.0753"/>
    <s v="68.4886"/>
    <n v="303"/>
    <x v="1"/>
    <n v="24.6"/>
    <n v="68.599999999999994"/>
    <x v="0"/>
    <n v="50"/>
    <n v="213"/>
    <n v="6"/>
    <x v="3"/>
    <n v="97.1"/>
    <x v="170"/>
    <x v="1"/>
  </r>
  <r>
    <d v="2024-10-07T18:21:07"/>
    <x v="1"/>
    <s v="5.7218"/>
    <s v="-96.5806"/>
    <n v="270"/>
    <x v="1"/>
    <n v="28.1"/>
    <n v="73.599999999999994"/>
    <x v="2"/>
    <n v="57"/>
    <n v="283"/>
    <n v="2"/>
    <x v="3"/>
    <n v="92.3"/>
    <x v="62"/>
    <x v="1"/>
  </r>
  <r>
    <d v="2024-07-16T16:39:04"/>
    <x v="4"/>
    <s v="-38.3158"/>
    <s v="-38.3257"/>
    <n v="382"/>
    <x v="2"/>
    <n v="21.6"/>
    <n v="50.5"/>
    <x v="0"/>
    <n v="31"/>
    <n v="160"/>
    <n v="8"/>
    <x v="1"/>
    <n v="94.8"/>
    <x v="35"/>
    <x v="1"/>
  </r>
  <r>
    <d v="2024-04-13T17:33:52"/>
    <x v="4"/>
    <s v="-87.4042"/>
    <s v="-127.3269"/>
    <n v="197"/>
    <x v="2"/>
    <n v="23.3"/>
    <n v="53.5"/>
    <x v="1"/>
    <n v="41"/>
    <n v="259"/>
    <n v="9"/>
    <x v="1"/>
    <n v="91.3"/>
    <x v="70"/>
    <x v="0"/>
  </r>
  <r>
    <d v="2024-08-11T02:18:19"/>
    <x v="3"/>
    <s v="-77.3648"/>
    <s v="30.9744"/>
    <n v="368"/>
    <x v="1"/>
    <n v="25"/>
    <n v="60.7"/>
    <x v="2"/>
    <n v="37"/>
    <n v="382"/>
    <n v="5"/>
    <x v="1"/>
    <n v="82.8"/>
    <x v="64"/>
    <x v="1"/>
  </r>
  <r>
    <d v="2024-01-19T00:15:26"/>
    <x v="0"/>
    <s v="-73.0477"/>
    <s v="124.7969"/>
    <n v="223"/>
    <x v="1"/>
    <n v="19.5"/>
    <n v="55.6"/>
    <x v="2"/>
    <n v="23"/>
    <n v="154"/>
    <n v="4"/>
    <x v="1"/>
    <n v="62.9"/>
    <x v="78"/>
    <x v="1"/>
  </r>
  <r>
    <d v="2024-12-26T03:50:18"/>
    <x v="0"/>
    <s v="-27.5760"/>
    <s v="-111.3158"/>
    <n v="340"/>
    <x v="0"/>
    <n v="25.9"/>
    <n v="75.3"/>
    <x v="0"/>
    <n v="18"/>
    <n v="424"/>
    <n v="7"/>
    <x v="1"/>
    <n v="67.3"/>
    <x v="181"/>
    <x v="0"/>
  </r>
  <r>
    <d v="2024-01-10T12:44:17"/>
    <x v="2"/>
    <s v="49.9465"/>
    <s v="-30.0236"/>
    <n v="355"/>
    <x v="2"/>
    <n v="20.2"/>
    <n v="51.3"/>
    <x v="2"/>
    <n v="49"/>
    <n v="323"/>
    <n v="4"/>
    <x v="3"/>
    <n v="72.599999999999994"/>
    <x v="93"/>
    <x v="1"/>
  </r>
  <r>
    <d v="2024-10-23T13:13:06"/>
    <x v="5"/>
    <s v="-50.6856"/>
    <s v="-9.6236"/>
    <n v="158"/>
    <x v="1"/>
    <n v="26.6"/>
    <n v="63.8"/>
    <x v="1"/>
    <n v="51"/>
    <n v="199"/>
    <n v="4"/>
    <x v="0"/>
    <n v="84.8"/>
    <x v="12"/>
    <x v="0"/>
  </r>
  <r>
    <d v="2024-07-31T19:53:22"/>
    <x v="2"/>
    <s v="84.1122"/>
    <s v="-87.8990"/>
    <n v="126"/>
    <x v="0"/>
    <n v="25.1"/>
    <n v="58"/>
    <x v="0"/>
    <n v="47"/>
    <n v="291"/>
    <n v="7"/>
    <x v="2"/>
    <n v="92.3"/>
    <x v="43"/>
    <x v="0"/>
  </r>
  <r>
    <d v="2024-08-05T22:26:07"/>
    <x v="6"/>
    <s v="49.9197"/>
    <s v="79.4653"/>
    <n v="309"/>
    <x v="1"/>
    <n v="20.6"/>
    <n v="77.3"/>
    <x v="2"/>
    <n v="60"/>
    <n v="177"/>
    <n v="5"/>
    <x v="1"/>
    <n v="69.2"/>
    <x v="143"/>
    <x v="1"/>
  </r>
  <r>
    <d v="2024-02-14T00:45:03"/>
    <x v="2"/>
    <s v="-44.6254"/>
    <s v="44.0876"/>
    <n v="171"/>
    <x v="0"/>
    <n v="22.6"/>
    <n v="69.900000000000006"/>
    <x v="0"/>
    <n v="26"/>
    <n v="104"/>
    <n v="2"/>
    <x v="1"/>
    <n v="88.1"/>
    <x v="165"/>
    <x v="0"/>
  </r>
  <r>
    <d v="2024-12-14T00:45:10"/>
    <x v="1"/>
    <s v="-57.3005"/>
    <s v="-23.6888"/>
    <n v="403"/>
    <x v="1"/>
    <n v="29.6"/>
    <n v="63"/>
    <x v="2"/>
    <n v="12"/>
    <n v="197"/>
    <n v="4"/>
    <x v="0"/>
    <n v="83.8"/>
    <x v="91"/>
    <x v="1"/>
  </r>
  <r>
    <d v="2024-07-16T08:12:29"/>
    <x v="1"/>
    <s v="-47.5698"/>
    <s v="-81.3143"/>
    <n v="181"/>
    <x v="2"/>
    <n v="25.9"/>
    <n v="69.099999999999994"/>
    <x v="1"/>
    <n v="44"/>
    <n v="264"/>
    <n v="9"/>
    <x v="3"/>
    <n v="69.900000000000006"/>
    <x v="89"/>
    <x v="0"/>
  </r>
  <r>
    <d v="2024-12-08T09:52:23"/>
    <x v="0"/>
    <s v="-80.2675"/>
    <s v="-80.5726"/>
    <n v="472"/>
    <x v="0"/>
    <n v="23"/>
    <n v="68"/>
    <x v="1"/>
    <n v="34"/>
    <n v="365"/>
    <n v="3"/>
    <x v="2"/>
    <n v="87.8"/>
    <x v="109"/>
    <x v="0"/>
  </r>
  <r>
    <d v="2024-05-08T01:51:55"/>
    <x v="6"/>
    <s v="-70.3213"/>
    <s v="-61.9179"/>
    <n v="171"/>
    <x v="2"/>
    <n v="25.5"/>
    <n v="51.1"/>
    <x v="0"/>
    <n v="43"/>
    <n v="114"/>
    <n v="1"/>
    <x v="1"/>
    <n v="92.5"/>
    <x v="96"/>
    <x v="1"/>
  </r>
  <r>
    <d v="2024-07-20T13:33:43"/>
    <x v="1"/>
    <s v="48.2512"/>
    <s v="-106.6383"/>
    <n v="204"/>
    <x v="0"/>
    <n v="19.2"/>
    <n v="58"/>
    <x v="1"/>
    <n v="50"/>
    <n v="465"/>
    <n v="8"/>
    <x v="1"/>
    <n v="85.2"/>
    <x v="159"/>
    <x v="0"/>
  </r>
  <r>
    <d v="2024-10-24T14:59:52"/>
    <x v="4"/>
    <s v="-74.6749"/>
    <s v="-159.7164"/>
    <n v="254"/>
    <x v="1"/>
    <n v="26.7"/>
    <n v="51.3"/>
    <x v="0"/>
    <n v="11"/>
    <n v="378"/>
    <n v="8"/>
    <x v="0"/>
    <n v="90.6"/>
    <x v="118"/>
    <x v="1"/>
  </r>
  <r>
    <d v="2024-11-23T10:56:55"/>
    <x v="4"/>
    <s v="-46.0132"/>
    <s v="-8.5335"/>
    <n v="100"/>
    <x v="0"/>
    <n v="21"/>
    <n v="71.2"/>
    <x v="2"/>
    <n v="19"/>
    <n v="315"/>
    <n v="9"/>
    <x v="1"/>
    <n v="82.2"/>
    <x v="93"/>
    <x v="0"/>
  </r>
  <r>
    <d v="2024-04-18T08:51:00"/>
    <x v="9"/>
    <s v="9.3294"/>
    <s v="-71.5299"/>
    <n v="211"/>
    <x v="2"/>
    <n v="23.7"/>
    <n v="66.7"/>
    <x v="1"/>
    <n v="36"/>
    <n v="149"/>
    <n v="1"/>
    <x v="3"/>
    <n v="60.7"/>
    <x v="15"/>
    <x v="0"/>
  </r>
  <r>
    <d v="2024-08-11T04:43:30"/>
    <x v="3"/>
    <s v="5.0095"/>
    <s v="-113.8279"/>
    <n v="145"/>
    <x v="0"/>
    <n v="18.2"/>
    <n v="62.2"/>
    <x v="1"/>
    <n v="56"/>
    <n v="430"/>
    <n v="5"/>
    <x v="2"/>
    <n v="86.7"/>
    <x v="2"/>
    <x v="0"/>
  </r>
  <r>
    <d v="2024-10-09T13:29:04"/>
    <x v="1"/>
    <s v="-70.8094"/>
    <s v="75.1094"/>
    <n v="244"/>
    <x v="2"/>
    <n v="21.3"/>
    <n v="79.400000000000006"/>
    <x v="1"/>
    <n v="22"/>
    <n v="312"/>
    <n v="9"/>
    <x v="0"/>
    <n v="63.5"/>
    <x v="10"/>
    <x v="0"/>
  </r>
  <r>
    <d v="2024-12-21T15:26:10"/>
    <x v="9"/>
    <s v="-43.2472"/>
    <s v="163.3821"/>
    <n v="104"/>
    <x v="2"/>
    <n v="29.4"/>
    <n v="59.1"/>
    <x v="0"/>
    <n v="58"/>
    <n v="229"/>
    <n v="3"/>
    <x v="1"/>
    <n v="82.9"/>
    <x v="106"/>
    <x v="1"/>
  </r>
  <r>
    <d v="2024-01-21T23:13:40"/>
    <x v="8"/>
    <s v="28.1016"/>
    <s v="167.1982"/>
    <n v="356"/>
    <x v="1"/>
    <n v="18.399999999999999"/>
    <n v="75.2"/>
    <x v="2"/>
    <n v="32"/>
    <n v="291"/>
    <n v="6"/>
    <x v="0"/>
    <n v="90.7"/>
    <x v="8"/>
    <x v="1"/>
  </r>
  <r>
    <d v="2024-03-28T07:50:45"/>
    <x v="4"/>
    <s v="-56.2187"/>
    <s v="27.6037"/>
    <n v="114"/>
    <x v="1"/>
    <n v="26.8"/>
    <n v="62.1"/>
    <x v="1"/>
    <n v="55"/>
    <n v="334"/>
    <n v="6"/>
    <x v="0"/>
    <n v="85.2"/>
    <x v="86"/>
    <x v="0"/>
  </r>
  <r>
    <d v="2024-12-02T10:52:06"/>
    <x v="1"/>
    <s v="65.0538"/>
    <s v="-146.3887"/>
    <n v="404"/>
    <x v="2"/>
    <n v="19"/>
    <n v="76.2"/>
    <x v="1"/>
    <n v="54"/>
    <n v="230"/>
    <n v="4"/>
    <x v="0"/>
    <n v="83.7"/>
    <x v="10"/>
    <x v="0"/>
  </r>
  <r>
    <d v="2024-12-30T20:21:58"/>
    <x v="8"/>
    <s v="-30.2990"/>
    <s v="153.4529"/>
    <n v="500"/>
    <x v="2"/>
    <n v="21.7"/>
    <n v="56.2"/>
    <x v="0"/>
    <n v="20"/>
    <n v="381"/>
    <n v="10"/>
    <x v="3"/>
    <n v="90.7"/>
    <x v="33"/>
    <x v="1"/>
  </r>
  <r>
    <d v="2024-09-12T11:42:11"/>
    <x v="8"/>
    <s v="72.7626"/>
    <s v="105.8210"/>
    <n v="375"/>
    <x v="0"/>
    <n v="23"/>
    <n v="76.3"/>
    <x v="0"/>
    <n v="49"/>
    <n v="131"/>
    <n v="4"/>
    <x v="0"/>
    <n v="87.8"/>
    <x v="49"/>
    <x v="0"/>
  </r>
  <r>
    <d v="2024-10-24T23:03:49"/>
    <x v="6"/>
    <s v="61.8446"/>
    <s v="115.5236"/>
    <n v="361"/>
    <x v="1"/>
    <n v="22.3"/>
    <n v="66.8"/>
    <x v="1"/>
    <n v="60"/>
    <n v="157"/>
    <n v="4"/>
    <x v="2"/>
    <n v="79.8"/>
    <x v="156"/>
    <x v="0"/>
  </r>
  <r>
    <d v="2024-03-07T21:52:21"/>
    <x v="7"/>
    <s v="-31.1792"/>
    <s v="-46.0480"/>
    <n v="239"/>
    <x v="0"/>
    <n v="26.6"/>
    <n v="51.6"/>
    <x v="0"/>
    <n v="33"/>
    <n v="333"/>
    <n v="2"/>
    <x v="2"/>
    <n v="95.1"/>
    <x v="121"/>
    <x v="0"/>
  </r>
  <r>
    <d v="2024-01-03T13:08:23"/>
    <x v="2"/>
    <s v="-43.2004"/>
    <s v="134.8572"/>
    <n v="191"/>
    <x v="1"/>
    <n v="24"/>
    <n v="59.7"/>
    <x v="2"/>
    <n v="51"/>
    <n v="268"/>
    <n v="8"/>
    <x v="0"/>
    <n v="97"/>
    <x v="102"/>
    <x v="1"/>
  </r>
  <r>
    <d v="2024-12-08T00:24:42"/>
    <x v="5"/>
    <s v="-79.6372"/>
    <s v="-111.7492"/>
    <n v="171"/>
    <x v="0"/>
    <n v="21.3"/>
    <n v="58.7"/>
    <x v="0"/>
    <n v="10"/>
    <n v="292"/>
    <n v="4"/>
    <x v="2"/>
    <n v="65"/>
    <x v="101"/>
    <x v="0"/>
  </r>
  <r>
    <d v="2024-09-13T08:58:09"/>
    <x v="8"/>
    <s v="66.8380"/>
    <s v="-175.1681"/>
    <n v="113"/>
    <x v="0"/>
    <n v="28.9"/>
    <n v="56.3"/>
    <x v="1"/>
    <n v="22"/>
    <n v="417"/>
    <n v="6"/>
    <x v="1"/>
    <n v="60.8"/>
    <x v="184"/>
    <x v="0"/>
  </r>
  <r>
    <d v="2024-07-31T22:16:07"/>
    <x v="4"/>
    <s v="13.7736"/>
    <s v="12.9911"/>
    <n v="298"/>
    <x v="1"/>
    <n v="18.8"/>
    <n v="79.5"/>
    <x v="0"/>
    <n v="51"/>
    <n v="393"/>
    <n v="4"/>
    <x v="2"/>
    <n v="74.599999999999994"/>
    <x v="107"/>
    <x v="1"/>
  </r>
  <r>
    <d v="2024-11-25T22:59:58"/>
    <x v="6"/>
    <s v="-66.2696"/>
    <s v="-82.0579"/>
    <n v="184"/>
    <x v="2"/>
    <n v="26"/>
    <n v="59.6"/>
    <x v="1"/>
    <n v="34"/>
    <n v="235"/>
    <n v="6"/>
    <x v="3"/>
    <n v="66.7"/>
    <x v="186"/>
    <x v="0"/>
  </r>
  <r>
    <d v="2024-05-30T15:40:45"/>
    <x v="4"/>
    <s v="5.1238"/>
    <s v="-67.8583"/>
    <n v="298"/>
    <x v="2"/>
    <n v="18.899999999999999"/>
    <n v="65.900000000000006"/>
    <x v="0"/>
    <n v="41"/>
    <n v="269"/>
    <n v="2"/>
    <x v="0"/>
    <n v="64.8"/>
    <x v="162"/>
    <x v="1"/>
  </r>
  <r>
    <d v="2024-03-05T20:59:12"/>
    <x v="7"/>
    <s v="-85.8715"/>
    <s v="-162.7167"/>
    <n v="439"/>
    <x v="0"/>
    <n v="25.1"/>
    <n v="66.099999999999994"/>
    <x v="2"/>
    <n v="46"/>
    <n v="151"/>
    <n v="4"/>
    <x v="0"/>
    <n v="79.2"/>
    <x v="40"/>
    <x v="0"/>
  </r>
  <r>
    <d v="2024-08-20T15:30:04"/>
    <x v="7"/>
    <s v="86.2679"/>
    <s v="-50.7895"/>
    <n v="142"/>
    <x v="0"/>
    <n v="28"/>
    <n v="67.2"/>
    <x v="1"/>
    <n v="49"/>
    <n v="458"/>
    <n v="8"/>
    <x v="2"/>
    <n v="92.5"/>
    <x v="9"/>
    <x v="0"/>
  </r>
  <r>
    <d v="2024-09-19T12:19:09"/>
    <x v="1"/>
    <s v="21.3104"/>
    <s v="-80.5292"/>
    <n v="202"/>
    <x v="2"/>
    <n v="18.5"/>
    <n v="69.5"/>
    <x v="1"/>
    <n v="54"/>
    <n v="261"/>
    <n v="3"/>
    <x v="0"/>
    <n v="62.5"/>
    <x v="142"/>
    <x v="0"/>
  </r>
  <r>
    <d v="2024-03-02T15:37:45"/>
    <x v="7"/>
    <s v="-2.2841"/>
    <s v="23.4152"/>
    <n v="418"/>
    <x v="0"/>
    <n v="29.6"/>
    <n v="67.400000000000006"/>
    <x v="1"/>
    <n v="54"/>
    <n v="199"/>
    <n v="9"/>
    <x v="2"/>
    <n v="99.9"/>
    <x v="168"/>
    <x v="0"/>
  </r>
  <r>
    <d v="2024-02-24T23:02:05"/>
    <x v="4"/>
    <s v="-23.4709"/>
    <s v="54.5265"/>
    <n v="458"/>
    <x v="0"/>
    <n v="23.3"/>
    <n v="58.6"/>
    <x v="1"/>
    <n v="43"/>
    <n v="372"/>
    <n v="10"/>
    <x v="3"/>
    <n v="92.9"/>
    <x v="24"/>
    <x v="0"/>
  </r>
  <r>
    <d v="2024-03-05T11:20:37"/>
    <x v="6"/>
    <s v="44.5052"/>
    <s v="-178.7281"/>
    <n v="313"/>
    <x v="1"/>
    <n v="18.7"/>
    <n v="74.7"/>
    <x v="1"/>
    <n v="16"/>
    <n v="284"/>
    <n v="3"/>
    <x v="3"/>
    <n v="69"/>
    <x v="73"/>
    <x v="0"/>
  </r>
  <r>
    <d v="2024-03-04T23:34:51"/>
    <x v="3"/>
    <s v="-8.1413"/>
    <s v="92.8681"/>
    <n v="457"/>
    <x v="0"/>
    <n v="18.2"/>
    <n v="62.6"/>
    <x v="0"/>
    <n v="18"/>
    <n v="217"/>
    <n v="9"/>
    <x v="0"/>
    <n v="97.8"/>
    <x v="171"/>
    <x v="0"/>
  </r>
  <r>
    <d v="2024-06-30T04:33:59"/>
    <x v="5"/>
    <s v="0.7118"/>
    <s v="108.5142"/>
    <n v="298"/>
    <x v="2"/>
    <n v="27.8"/>
    <n v="76.900000000000006"/>
    <x v="1"/>
    <n v="18"/>
    <n v="414"/>
    <n v="5"/>
    <x v="0"/>
    <n v="72.2"/>
    <x v="172"/>
    <x v="0"/>
  </r>
  <r>
    <d v="2024-12-02T10:19:46"/>
    <x v="4"/>
    <s v="43.2255"/>
    <s v="-143.0415"/>
    <n v="106"/>
    <x v="0"/>
    <n v="23.7"/>
    <n v="74.7"/>
    <x v="1"/>
    <n v="14"/>
    <n v="442"/>
    <n v="4"/>
    <x v="3"/>
    <n v="83.6"/>
    <x v="110"/>
    <x v="0"/>
  </r>
  <r>
    <d v="2024-08-14T11:03:17"/>
    <x v="1"/>
    <s v="61.8047"/>
    <s v="-72.1219"/>
    <n v="293"/>
    <x v="2"/>
    <n v="28.5"/>
    <n v="59.3"/>
    <x v="2"/>
    <n v="50"/>
    <n v="168"/>
    <n v="4"/>
    <x v="1"/>
    <n v="67.2"/>
    <x v="171"/>
    <x v="1"/>
  </r>
  <r>
    <d v="2024-09-13T03:11:29"/>
    <x v="3"/>
    <s v="-42.6929"/>
    <s v="46.2525"/>
    <n v="301"/>
    <x v="0"/>
    <n v="19.2"/>
    <n v="57.6"/>
    <x v="1"/>
    <n v="16"/>
    <n v="256"/>
    <n v="6"/>
    <x v="0"/>
    <n v="65.400000000000006"/>
    <x v="161"/>
    <x v="0"/>
  </r>
  <r>
    <d v="2024-12-29T18:21:59"/>
    <x v="9"/>
    <s v="-78.0755"/>
    <s v="-11.8927"/>
    <n v="287"/>
    <x v="1"/>
    <n v="25.2"/>
    <n v="51.8"/>
    <x v="0"/>
    <n v="34"/>
    <n v="399"/>
    <n v="2"/>
    <x v="3"/>
    <n v="85"/>
    <x v="144"/>
    <x v="1"/>
  </r>
  <r>
    <d v="2024-11-19T13:53:15"/>
    <x v="8"/>
    <s v="65.5547"/>
    <s v="-128.3673"/>
    <n v="237"/>
    <x v="1"/>
    <n v="23.4"/>
    <n v="53.3"/>
    <x v="0"/>
    <n v="38"/>
    <n v="109"/>
    <n v="2"/>
    <x v="3"/>
    <n v="87.9"/>
    <x v="169"/>
    <x v="1"/>
  </r>
  <r>
    <d v="2024-05-27T07:26:13"/>
    <x v="9"/>
    <s v="-19.5574"/>
    <s v="-65.5493"/>
    <n v="258"/>
    <x v="1"/>
    <n v="25.2"/>
    <n v="67.599999999999994"/>
    <x v="2"/>
    <n v="32"/>
    <n v="484"/>
    <n v="7"/>
    <x v="2"/>
    <n v="98.8"/>
    <x v="117"/>
    <x v="1"/>
  </r>
  <r>
    <d v="2024-11-19T20:03:10"/>
    <x v="7"/>
    <s v="17.7083"/>
    <s v="-162.0043"/>
    <n v="480"/>
    <x v="1"/>
    <n v="27.1"/>
    <n v="76.3"/>
    <x v="1"/>
    <n v="22"/>
    <n v="497"/>
    <n v="9"/>
    <x v="2"/>
    <n v="74.900000000000006"/>
    <x v="39"/>
    <x v="0"/>
  </r>
  <r>
    <d v="2024-09-18T23:04:24"/>
    <x v="6"/>
    <s v="-52.1686"/>
    <s v="-175.6269"/>
    <n v="441"/>
    <x v="1"/>
    <n v="22.6"/>
    <n v="53.3"/>
    <x v="2"/>
    <n v="29"/>
    <n v="343"/>
    <n v="3"/>
    <x v="3"/>
    <n v="86.5"/>
    <x v="67"/>
    <x v="1"/>
  </r>
  <r>
    <d v="2024-12-16T02:17:00"/>
    <x v="1"/>
    <s v="-84.2375"/>
    <s v="76.9339"/>
    <n v="346"/>
    <x v="1"/>
    <n v="21.6"/>
    <n v="65.2"/>
    <x v="2"/>
    <n v="43"/>
    <n v="402"/>
    <n v="8"/>
    <x v="2"/>
    <n v="96.4"/>
    <x v="169"/>
    <x v="1"/>
  </r>
  <r>
    <d v="2024-09-29T19:01:01"/>
    <x v="5"/>
    <s v="-7.5990"/>
    <s v="-78.7489"/>
    <n v="205"/>
    <x v="1"/>
    <n v="23.6"/>
    <n v="76.2"/>
    <x v="1"/>
    <n v="41"/>
    <n v="324"/>
    <n v="2"/>
    <x v="0"/>
    <n v="73.8"/>
    <x v="187"/>
    <x v="0"/>
  </r>
  <r>
    <d v="2024-03-29T01:23:19"/>
    <x v="5"/>
    <s v="36.6210"/>
    <s v="97.2194"/>
    <n v="477"/>
    <x v="0"/>
    <n v="25.1"/>
    <n v="50.3"/>
    <x v="0"/>
    <n v="32"/>
    <n v="297"/>
    <n v="7"/>
    <x v="2"/>
    <n v="96.4"/>
    <x v="60"/>
    <x v="0"/>
  </r>
  <r>
    <d v="2024-07-26T10:09:34"/>
    <x v="3"/>
    <s v="-7.9899"/>
    <s v="-23.5723"/>
    <n v="355"/>
    <x v="0"/>
    <n v="19.8"/>
    <n v="60.9"/>
    <x v="2"/>
    <n v="24"/>
    <n v="226"/>
    <n v="9"/>
    <x v="1"/>
    <n v="62.8"/>
    <x v="68"/>
    <x v="0"/>
  </r>
  <r>
    <d v="2024-12-19T10:36:22"/>
    <x v="4"/>
    <s v="-68.5749"/>
    <s v="106.2112"/>
    <n v="148"/>
    <x v="2"/>
    <n v="23.3"/>
    <n v="59.1"/>
    <x v="0"/>
    <n v="53"/>
    <n v="161"/>
    <n v="10"/>
    <x v="1"/>
    <n v="65.7"/>
    <x v="5"/>
    <x v="1"/>
  </r>
  <r>
    <d v="2024-06-14T10:30:32"/>
    <x v="1"/>
    <s v="-86.6472"/>
    <s v="76.1641"/>
    <n v="190"/>
    <x v="0"/>
    <n v="27.8"/>
    <n v="62.2"/>
    <x v="0"/>
    <n v="41"/>
    <n v="238"/>
    <n v="2"/>
    <x v="0"/>
    <n v="90.2"/>
    <x v="62"/>
    <x v="0"/>
  </r>
  <r>
    <d v="2024-01-06T05:22:59"/>
    <x v="2"/>
    <s v="-20.0730"/>
    <s v="169.5863"/>
    <n v="356"/>
    <x v="0"/>
    <n v="24.8"/>
    <n v="70"/>
    <x v="0"/>
    <n v="37"/>
    <n v="345"/>
    <n v="3"/>
    <x v="2"/>
    <n v="84"/>
    <x v="69"/>
    <x v="0"/>
  </r>
  <r>
    <d v="2024-09-17T17:56:29"/>
    <x v="5"/>
    <s v="8.0303"/>
    <s v="137.6073"/>
    <n v="228"/>
    <x v="2"/>
    <n v="18.3"/>
    <n v="52.3"/>
    <x v="2"/>
    <n v="57"/>
    <n v="350"/>
    <n v="3"/>
    <x v="2"/>
    <n v="76.5"/>
    <x v="0"/>
    <x v="1"/>
  </r>
  <r>
    <d v="2024-12-29T17:13:45"/>
    <x v="1"/>
    <s v="-58.6706"/>
    <s v="162.7699"/>
    <n v="437"/>
    <x v="1"/>
    <n v="20.9"/>
    <n v="55.2"/>
    <x v="2"/>
    <n v="44"/>
    <n v="336"/>
    <n v="7"/>
    <x v="1"/>
    <n v="88.6"/>
    <x v="115"/>
    <x v="1"/>
  </r>
  <r>
    <d v="2024-11-30T16:53:31"/>
    <x v="2"/>
    <s v="63.6092"/>
    <s v="-40.4852"/>
    <n v="295"/>
    <x v="0"/>
    <n v="20.3"/>
    <n v="68.599999999999994"/>
    <x v="0"/>
    <n v="29"/>
    <n v="249"/>
    <n v="6"/>
    <x v="0"/>
    <n v="63.2"/>
    <x v="188"/>
    <x v="0"/>
  </r>
  <r>
    <d v="2024-10-20T11:54:15"/>
    <x v="7"/>
    <s v="69.9178"/>
    <s v="-25.7593"/>
    <n v="365"/>
    <x v="1"/>
    <n v="30"/>
    <n v="60"/>
    <x v="2"/>
    <n v="18"/>
    <n v="215"/>
    <n v="5"/>
    <x v="2"/>
    <n v="95.8"/>
    <x v="128"/>
    <x v="1"/>
  </r>
  <r>
    <d v="2024-06-08T16:49:23"/>
    <x v="2"/>
    <s v="27.3884"/>
    <s v="-85.6938"/>
    <n v="117"/>
    <x v="0"/>
    <n v="23.9"/>
    <n v="64.3"/>
    <x v="2"/>
    <n v="16"/>
    <n v="175"/>
    <n v="8"/>
    <x v="3"/>
    <n v="73.900000000000006"/>
    <x v="4"/>
    <x v="0"/>
  </r>
  <r>
    <d v="2024-09-11T09:02:01"/>
    <x v="1"/>
    <s v="5.5363"/>
    <s v="-6.3698"/>
    <n v="202"/>
    <x v="0"/>
    <n v="25.9"/>
    <n v="62.3"/>
    <x v="1"/>
    <n v="11"/>
    <n v="249"/>
    <n v="4"/>
    <x v="0"/>
    <n v="98"/>
    <x v="120"/>
    <x v="0"/>
  </r>
  <r>
    <d v="2024-11-08T14:19:44"/>
    <x v="2"/>
    <s v="-47.9174"/>
    <s v="-44.4673"/>
    <n v="408"/>
    <x v="0"/>
    <n v="29.9"/>
    <n v="58.9"/>
    <x v="1"/>
    <n v="25"/>
    <n v="390"/>
    <n v="8"/>
    <x v="0"/>
    <n v="61.5"/>
    <x v="83"/>
    <x v="0"/>
  </r>
  <r>
    <d v="2024-06-15T14:24:59"/>
    <x v="5"/>
    <s v="-58.2884"/>
    <s v="-53.9833"/>
    <n v="277"/>
    <x v="1"/>
    <n v="18.2"/>
    <n v="75.099999999999994"/>
    <x v="2"/>
    <n v="60"/>
    <n v="122"/>
    <n v="10"/>
    <x v="0"/>
    <n v="65"/>
    <x v="139"/>
    <x v="1"/>
  </r>
  <r>
    <d v="2024-05-16T01:51:29"/>
    <x v="2"/>
    <s v="44.4715"/>
    <s v="61.1203"/>
    <n v="430"/>
    <x v="0"/>
    <n v="25"/>
    <n v="53.4"/>
    <x v="0"/>
    <n v="30"/>
    <n v="251"/>
    <n v="4"/>
    <x v="3"/>
    <n v="77.599999999999994"/>
    <x v="114"/>
    <x v="0"/>
  </r>
  <r>
    <d v="2024-03-26T14:40:33"/>
    <x v="0"/>
    <s v="-73.5735"/>
    <s v="153.5290"/>
    <n v="451"/>
    <x v="0"/>
    <n v="21.3"/>
    <n v="67.2"/>
    <x v="0"/>
    <n v="24"/>
    <n v="187"/>
    <n v="8"/>
    <x v="0"/>
    <n v="69.3"/>
    <x v="152"/>
    <x v="0"/>
  </r>
  <r>
    <d v="2024-04-05T15:36:59"/>
    <x v="6"/>
    <s v="-39.3967"/>
    <s v="15.6452"/>
    <n v="421"/>
    <x v="2"/>
    <n v="26"/>
    <n v="78.099999999999994"/>
    <x v="1"/>
    <n v="29"/>
    <n v="379"/>
    <n v="5"/>
    <x v="2"/>
    <n v="81"/>
    <x v="115"/>
    <x v="0"/>
  </r>
  <r>
    <d v="2024-11-13T03:59:13"/>
    <x v="3"/>
    <s v="-46.8183"/>
    <s v="81.9142"/>
    <n v="175"/>
    <x v="1"/>
    <n v="29.6"/>
    <n v="66"/>
    <x v="2"/>
    <n v="34"/>
    <n v="467"/>
    <n v="9"/>
    <x v="1"/>
    <n v="98.3"/>
    <x v="30"/>
    <x v="1"/>
  </r>
  <r>
    <d v="2024-06-13T01:08:32"/>
    <x v="5"/>
    <s v="57.3299"/>
    <s v="-54.7962"/>
    <n v="357"/>
    <x v="1"/>
    <n v="27.4"/>
    <n v="55.5"/>
    <x v="0"/>
    <n v="43"/>
    <n v="207"/>
    <n v="2"/>
    <x v="1"/>
    <n v="60.5"/>
    <x v="102"/>
    <x v="1"/>
  </r>
  <r>
    <d v="2024-01-21T09:04:01"/>
    <x v="3"/>
    <s v="86.1935"/>
    <s v="59.4987"/>
    <n v="419"/>
    <x v="2"/>
    <n v="26.5"/>
    <n v="56.2"/>
    <x v="0"/>
    <n v="15"/>
    <n v="277"/>
    <n v="2"/>
    <x v="1"/>
    <n v="68.3"/>
    <x v="135"/>
    <x v="1"/>
  </r>
  <r>
    <d v="2024-10-05T14:23:31"/>
    <x v="0"/>
    <s v="59.8543"/>
    <s v="-132.3865"/>
    <n v="455"/>
    <x v="2"/>
    <n v="19.8"/>
    <n v="67.599999999999994"/>
    <x v="2"/>
    <n v="22"/>
    <n v="301"/>
    <n v="3"/>
    <x v="2"/>
    <n v="68.2"/>
    <x v="61"/>
    <x v="1"/>
  </r>
  <r>
    <d v="2024-04-21T07:25:56"/>
    <x v="5"/>
    <s v="-41.7908"/>
    <s v="84.2001"/>
    <n v="438"/>
    <x v="0"/>
    <n v="24.3"/>
    <n v="78.8"/>
    <x v="0"/>
    <n v="33"/>
    <n v="322"/>
    <n v="7"/>
    <x v="1"/>
    <n v="79"/>
    <x v="8"/>
    <x v="0"/>
  </r>
  <r>
    <d v="2024-04-24T22:27:28"/>
    <x v="1"/>
    <s v="-3.7401"/>
    <s v="43.2693"/>
    <n v="497"/>
    <x v="1"/>
    <n v="28.2"/>
    <n v="68.2"/>
    <x v="0"/>
    <n v="47"/>
    <n v="184"/>
    <n v="6"/>
    <x v="2"/>
    <n v="63.8"/>
    <x v="164"/>
    <x v="1"/>
  </r>
  <r>
    <d v="2024-02-10T07:01:26"/>
    <x v="6"/>
    <s v="-27.0196"/>
    <s v="-24.0810"/>
    <n v="410"/>
    <x v="1"/>
    <n v="29.8"/>
    <n v="76.2"/>
    <x v="0"/>
    <n v="52"/>
    <n v="152"/>
    <n v="2"/>
    <x v="3"/>
    <n v="76.599999999999994"/>
    <x v="96"/>
    <x v="1"/>
  </r>
  <r>
    <d v="2024-09-26T16:59:08"/>
    <x v="0"/>
    <s v="-53.7107"/>
    <s v="-60.5951"/>
    <n v="306"/>
    <x v="2"/>
    <n v="21.5"/>
    <n v="78.5"/>
    <x v="2"/>
    <n v="48"/>
    <n v="317"/>
    <n v="7"/>
    <x v="1"/>
    <n v="92.8"/>
    <x v="14"/>
    <x v="1"/>
  </r>
  <r>
    <d v="2024-08-09T14:23:12"/>
    <x v="7"/>
    <s v="65.9866"/>
    <s v="135.5421"/>
    <n v="209"/>
    <x v="0"/>
    <n v="18.600000000000001"/>
    <n v="69.599999999999994"/>
    <x v="1"/>
    <n v="50"/>
    <n v="357"/>
    <n v="10"/>
    <x v="2"/>
    <n v="92.9"/>
    <x v="76"/>
    <x v="0"/>
  </r>
  <r>
    <d v="2024-01-05T21:06:52"/>
    <x v="4"/>
    <s v="-77.8133"/>
    <s v="-89.1179"/>
    <n v="155"/>
    <x v="0"/>
    <n v="30"/>
    <n v="64.5"/>
    <x v="0"/>
    <n v="33"/>
    <n v="342"/>
    <n v="6"/>
    <x v="1"/>
    <n v="88.2"/>
    <x v="127"/>
    <x v="0"/>
  </r>
  <r>
    <d v="2024-11-30T06:40:13"/>
    <x v="7"/>
    <s v="22.3036"/>
    <s v="59.4689"/>
    <n v="318"/>
    <x v="0"/>
    <n v="25.8"/>
    <n v="79.5"/>
    <x v="0"/>
    <n v="11"/>
    <n v="161"/>
    <n v="10"/>
    <x v="0"/>
    <n v="90"/>
    <x v="117"/>
    <x v="0"/>
  </r>
  <r>
    <d v="2024-09-11T08:19:18"/>
    <x v="3"/>
    <s v="-10.2023"/>
    <s v="76.7946"/>
    <n v="422"/>
    <x v="2"/>
    <n v="23.8"/>
    <n v="62.4"/>
    <x v="2"/>
    <n v="10"/>
    <n v="158"/>
    <n v="4"/>
    <x v="2"/>
    <n v="84.7"/>
    <x v="109"/>
    <x v="1"/>
  </r>
  <r>
    <d v="2024-10-05T23:57:35"/>
    <x v="5"/>
    <s v="-9.1011"/>
    <s v="102.9819"/>
    <n v="450"/>
    <x v="1"/>
    <n v="22.8"/>
    <n v="58.7"/>
    <x v="0"/>
    <n v="45"/>
    <n v="421"/>
    <n v="9"/>
    <x v="0"/>
    <n v="90"/>
    <x v="28"/>
    <x v="1"/>
  </r>
  <r>
    <d v="2024-10-15T14:03:52"/>
    <x v="4"/>
    <s v="-85.2973"/>
    <s v="149.0859"/>
    <n v="221"/>
    <x v="2"/>
    <n v="21.6"/>
    <n v="67.7"/>
    <x v="1"/>
    <n v="39"/>
    <n v="430"/>
    <n v="6"/>
    <x v="2"/>
    <n v="71.900000000000006"/>
    <x v="137"/>
    <x v="0"/>
  </r>
  <r>
    <d v="2024-07-04T09:22:46"/>
    <x v="0"/>
    <s v="-13.1977"/>
    <s v="107.4226"/>
    <n v="271"/>
    <x v="2"/>
    <n v="18.7"/>
    <n v="75.400000000000006"/>
    <x v="2"/>
    <n v="37"/>
    <n v="210"/>
    <n v="10"/>
    <x v="2"/>
    <n v="72"/>
    <x v="177"/>
    <x v="1"/>
  </r>
  <r>
    <d v="2024-08-21T17:20:39"/>
    <x v="4"/>
    <s v="-77.3270"/>
    <s v="-33.6001"/>
    <n v="402"/>
    <x v="0"/>
    <n v="18.7"/>
    <n v="59.6"/>
    <x v="0"/>
    <n v="16"/>
    <n v="454"/>
    <n v="1"/>
    <x v="2"/>
    <n v="62.9"/>
    <x v="88"/>
    <x v="0"/>
  </r>
  <r>
    <d v="2024-07-03T06:32:35"/>
    <x v="9"/>
    <s v="-36.3388"/>
    <s v="69.5488"/>
    <n v="119"/>
    <x v="1"/>
    <n v="24.4"/>
    <n v="68.2"/>
    <x v="1"/>
    <n v="60"/>
    <n v="125"/>
    <n v="3"/>
    <x v="0"/>
    <n v="81.599999999999994"/>
    <x v="17"/>
    <x v="0"/>
  </r>
  <r>
    <d v="2024-02-20T17:37:42"/>
    <x v="1"/>
    <s v="-35.4951"/>
    <s v="105.3877"/>
    <n v="385"/>
    <x v="2"/>
    <n v="26.1"/>
    <n v="68.3"/>
    <x v="2"/>
    <n v="38"/>
    <n v="114"/>
    <n v="6"/>
    <x v="1"/>
    <n v="64.599999999999994"/>
    <x v="189"/>
    <x v="1"/>
  </r>
  <r>
    <d v="2024-05-25T03:48:33"/>
    <x v="4"/>
    <s v="-50.7255"/>
    <s v="49.2993"/>
    <n v="443"/>
    <x v="2"/>
    <n v="23.6"/>
    <n v="66.599999999999994"/>
    <x v="0"/>
    <n v="42"/>
    <n v="333"/>
    <n v="9"/>
    <x v="2"/>
    <n v="93.1"/>
    <x v="47"/>
    <x v="1"/>
  </r>
  <r>
    <d v="2024-05-28T16:24:39"/>
    <x v="4"/>
    <s v="-85.6005"/>
    <s v="35.8883"/>
    <n v="271"/>
    <x v="1"/>
    <n v="23.6"/>
    <n v="74.2"/>
    <x v="2"/>
    <n v="30"/>
    <n v="214"/>
    <n v="5"/>
    <x v="2"/>
    <n v="72.099999999999994"/>
    <x v="165"/>
    <x v="1"/>
  </r>
  <r>
    <d v="2024-09-07T10:37:29"/>
    <x v="7"/>
    <s v="-15.3475"/>
    <s v="13.3516"/>
    <n v="133"/>
    <x v="0"/>
    <n v="29.4"/>
    <n v="51.6"/>
    <x v="2"/>
    <n v="31"/>
    <n v="485"/>
    <n v="3"/>
    <x v="1"/>
    <n v="90.1"/>
    <x v="67"/>
    <x v="0"/>
  </r>
  <r>
    <d v="2024-08-20T15:07:20"/>
    <x v="4"/>
    <s v="36.4573"/>
    <s v="-60.8255"/>
    <n v="388"/>
    <x v="0"/>
    <n v="23.1"/>
    <n v="64.8"/>
    <x v="0"/>
    <n v="23"/>
    <n v="329"/>
    <n v="1"/>
    <x v="3"/>
    <n v="89.2"/>
    <x v="92"/>
    <x v="0"/>
  </r>
  <r>
    <d v="2024-11-11T19:15:19"/>
    <x v="9"/>
    <s v="40.9268"/>
    <s v="-145.2990"/>
    <n v="429"/>
    <x v="1"/>
    <n v="20.9"/>
    <n v="68"/>
    <x v="1"/>
    <n v="50"/>
    <n v="196"/>
    <n v="10"/>
    <x v="3"/>
    <n v="72.900000000000006"/>
    <x v="43"/>
    <x v="0"/>
  </r>
  <r>
    <d v="2024-05-27T08:38:06"/>
    <x v="1"/>
    <s v="-66.0724"/>
    <s v="48.2597"/>
    <n v="145"/>
    <x v="2"/>
    <n v="18.8"/>
    <n v="62.6"/>
    <x v="0"/>
    <n v="14"/>
    <n v="408"/>
    <n v="9"/>
    <x v="1"/>
    <n v="81.3"/>
    <x v="72"/>
    <x v="1"/>
  </r>
  <r>
    <d v="2024-04-05T18:56:43"/>
    <x v="9"/>
    <s v="24.1971"/>
    <s v="18.6930"/>
    <n v="135"/>
    <x v="2"/>
    <n v="20.100000000000001"/>
    <n v="53.8"/>
    <x v="0"/>
    <n v="21"/>
    <n v="108"/>
    <n v="10"/>
    <x v="2"/>
    <n v="92"/>
    <x v="68"/>
    <x v="1"/>
  </r>
  <r>
    <d v="2024-07-23T15:08:30"/>
    <x v="8"/>
    <s v="46.8609"/>
    <s v="37.8235"/>
    <n v="442"/>
    <x v="0"/>
    <n v="22.2"/>
    <n v="65.400000000000006"/>
    <x v="0"/>
    <n v="33"/>
    <n v="492"/>
    <n v="5"/>
    <x v="1"/>
    <n v="86.4"/>
    <x v="113"/>
    <x v="0"/>
  </r>
  <r>
    <d v="2024-03-04T09:24:45"/>
    <x v="2"/>
    <s v="-56.7854"/>
    <s v="25.8691"/>
    <n v="342"/>
    <x v="2"/>
    <n v="27.2"/>
    <n v="55.1"/>
    <x v="1"/>
    <n v="22"/>
    <n v="326"/>
    <n v="2"/>
    <x v="0"/>
    <n v="64.400000000000006"/>
    <x v="167"/>
    <x v="0"/>
  </r>
  <r>
    <d v="2024-01-03T12:49:48"/>
    <x v="2"/>
    <s v="-35.4329"/>
    <s v="9.9153"/>
    <n v="308"/>
    <x v="0"/>
    <n v="25.2"/>
    <n v="52.5"/>
    <x v="1"/>
    <n v="19"/>
    <n v="475"/>
    <n v="8"/>
    <x v="3"/>
    <n v="95"/>
    <x v="8"/>
    <x v="0"/>
  </r>
  <r>
    <d v="2024-04-05T20:20:25"/>
    <x v="0"/>
    <s v="63.6965"/>
    <s v="-131.1519"/>
    <n v="358"/>
    <x v="0"/>
    <n v="21.6"/>
    <n v="61.7"/>
    <x v="2"/>
    <n v="23"/>
    <n v="127"/>
    <n v="6"/>
    <x v="0"/>
    <n v="85.7"/>
    <x v="171"/>
    <x v="0"/>
  </r>
  <r>
    <d v="2024-05-08T10:09:06"/>
    <x v="1"/>
    <s v="-43.4171"/>
    <s v="160.8423"/>
    <n v="128"/>
    <x v="0"/>
    <n v="23"/>
    <n v="69.7"/>
    <x v="2"/>
    <n v="30"/>
    <n v="462"/>
    <n v="8"/>
    <x v="0"/>
    <n v="76.7"/>
    <x v="73"/>
    <x v="0"/>
  </r>
  <r>
    <d v="2024-07-07T19:49:15"/>
    <x v="5"/>
    <s v="-82.7058"/>
    <s v="-62.7040"/>
    <n v="426"/>
    <x v="0"/>
    <n v="24.2"/>
    <n v="75.7"/>
    <x v="2"/>
    <n v="51"/>
    <n v="303"/>
    <n v="10"/>
    <x v="3"/>
    <n v="94.1"/>
    <x v="3"/>
    <x v="0"/>
  </r>
  <r>
    <d v="2024-11-26T22:45:24"/>
    <x v="1"/>
    <s v="-75.3211"/>
    <s v="-58.7749"/>
    <n v="349"/>
    <x v="2"/>
    <n v="21.1"/>
    <n v="54.1"/>
    <x v="0"/>
    <n v="47"/>
    <n v="290"/>
    <n v="5"/>
    <x v="0"/>
    <n v="70.400000000000006"/>
    <x v="81"/>
    <x v="1"/>
  </r>
  <r>
    <d v="2024-01-04T03:12:31"/>
    <x v="4"/>
    <s v="-50.7085"/>
    <s v="-85.4515"/>
    <n v="173"/>
    <x v="1"/>
    <n v="23.1"/>
    <n v="56"/>
    <x v="1"/>
    <n v="50"/>
    <n v="440"/>
    <n v="3"/>
    <x v="3"/>
    <n v="73.400000000000006"/>
    <x v="46"/>
    <x v="0"/>
  </r>
  <r>
    <d v="2024-07-31T14:59:23"/>
    <x v="2"/>
    <s v="70.7101"/>
    <s v="-175.9865"/>
    <n v="184"/>
    <x v="0"/>
    <n v="24.5"/>
    <n v="54.9"/>
    <x v="0"/>
    <n v="23"/>
    <n v="159"/>
    <n v="7"/>
    <x v="2"/>
    <n v="60.2"/>
    <x v="177"/>
    <x v="0"/>
  </r>
  <r>
    <d v="2024-05-23T23:23:37"/>
    <x v="8"/>
    <s v="-71.1004"/>
    <s v="-147.7570"/>
    <n v="318"/>
    <x v="0"/>
    <n v="25.5"/>
    <n v="64.3"/>
    <x v="1"/>
    <n v="15"/>
    <n v="215"/>
    <n v="8"/>
    <x v="2"/>
    <n v="69.099999999999994"/>
    <x v="124"/>
    <x v="0"/>
  </r>
  <r>
    <d v="2024-07-04T00:05:02"/>
    <x v="7"/>
    <s v="-76.8972"/>
    <s v="-3.6358"/>
    <n v="288"/>
    <x v="2"/>
    <n v="24.7"/>
    <n v="67.400000000000006"/>
    <x v="0"/>
    <n v="37"/>
    <n v="230"/>
    <n v="7"/>
    <x v="3"/>
    <n v="65"/>
    <x v="155"/>
    <x v="1"/>
  </r>
  <r>
    <d v="2024-08-18T23:25:47"/>
    <x v="1"/>
    <s v="39.7998"/>
    <s v="58.7461"/>
    <n v="317"/>
    <x v="2"/>
    <n v="18.5"/>
    <n v="66"/>
    <x v="1"/>
    <n v="36"/>
    <n v="465"/>
    <n v="1"/>
    <x v="3"/>
    <n v="68"/>
    <x v="183"/>
    <x v="0"/>
  </r>
  <r>
    <d v="2024-10-23T15:20:16"/>
    <x v="0"/>
    <s v="78.5954"/>
    <s v="-173.0016"/>
    <n v="122"/>
    <x v="1"/>
    <n v="26.7"/>
    <n v="73.2"/>
    <x v="2"/>
    <n v="37"/>
    <n v="128"/>
    <n v="9"/>
    <x v="0"/>
    <n v="81.400000000000006"/>
    <x v="1"/>
    <x v="1"/>
  </r>
  <r>
    <d v="2024-07-02T16:40:43"/>
    <x v="4"/>
    <s v="-53.5264"/>
    <s v="13.0019"/>
    <n v="291"/>
    <x v="2"/>
    <n v="24.2"/>
    <n v="67"/>
    <x v="1"/>
    <n v="29"/>
    <n v="431"/>
    <n v="9"/>
    <x v="2"/>
    <n v="90.1"/>
    <x v="67"/>
    <x v="0"/>
  </r>
  <r>
    <d v="2024-01-10T16:52:14"/>
    <x v="9"/>
    <s v="49.3049"/>
    <s v="-55.6493"/>
    <n v="199"/>
    <x v="2"/>
    <n v="23.4"/>
    <n v="64.400000000000006"/>
    <x v="1"/>
    <n v="59"/>
    <n v="476"/>
    <n v="10"/>
    <x v="2"/>
    <n v="81.3"/>
    <x v="43"/>
    <x v="0"/>
  </r>
  <r>
    <d v="2024-10-25T16:02:14"/>
    <x v="6"/>
    <s v="72.9981"/>
    <s v="12.4029"/>
    <n v="488"/>
    <x v="2"/>
    <n v="21.9"/>
    <n v="75.8"/>
    <x v="0"/>
    <n v="30"/>
    <n v="147"/>
    <n v="3"/>
    <x v="3"/>
    <n v="81.599999999999994"/>
    <x v="27"/>
    <x v="1"/>
  </r>
  <r>
    <d v="2024-02-27T21:46:02"/>
    <x v="9"/>
    <s v="80.4177"/>
    <s v="-39.9632"/>
    <n v="445"/>
    <x v="0"/>
    <n v="20.6"/>
    <n v="68.2"/>
    <x v="2"/>
    <n v="41"/>
    <n v="418"/>
    <n v="9"/>
    <x v="0"/>
    <n v="93.6"/>
    <x v="101"/>
    <x v="0"/>
  </r>
  <r>
    <d v="2024-08-06T04:29:22"/>
    <x v="5"/>
    <s v="-51.0247"/>
    <s v="1.8063"/>
    <n v="247"/>
    <x v="0"/>
    <n v="19.3"/>
    <n v="62.9"/>
    <x v="2"/>
    <n v="55"/>
    <n v="466"/>
    <n v="2"/>
    <x v="1"/>
    <n v="78"/>
    <x v="39"/>
    <x v="0"/>
  </r>
  <r>
    <d v="2024-09-09T18:54:20"/>
    <x v="4"/>
    <s v="5.2922"/>
    <s v="172.6376"/>
    <n v="351"/>
    <x v="1"/>
    <n v="29.7"/>
    <n v="52.1"/>
    <x v="2"/>
    <n v="41"/>
    <n v="330"/>
    <n v="8"/>
    <x v="1"/>
    <n v="94.5"/>
    <x v="179"/>
    <x v="1"/>
  </r>
  <r>
    <d v="2024-01-21T12:56:09"/>
    <x v="9"/>
    <s v="54.3099"/>
    <s v="-98.9410"/>
    <n v="311"/>
    <x v="0"/>
    <n v="28.9"/>
    <n v="77.8"/>
    <x v="1"/>
    <n v="43"/>
    <n v="415"/>
    <n v="1"/>
    <x v="3"/>
    <n v="76.400000000000006"/>
    <x v="190"/>
    <x v="0"/>
  </r>
  <r>
    <d v="2024-10-23T21:11:00"/>
    <x v="8"/>
    <s v="-3.8161"/>
    <s v="-159.7257"/>
    <n v="495"/>
    <x v="2"/>
    <n v="29.5"/>
    <n v="50.6"/>
    <x v="0"/>
    <n v="58"/>
    <n v="179"/>
    <n v="3"/>
    <x v="3"/>
    <n v="72.3"/>
    <x v="69"/>
    <x v="1"/>
  </r>
  <r>
    <d v="2024-03-22T03:06:23"/>
    <x v="7"/>
    <s v="-69.8431"/>
    <s v="-171.5361"/>
    <n v="237"/>
    <x v="1"/>
    <n v="23.6"/>
    <n v="62.7"/>
    <x v="0"/>
    <n v="35"/>
    <n v="323"/>
    <n v="9"/>
    <x v="1"/>
    <n v="66.8"/>
    <x v="58"/>
    <x v="1"/>
  </r>
  <r>
    <d v="2024-09-07T01:58:48"/>
    <x v="5"/>
    <s v="9.3528"/>
    <s v="120.0011"/>
    <n v="290"/>
    <x v="2"/>
    <n v="28.7"/>
    <n v="72.599999999999994"/>
    <x v="2"/>
    <n v="45"/>
    <n v="151"/>
    <n v="8"/>
    <x v="2"/>
    <n v="81.7"/>
    <x v="135"/>
    <x v="1"/>
  </r>
  <r>
    <d v="2024-02-13T05:24:13"/>
    <x v="5"/>
    <s v="-74.3396"/>
    <s v="-150.6339"/>
    <n v="111"/>
    <x v="0"/>
    <n v="22.7"/>
    <n v="75.599999999999994"/>
    <x v="2"/>
    <n v="47"/>
    <n v="207"/>
    <n v="4"/>
    <x v="0"/>
    <n v="60.4"/>
    <x v="120"/>
    <x v="0"/>
  </r>
  <r>
    <d v="2024-01-30T15:36:36"/>
    <x v="5"/>
    <s v="-62.0623"/>
    <s v="133.8872"/>
    <n v="373"/>
    <x v="0"/>
    <n v="27.6"/>
    <n v="65.8"/>
    <x v="1"/>
    <n v="23"/>
    <n v="396"/>
    <n v="1"/>
    <x v="2"/>
    <n v="79.3"/>
    <x v="105"/>
    <x v="0"/>
  </r>
  <r>
    <d v="2024-03-06T06:10:28"/>
    <x v="2"/>
    <s v="-53.1354"/>
    <s v="-164.4880"/>
    <n v="458"/>
    <x v="1"/>
    <n v="25.5"/>
    <n v="52.1"/>
    <x v="0"/>
    <n v="32"/>
    <n v="183"/>
    <n v="6"/>
    <x v="1"/>
    <n v="93.5"/>
    <x v="44"/>
    <x v="1"/>
  </r>
  <r>
    <d v="2024-10-31T07:46:12"/>
    <x v="4"/>
    <s v="85.0389"/>
    <s v="-138.3248"/>
    <n v="354"/>
    <x v="1"/>
    <n v="24.7"/>
    <n v="64.099999999999994"/>
    <x v="0"/>
    <n v="15"/>
    <n v="298"/>
    <n v="4"/>
    <x v="3"/>
    <n v="71.900000000000006"/>
    <x v="125"/>
    <x v="1"/>
  </r>
  <r>
    <d v="2024-06-21T10:02:05"/>
    <x v="7"/>
    <s v="48.9598"/>
    <s v="-160.9134"/>
    <n v="165"/>
    <x v="0"/>
    <n v="28.8"/>
    <n v="51.6"/>
    <x v="1"/>
    <n v="49"/>
    <n v="410"/>
    <n v="8"/>
    <x v="3"/>
    <n v="88.4"/>
    <x v="178"/>
    <x v="0"/>
  </r>
  <r>
    <d v="2024-07-25T17:59:38"/>
    <x v="6"/>
    <s v="44.3639"/>
    <s v="134.3967"/>
    <n v="471"/>
    <x v="0"/>
    <n v="19.8"/>
    <n v="55.2"/>
    <x v="2"/>
    <n v="36"/>
    <n v="369"/>
    <n v="6"/>
    <x v="3"/>
    <n v="94.7"/>
    <x v="39"/>
    <x v="0"/>
  </r>
  <r>
    <d v="2024-02-21T22:00:35"/>
    <x v="6"/>
    <s v="-33.1628"/>
    <s v="143.5570"/>
    <n v="410"/>
    <x v="2"/>
    <n v="27.5"/>
    <n v="58.5"/>
    <x v="0"/>
    <n v="21"/>
    <n v="439"/>
    <n v="9"/>
    <x v="3"/>
    <n v="72.400000000000006"/>
    <x v="59"/>
    <x v="1"/>
  </r>
  <r>
    <d v="2024-06-22T06:59:47"/>
    <x v="6"/>
    <s v="-61.1518"/>
    <s v="140.8152"/>
    <n v="407"/>
    <x v="1"/>
    <n v="19.899999999999999"/>
    <n v="50.7"/>
    <x v="1"/>
    <n v="55"/>
    <n v="421"/>
    <n v="1"/>
    <x v="3"/>
    <n v="87.2"/>
    <x v="134"/>
    <x v="0"/>
  </r>
  <r>
    <d v="2024-02-09T21:00:56"/>
    <x v="2"/>
    <s v="-87.8115"/>
    <s v="97.0492"/>
    <n v="134"/>
    <x v="2"/>
    <n v="19.5"/>
    <n v="75.3"/>
    <x v="2"/>
    <n v="45"/>
    <n v="424"/>
    <n v="6"/>
    <x v="1"/>
    <n v="80.900000000000006"/>
    <x v="45"/>
    <x v="1"/>
  </r>
  <r>
    <d v="2024-12-16T00:30:52"/>
    <x v="2"/>
    <s v="-48.3575"/>
    <s v="115.8351"/>
    <n v="394"/>
    <x v="0"/>
    <n v="26.9"/>
    <n v="62.1"/>
    <x v="0"/>
    <n v="29"/>
    <n v="419"/>
    <n v="10"/>
    <x v="0"/>
    <n v="90.7"/>
    <x v="138"/>
    <x v="0"/>
  </r>
  <r>
    <d v="2024-03-22T23:53:31"/>
    <x v="2"/>
    <s v="-59.5674"/>
    <s v="11.3653"/>
    <n v="480"/>
    <x v="0"/>
    <n v="23.9"/>
    <n v="57.9"/>
    <x v="1"/>
    <n v="57"/>
    <n v="204"/>
    <n v="6"/>
    <x v="0"/>
    <n v="62.3"/>
    <x v="157"/>
    <x v="0"/>
  </r>
  <r>
    <d v="2024-07-26T08:02:20"/>
    <x v="0"/>
    <s v="-37.2055"/>
    <s v="79.4485"/>
    <n v="159"/>
    <x v="1"/>
    <n v="25.6"/>
    <n v="76.599999999999994"/>
    <x v="2"/>
    <n v="25"/>
    <n v="213"/>
    <n v="5"/>
    <x v="1"/>
    <n v="82.2"/>
    <x v="191"/>
    <x v="1"/>
  </r>
  <r>
    <d v="2024-04-11T04:50:12"/>
    <x v="6"/>
    <s v="38.1095"/>
    <s v="164.7654"/>
    <n v="131"/>
    <x v="0"/>
    <n v="19.100000000000001"/>
    <n v="73.3"/>
    <x v="1"/>
    <n v="10"/>
    <n v="353"/>
    <n v="3"/>
    <x v="1"/>
    <n v="89.4"/>
    <x v="96"/>
    <x v="0"/>
  </r>
  <r>
    <d v="2024-05-31T15:07:16"/>
    <x v="9"/>
    <s v="-20.0991"/>
    <s v="20.1825"/>
    <n v="224"/>
    <x v="0"/>
    <n v="20.2"/>
    <n v="58.9"/>
    <x v="1"/>
    <n v="34"/>
    <n v="166"/>
    <n v="6"/>
    <x v="3"/>
    <n v="84.6"/>
    <x v="73"/>
    <x v="0"/>
  </r>
  <r>
    <d v="2024-04-12T15:44:47"/>
    <x v="2"/>
    <s v="89.3898"/>
    <s v="-93.1034"/>
    <n v="120"/>
    <x v="2"/>
    <n v="22.6"/>
    <n v="56.4"/>
    <x v="2"/>
    <n v="60"/>
    <n v="151"/>
    <n v="9"/>
    <x v="1"/>
    <n v="69.900000000000006"/>
    <x v="192"/>
    <x v="1"/>
  </r>
  <r>
    <d v="2024-03-14T18:05:27"/>
    <x v="4"/>
    <s v="85.8393"/>
    <s v="74.4208"/>
    <n v="321"/>
    <x v="0"/>
    <n v="30"/>
    <n v="75.400000000000006"/>
    <x v="1"/>
    <n v="14"/>
    <n v="391"/>
    <n v="1"/>
    <x v="0"/>
    <n v="67.3"/>
    <x v="72"/>
    <x v="0"/>
  </r>
  <r>
    <d v="2024-08-09T21:10:15"/>
    <x v="9"/>
    <s v="29.5637"/>
    <s v="-162.3390"/>
    <n v="238"/>
    <x v="2"/>
    <n v="26.6"/>
    <n v="50.9"/>
    <x v="1"/>
    <n v="59"/>
    <n v="160"/>
    <n v="1"/>
    <x v="3"/>
    <n v="76.8"/>
    <x v="81"/>
    <x v="0"/>
  </r>
  <r>
    <d v="2024-09-18T10:59:43"/>
    <x v="9"/>
    <s v="13.5274"/>
    <s v="-108.9153"/>
    <n v="297"/>
    <x v="1"/>
    <n v="18.100000000000001"/>
    <n v="77.3"/>
    <x v="2"/>
    <n v="22"/>
    <n v="376"/>
    <n v="10"/>
    <x v="0"/>
    <n v="80.2"/>
    <x v="173"/>
    <x v="1"/>
  </r>
  <r>
    <d v="2024-03-13T21:43:28"/>
    <x v="5"/>
    <s v="49.8896"/>
    <s v="46.7765"/>
    <n v="219"/>
    <x v="2"/>
    <n v="22.3"/>
    <n v="56.9"/>
    <x v="1"/>
    <n v="44"/>
    <n v="144"/>
    <n v="8"/>
    <x v="0"/>
    <n v="62.2"/>
    <x v="149"/>
    <x v="0"/>
  </r>
  <r>
    <d v="2024-08-17T04:39:18"/>
    <x v="7"/>
    <s v="61.9951"/>
    <s v="28.0639"/>
    <n v="204"/>
    <x v="1"/>
    <n v="29.8"/>
    <n v="58.9"/>
    <x v="1"/>
    <n v="10"/>
    <n v="484"/>
    <n v="3"/>
    <x v="1"/>
    <n v="93"/>
    <x v="11"/>
    <x v="0"/>
  </r>
  <r>
    <d v="2024-01-31T00:01:35"/>
    <x v="9"/>
    <s v="88.3545"/>
    <s v="123.8561"/>
    <n v="469"/>
    <x v="1"/>
    <n v="21.5"/>
    <n v="52.2"/>
    <x v="1"/>
    <n v="56"/>
    <n v="405"/>
    <n v="10"/>
    <x v="1"/>
    <n v="95.5"/>
    <x v="22"/>
    <x v="0"/>
  </r>
  <r>
    <d v="2024-02-27T17:30:37"/>
    <x v="3"/>
    <s v="-1.4258"/>
    <s v="112.8174"/>
    <n v="146"/>
    <x v="0"/>
    <n v="24.2"/>
    <n v="72.400000000000006"/>
    <x v="2"/>
    <n v="22"/>
    <n v="321"/>
    <n v="9"/>
    <x v="3"/>
    <n v="88.2"/>
    <x v="189"/>
    <x v="0"/>
  </r>
  <r>
    <d v="2024-09-22T00:34:04"/>
    <x v="7"/>
    <s v="-18.3801"/>
    <s v="-175.0496"/>
    <n v="215"/>
    <x v="2"/>
    <n v="18.899999999999999"/>
    <n v="63.4"/>
    <x v="1"/>
    <n v="57"/>
    <n v="382"/>
    <n v="4"/>
    <x v="1"/>
    <n v="71.2"/>
    <x v="88"/>
    <x v="0"/>
  </r>
  <r>
    <d v="2024-10-03T07:58:45"/>
    <x v="7"/>
    <s v="72.6206"/>
    <s v="46.1393"/>
    <n v="454"/>
    <x v="1"/>
    <n v="22.8"/>
    <n v="73.3"/>
    <x v="1"/>
    <n v="45"/>
    <n v="276"/>
    <n v="5"/>
    <x v="1"/>
    <n v="87.4"/>
    <x v="35"/>
    <x v="0"/>
  </r>
  <r>
    <d v="2024-08-14T19:26:01"/>
    <x v="4"/>
    <s v="-10.0844"/>
    <s v="-0.6042"/>
    <n v="145"/>
    <x v="2"/>
    <n v="29.2"/>
    <n v="67.3"/>
    <x v="2"/>
    <n v="36"/>
    <n v="230"/>
    <n v="4"/>
    <x v="2"/>
    <n v="85.3"/>
    <x v="141"/>
    <x v="1"/>
  </r>
  <r>
    <d v="2024-12-24T21:30:03"/>
    <x v="2"/>
    <s v="73.6225"/>
    <s v="125.9589"/>
    <n v="410"/>
    <x v="2"/>
    <n v="18.8"/>
    <n v="78"/>
    <x v="1"/>
    <n v="35"/>
    <n v="228"/>
    <n v="2"/>
    <x v="3"/>
    <n v="92.1"/>
    <x v="102"/>
    <x v="0"/>
  </r>
  <r>
    <d v="2024-07-16T21:14:02"/>
    <x v="4"/>
    <s v="-67.5109"/>
    <s v="-162.0537"/>
    <n v="350"/>
    <x v="0"/>
    <n v="21.8"/>
    <n v="60.4"/>
    <x v="2"/>
    <n v="15"/>
    <n v="238"/>
    <n v="3"/>
    <x v="1"/>
    <n v="81.099999999999994"/>
    <x v="167"/>
    <x v="0"/>
  </r>
  <r>
    <d v="2024-12-01T17:38:54"/>
    <x v="9"/>
    <s v="-4.4200"/>
    <s v="-44.1619"/>
    <n v="474"/>
    <x v="0"/>
    <n v="29.5"/>
    <n v="51.1"/>
    <x v="0"/>
    <n v="34"/>
    <n v="136"/>
    <n v="8"/>
    <x v="0"/>
    <n v="67.8"/>
    <x v="151"/>
    <x v="0"/>
  </r>
  <r>
    <d v="2024-10-08T12:36:02"/>
    <x v="9"/>
    <s v="-31.9299"/>
    <s v="48.9536"/>
    <n v="357"/>
    <x v="2"/>
    <n v="20.9"/>
    <n v="50.9"/>
    <x v="0"/>
    <n v="30"/>
    <n v="495"/>
    <n v="1"/>
    <x v="1"/>
    <n v="65.599999999999994"/>
    <x v="66"/>
    <x v="1"/>
  </r>
  <r>
    <d v="2024-05-27T19:21:26"/>
    <x v="9"/>
    <s v="-84.5861"/>
    <s v="-56.9044"/>
    <n v="171"/>
    <x v="1"/>
    <n v="28.8"/>
    <n v="59.3"/>
    <x v="2"/>
    <n v="56"/>
    <n v="437"/>
    <n v="10"/>
    <x v="0"/>
    <n v="99.6"/>
    <x v="21"/>
    <x v="1"/>
  </r>
  <r>
    <d v="2024-03-21T22:22:44"/>
    <x v="7"/>
    <s v="-20.6577"/>
    <s v="-86.8013"/>
    <n v="137"/>
    <x v="2"/>
    <n v="24"/>
    <n v="78"/>
    <x v="1"/>
    <n v="29"/>
    <n v="425"/>
    <n v="7"/>
    <x v="1"/>
    <n v="69.400000000000006"/>
    <x v="4"/>
    <x v="0"/>
  </r>
  <r>
    <d v="2024-05-04T10:52:10"/>
    <x v="7"/>
    <s v="-56.5959"/>
    <s v="153.5316"/>
    <n v="147"/>
    <x v="2"/>
    <n v="24.9"/>
    <n v="67.599999999999994"/>
    <x v="1"/>
    <n v="57"/>
    <n v="157"/>
    <n v="4"/>
    <x v="2"/>
    <n v="62.1"/>
    <x v="35"/>
    <x v="0"/>
  </r>
  <r>
    <d v="2024-05-11T12:13:27"/>
    <x v="8"/>
    <s v="20.6546"/>
    <s v="79.9499"/>
    <n v="194"/>
    <x v="1"/>
    <n v="22.9"/>
    <n v="69.7"/>
    <x v="2"/>
    <n v="11"/>
    <n v="140"/>
    <n v="4"/>
    <x v="1"/>
    <n v="84.7"/>
    <x v="193"/>
    <x v="1"/>
  </r>
  <r>
    <d v="2024-12-28T20:25:19"/>
    <x v="8"/>
    <s v="-19.7553"/>
    <s v="54.2697"/>
    <n v="291"/>
    <x v="0"/>
    <n v="24.1"/>
    <n v="70.8"/>
    <x v="1"/>
    <n v="25"/>
    <n v="414"/>
    <n v="8"/>
    <x v="0"/>
    <n v="99.4"/>
    <x v="64"/>
    <x v="0"/>
  </r>
  <r>
    <d v="2024-04-06T01:48:36"/>
    <x v="7"/>
    <s v="68.0702"/>
    <s v="98.5995"/>
    <n v="176"/>
    <x v="2"/>
    <n v="29.5"/>
    <n v="61.9"/>
    <x v="2"/>
    <n v="31"/>
    <n v="306"/>
    <n v="6"/>
    <x v="1"/>
    <n v="73.5"/>
    <x v="78"/>
    <x v="1"/>
  </r>
  <r>
    <d v="2024-08-12T10:11:42"/>
    <x v="4"/>
    <s v="25.9640"/>
    <s v="-133.3578"/>
    <n v="240"/>
    <x v="1"/>
    <n v="27.4"/>
    <n v="72.900000000000006"/>
    <x v="0"/>
    <n v="29"/>
    <n v="272"/>
    <n v="8"/>
    <x v="3"/>
    <n v="72.3"/>
    <x v="17"/>
    <x v="1"/>
  </r>
  <r>
    <d v="2024-02-08T10:12:13"/>
    <x v="9"/>
    <s v="-86.7010"/>
    <s v="-140.0339"/>
    <n v="412"/>
    <x v="0"/>
    <n v="23.8"/>
    <n v="71.599999999999994"/>
    <x v="1"/>
    <n v="54"/>
    <n v="301"/>
    <n v="6"/>
    <x v="1"/>
    <n v="76.8"/>
    <x v="39"/>
    <x v="0"/>
  </r>
  <r>
    <d v="2024-10-02T18:31:19"/>
    <x v="5"/>
    <s v="-35.9441"/>
    <s v="-133.4183"/>
    <n v="359"/>
    <x v="2"/>
    <n v="22.6"/>
    <n v="72.900000000000006"/>
    <x v="2"/>
    <n v="60"/>
    <n v="142"/>
    <n v="4"/>
    <x v="2"/>
    <n v="78.5"/>
    <x v="36"/>
    <x v="1"/>
  </r>
  <r>
    <d v="2024-11-25T18:46:06"/>
    <x v="6"/>
    <s v="62.9176"/>
    <s v="116.0170"/>
    <n v="491"/>
    <x v="1"/>
    <n v="20.6"/>
    <n v="74.7"/>
    <x v="0"/>
    <n v="16"/>
    <n v="183"/>
    <n v="7"/>
    <x v="1"/>
    <n v="60.3"/>
    <x v="90"/>
    <x v="1"/>
  </r>
  <r>
    <d v="2024-03-28T14:33:39"/>
    <x v="7"/>
    <s v="69.7549"/>
    <s v="-126.8123"/>
    <n v="130"/>
    <x v="0"/>
    <n v="29.9"/>
    <n v="65"/>
    <x v="0"/>
    <n v="50"/>
    <n v="385"/>
    <n v="10"/>
    <x v="2"/>
    <n v="72.599999999999994"/>
    <x v="17"/>
    <x v="0"/>
  </r>
  <r>
    <d v="2024-12-14T12:42:18"/>
    <x v="6"/>
    <s v="-0.5355"/>
    <s v="120.9793"/>
    <n v="336"/>
    <x v="1"/>
    <n v="22.1"/>
    <n v="75.2"/>
    <x v="0"/>
    <n v="33"/>
    <n v="443"/>
    <n v="5"/>
    <x v="3"/>
    <n v="73.2"/>
    <x v="122"/>
    <x v="1"/>
  </r>
  <r>
    <d v="2024-03-13T18:47:10"/>
    <x v="3"/>
    <s v="57.9277"/>
    <s v="-106.3278"/>
    <n v="330"/>
    <x v="1"/>
    <n v="29.5"/>
    <n v="68.5"/>
    <x v="2"/>
    <n v="14"/>
    <n v="358"/>
    <n v="1"/>
    <x v="3"/>
    <n v="70"/>
    <x v="106"/>
    <x v="1"/>
  </r>
  <r>
    <d v="2024-02-28T00:53:35"/>
    <x v="1"/>
    <s v="-86.1770"/>
    <s v="112.1068"/>
    <n v="118"/>
    <x v="1"/>
    <n v="25.1"/>
    <n v="59.5"/>
    <x v="2"/>
    <n v="36"/>
    <n v="200"/>
    <n v="1"/>
    <x v="0"/>
    <n v="80.599999999999994"/>
    <x v="185"/>
    <x v="1"/>
  </r>
  <r>
    <d v="2024-10-18T21:26:27"/>
    <x v="5"/>
    <s v="-9.2728"/>
    <s v="-173.0699"/>
    <n v="147"/>
    <x v="1"/>
    <n v="21.6"/>
    <n v="52"/>
    <x v="2"/>
    <n v="24"/>
    <n v="187"/>
    <n v="7"/>
    <x v="2"/>
    <n v="71"/>
    <x v="103"/>
    <x v="1"/>
  </r>
  <r>
    <d v="2024-01-11T03:09:35"/>
    <x v="7"/>
    <s v="-84.3224"/>
    <s v="76.1163"/>
    <n v="258"/>
    <x v="2"/>
    <n v="23.3"/>
    <n v="71.8"/>
    <x v="1"/>
    <n v="20"/>
    <n v="466"/>
    <n v="7"/>
    <x v="2"/>
    <n v="80.599999999999994"/>
    <x v="121"/>
    <x v="0"/>
  </r>
  <r>
    <d v="2024-09-25T09:44:50"/>
    <x v="0"/>
    <s v="-27.8806"/>
    <s v="-32.4778"/>
    <n v="315"/>
    <x v="0"/>
    <n v="21.7"/>
    <n v="54.9"/>
    <x v="1"/>
    <n v="51"/>
    <n v="479"/>
    <n v="7"/>
    <x v="2"/>
    <n v="83.7"/>
    <x v="193"/>
    <x v="0"/>
  </r>
  <r>
    <d v="2024-06-26T20:47:39"/>
    <x v="6"/>
    <s v="-48.8409"/>
    <s v="171.3320"/>
    <n v="233"/>
    <x v="0"/>
    <n v="25.3"/>
    <n v="52.8"/>
    <x v="0"/>
    <n v="19"/>
    <n v="123"/>
    <n v="7"/>
    <x v="1"/>
    <n v="92.3"/>
    <x v="65"/>
    <x v="0"/>
  </r>
  <r>
    <d v="2024-02-24T07:23:53"/>
    <x v="4"/>
    <s v="28.6270"/>
    <s v="162.8857"/>
    <n v="282"/>
    <x v="2"/>
    <n v="18.399999999999999"/>
    <n v="68.8"/>
    <x v="1"/>
    <n v="16"/>
    <n v="281"/>
    <n v="4"/>
    <x v="3"/>
    <n v="78.8"/>
    <x v="0"/>
    <x v="0"/>
  </r>
  <r>
    <d v="2024-02-04T20:41:18"/>
    <x v="5"/>
    <s v="-7.2601"/>
    <s v="52.5120"/>
    <n v="117"/>
    <x v="0"/>
    <n v="28"/>
    <n v="73.900000000000006"/>
    <x v="1"/>
    <n v="55"/>
    <n v="156"/>
    <n v="10"/>
    <x v="1"/>
    <n v="63.7"/>
    <x v="121"/>
    <x v="0"/>
  </r>
  <r>
    <d v="2024-02-28T18:13:16"/>
    <x v="9"/>
    <s v="-16.8576"/>
    <s v="-8.0033"/>
    <n v="242"/>
    <x v="1"/>
    <n v="23.7"/>
    <n v="56"/>
    <x v="0"/>
    <n v="41"/>
    <n v="190"/>
    <n v="5"/>
    <x v="2"/>
    <n v="61.8"/>
    <x v="42"/>
    <x v="1"/>
  </r>
  <r>
    <d v="2024-04-27T15:33:04"/>
    <x v="6"/>
    <s v="-42.1652"/>
    <s v="-40.9587"/>
    <n v="497"/>
    <x v="2"/>
    <n v="24.1"/>
    <n v="77.5"/>
    <x v="2"/>
    <n v="39"/>
    <n v="319"/>
    <n v="10"/>
    <x v="2"/>
    <n v="60"/>
    <x v="9"/>
    <x v="1"/>
  </r>
  <r>
    <d v="2024-10-27T00:36:59"/>
    <x v="2"/>
    <s v="4.2073"/>
    <s v="-152.1320"/>
    <n v="384"/>
    <x v="0"/>
    <n v="25.6"/>
    <n v="78.8"/>
    <x v="0"/>
    <n v="52"/>
    <n v="161"/>
    <n v="10"/>
    <x v="3"/>
    <n v="83.6"/>
    <x v="194"/>
    <x v="0"/>
  </r>
  <r>
    <d v="2024-01-08T09:23:32"/>
    <x v="3"/>
    <s v="7.8031"/>
    <s v="43.4739"/>
    <n v="258"/>
    <x v="2"/>
    <n v="26.8"/>
    <n v="60.5"/>
    <x v="2"/>
    <n v="12"/>
    <n v="413"/>
    <n v="8"/>
    <x v="1"/>
    <n v="86.9"/>
    <x v="176"/>
    <x v="1"/>
  </r>
  <r>
    <d v="2024-04-01T18:35:37"/>
    <x v="4"/>
    <s v="-6.8792"/>
    <s v="165.0017"/>
    <n v="258"/>
    <x v="2"/>
    <n v="29.4"/>
    <n v="66.099999999999994"/>
    <x v="1"/>
    <n v="54"/>
    <n v="395"/>
    <n v="2"/>
    <x v="3"/>
    <n v="71.400000000000006"/>
    <x v="15"/>
    <x v="0"/>
  </r>
  <r>
    <d v="2024-03-05T12:35:28"/>
    <x v="0"/>
    <s v="60.6073"/>
    <s v="74.3625"/>
    <n v="291"/>
    <x v="1"/>
    <n v="26.9"/>
    <n v="52.3"/>
    <x v="1"/>
    <n v="34"/>
    <n v="253"/>
    <n v="2"/>
    <x v="2"/>
    <n v="94.9"/>
    <x v="91"/>
    <x v="0"/>
  </r>
  <r>
    <d v="2024-08-22T06:38:15"/>
    <x v="3"/>
    <s v="-87.2317"/>
    <s v="143.0006"/>
    <n v="135"/>
    <x v="0"/>
    <n v="29"/>
    <n v="62.2"/>
    <x v="1"/>
    <n v="24"/>
    <n v="155"/>
    <n v="3"/>
    <x v="3"/>
    <n v="69.400000000000006"/>
    <x v="37"/>
    <x v="0"/>
  </r>
  <r>
    <d v="2024-01-20T14:38:55"/>
    <x v="2"/>
    <s v="38.8250"/>
    <s v="-51.8451"/>
    <n v="437"/>
    <x v="0"/>
    <n v="23.3"/>
    <n v="61.6"/>
    <x v="1"/>
    <n v="45"/>
    <n v="177"/>
    <n v="5"/>
    <x v="3"/>
    <n v="93.3"/>
    <x v="17"/>
    <x v="0"/>
  </r>
  <r>
    <d v="2024-07-06T18:05:23"/>
    <x v="3"/>
    <s v="-53.5255"/>
    <s v="-1.9486"/>
    <n v="441"/>
    <x v="0"/>
    <n v="23.1"/>
    <n v="57.1"/>
    <x v="2"/>
    <n v="55"/>
    <n v="490"/>
    <n v="10"/>
    <x v="1"/>
    <n v="65.099999999999994"/>
    <x v="46"/>
    <x v="0"/>
  </r>
  <r>
    <d v="2024-05-12T20:36:13"/>
    <x v="1"/>
    <s v="71.1182"/>
    <s v="-120.1134"/>
    <n v="268"/>
    <x v="0"/>
    <n v="20.3"/>
    <n v="78.099999999999994"/>
    <x v="0"/>
    <n v="30"/>
    <n v="102"/>
    <n v="6"/>
    <x v="1"/>
    <n v="91.7"/>
    <x v="165"/>
    <x v="0"/>
  </r>
  <r>
    <d v="2024-11-20T15:27:33"/>
    <x v="5"/>
    <s v="-78.4902"/>
    <s v="-101.3255"/>
    <n v="142"/>
    <x v="0"/>
    <n v="24"/>
    <n v="51.6"/>
    <x v="2"/>
    <n v="40"/>
    <n v="160"/>
    <n v="7"/>
    <x v="0"/>
    <n v="70"/>
    <x v="110"/>
    <x v="0"/>
  </r>
  <r>
    <d v="2024-08-14T18:56:46"/>
    <x v="3"/>
    <s v="35.0933"/>
    <s v="-170.9221"/>
    <n v="264"/>
    <x v="1"/>
    <n v="25.3"/>
    <n v="55.2"/>
    <x v="2"/>
    <n v="51"/>
    <n v="213"/>
    <n v="10"/>
    <x v="3"/>
    <n v="85.5"/>
    <x v="103"/>
    <x v="1"/>
  </r>
  <r>
    <d v="2024-10-02T10:12:30"/>
    <x v="7"/>
    <s v="67.0296"/>
    <s v="-18.7078"/>
    <n v="426"/>
    <x v="0"/>
    <n v="25.3"/>
    <n v="56.8"/>
    <x v="2"/>
    <n v="15"/>
    <n v="241"/>
    <n v="5"/>
    <x v="2"/>
    <n v="83.5"/>
    <x v="9"/>
    <x v="0"/>
  </r>
  <r>
    <d v="2024-04-04T17:32:05"/>
    <x v="6"/>
    <s v="-29.6573"/>
    <s v="-37.6029"/>
    <n v="214"/>
    <x v="0"/>
    <n v="24.3"/>
    <n v="56.9"/>
    <x v="2"/>
    <n v="35"/>
    <n v="497"/>
    <n v="6"/>
    <x v="1"/>
    <n v="70.2"/>
    <x v="102"/>
    <x v="0"/>
  </r>
  <r>
    <d v="2024-01-08T21:16:45"/>
    <x v="8"/>
    <s v="-9.1109"/>
    <s v="76.7620"/>
    <n v="123"/>
    <x v="2"/>
    <n v="19.3"/>
    <n v="63.4"/>
    <x v="0"/>
    <n v="35"/>
    <n v="303"/>
    <n v="3"/>
    <x v="0"/>
    <n v="64.900000000000006"/>
    <x v="28"/>
    <x v="1"/>
  </r>
  <r>
    <d v="2024-04-02T22:44:27"/>
    <x v="0"/>
    <s v="50.7076"/>
    <s v="-21.7653"/>
    <n v="295"/>
    <x v="1"/>
    <n v="22.2"/>
    <n v="64.900000000000006"/>
    <x v="1"/>
    <n v="19"/>
    <n v="385"/>
    <n v="9"/>
    <x v="1"/>
    <n v="77.099999999999994"/>
    <x v="21"/>
    <x v="0"/>
  </r>
  <r>
    <d v="2024-04-09T22:12:14"/>
    <x v="8"/>
    <s v="48.3520"/>
    <s v="-54.5600"/>
    <n v="378"/>
    <x v="1"/>
    <n v="23.3"/>
    <n v="78.7"/>
    <x v="2"/>
    <n v="17"/>
    <n v="364"/>
    <n v="8"/>
    <x v="3"/>
    <n v="96.1"/>
    <x v="116"/>
    <x v="1"/>
  </r>
  <r>
    <d v="2024-07-08T11:01:23"/>
    <x v="4"/>
    <s v="-39.7867"/>
    <s v="81.5636"/>
    <n v="209"/>
    <x v="0"/>
    <n v="19.3"/>
    <n v="51"/>
    <x v="0"/>
    <n v="18"/>
    <n v="443"/>
    <n v="2"/>
    <x v="3"/>
    <n v="91.5"/>
    <x v="142"/>
    <x v="0"/>
  </r>
  <r>
    <d v="2024-03-21T10:50:41"/>
    <x v="1"/>
    <s v="36.5436"/>
    <s v="71.7597"/>
    <n v="325"/>
    <x v="0"/>
    <n v="28.8"/>
    <n v="55"/>
    <x v="2"/>
    <n v="56"/>
    <n v="316"/>
    <n v="4"/>
    <x v="1"/>
    <n v="77.8"/>
    <x v="167"/>
    <x v="0"/>
  </r>
  <r>
    <d v="2024-11-22T22:18:41"/>
    <x v="1"/>
    <s v="32.8663"/>
    <s v="-79.9920"/>
    <n v="362"/>
    <x v="0"/>
    <n v="21.7"/>
    <n v="54.6"/>
    <x v="1"/>
    <n v="22"/>
    <n v="441"/>
    <n v="3"/>
    <x v="0"/>
    <n v="74.599999999999994"/>
    <x v="192"/>
    <x v="0"/>
  </r>
  <r>
    <d v="2024-04-24T00:08:50"/>
    <x v="4"/>
    <s v="-0.1019"/>
    <s v="99.8069"/>
    <n v="451"/>
    <x v="2"/>
    <n v="27.5"/>
    <n v="56.7"/>
    <x v="2"/>
    <n v="23"/>
    <n v="446"/>
    <n v="6"/>
    <x v="2"/>
    <n v="62.1"/>
    <x v="160"/>
    <x v="1"/>
  </r>
  <r>
    <d v="2024-06-05T08:51:03"/>
    <x v="3"/>
    <s v="-56.8231"/>
    <s v="71.5841"/>
    <n v="201"/>
    <x v="1"/>
    <n v="27.5"/>
    <n v="53.1"/>
    <x v="2"/>
    <n v="10"/>
    <n v="169"/>
    <n v="3"/>
    <x v="0"/>
    <n v="65.099999999999994"/>
    <x v="29"/>
    <x v="1"/>
  </r>
  <r>
    <d v="2024-03-01T10:10:16"/>
    <x v="7"/>
    <s v="-61.9668"/>
    <s v="113.8899"/>
    <n v="442"/>
    <x v="0"/>
    <n v="23.6"/>
    <n v="58.1"/>
    <x v="2"/>
    <n v="47"/>
    <n v="165"/>
    <n v="1"/>
    <x v="2"/>
    <n v="93.3"/>
    <x v="117"/>
    <x v="0"/>
  </r>
  <r>
    <d v="2024-07-06T21:09:27"/>
    <x v="9"/>
    <s v="-63.8035"/>
    <s v="61.4571"/>
    <n v="274"/>
    <x v="1"/>
    <n v="19.3"/>
    <n v="70.3"/>
    <x v="0"/>
    <n v="26"/>
    <n v="404"/>
    <n v="7"/>
    <x v="1"/>
    <n v="81"/>
    <x v="85"/>
    <x v="1"/>
  </r>
  <r>
    <d v="2024-11-28T16:05:59"/>
    <x v="8"/>
    <s v="-31.7275"/>
    <s v="-28.5676"/>
    <n v="180"/>
    <x v="1"/>
    <n v="24.9"/>
    <n v="68.900000000000006"/>
    <x v="2"/>
    <n v="14"/>
    <n v="189"/>
    <n v="3"/>
    <x v="2"/>
    <n v="89.4"/>
    <x v="180"/>
    <x v="1"/>
  </r>
  <r>
    <d v="2024-03-23T21:22:31"/>
    <x v="9"/>
    <s v="69.9959"/>
    <s v="-10.5335"/>
    <n v="213"/>
    <x v="0"/>
    <n v="22.8"/>
    <n v="65"/>
    <x v="0"/>
    <n v="51"/>
    <n v="361"/>
    <n v="6"/>
    <x v="0"/>
    <n v="74.5"/>
    <x v="88"/>
    <x v="0"/>
  </r>
  <r>
    <d v="2024-04-24T05:44:05"/>
    <x v="2"/>
    <s v="-63.1722"/>
    <s v="145.3756"/>
    <n v="353"/>
    <x v="1"/>
    <n v="22"/>
    <n v="66.8"/>
    <x v="1"/>
    <n v="27"/>
    <n v="327"/>
    <n v="9"/>
    <x v="2"/>
    <n v="71.2"/>
    <x v="157"/>
    <x v="0"/>
  </r>
  <r>
    <d v="2024-06-11T04:47:07"/>
    <x v="6"/>
    <s v="35.7913"/>
    <s v="6.3765"/>
    <n v="495"/>
    <x v="2"/>
    <n v="20.6"/>
    <n v="71.5"/>
    <x v="1"/>
    <n v="32"/>
    <n v="166"/>
    <n v="2"/>
    <x v="1"/>
    <n v="62.5"/>
    <x v="23"/>
    <x v="0"/>
  </r>
  <r>
    <d v="2024-08-12T00:54:08"/>
    <x v="9"/>
    <s v="-58.8531"/>
    <s v="45.0498"/>
    <n v="162"/>
    <x v="0"/>
    <n v="21.3"/>
    <n v="76.8"/>
    <x v="0"/>
    <n v="53"/>
    <n v="164"/>
    <n v="3"/>
    <x v="0"/>
    <n v="61.6"/>
    <x v="153"/>
    <x v="0"/>
  </r>
  <r>
    <d v="2024-05-31T03:05:32"/>
    <x v="7"/>
    <s v="49.4007"/>
    <s v="-106.1531"/>
    <n v="252"/>
    <x v="0"/>
    <n v="28"/>
    <n v="66.5"/>
    <x v="0"/>
    <n v="44"/>
    <n v="298"/>
    <n v="6"/>
    <x v="2"/>
    <n v="72.8"/>
    <x v="82"/>
    <x v="0"/>
  </r>
  <r>
    <d v="2024-04-05T10:26:33"/>
    <x v="5"/>
    <s v="8.4222"/>
    <s v="-69.7522"/>
    <n v="361"/>
    <x v="2"/>
    <n v="19.5"/>
    <n v="78.599999999999994"/>
    <x v="2"/>
    <n v="21"/>
    <n v="358"/>
    <n v="9"/>
    <x v="1"/>
    <n v="93"/>
    <x v="21"/>
    <x v="1"/>
  </r>
  <r>
    <d v="2024-12-12T16:21:04"/>
    <x v="1"/>
    <s v="-6.5166"/>
    <s v="-143.3822"/>
    <n v="115"/>
    <x v="2"/>
    <n v="29.3"/>
    <n v="65.099999999999994"/>
    <x v="1"/>
    <n v="32"/>
    <n v="445"/>
    <n v="1"/>
    <x v="1"/>
    <n v="79.400000000000006"/>
    <x v="43"/>
    <x v="0"/>
  </r>
  <r>
    <d v="2024-02-11T08:18:06"/>
    <x v="7"/>
    <s v="-43.1797"/>
    <s v="-64.4769"/>
    <n v="172"/>
    <x v="2"/>
    <n v="22.5"/>
    <n v="69.7"/>
    <x v="1"/>
    <n v="55"/>
    <n v="216"/>
    <n v="9"/>
    <x v="1"/>
    <n v="72.099999999999994"/>
    <x v="17"/>
    <x v="0"/>
  </r>
  <r>
    <d v="2024-10-11T15:23:47"/>
    <x v="6"/>
    <s v="45.0470"/>
    <s v="69.7014"/>
    <n v="403"/>
    <x v="1"/>
    <n v="28.2"/>
    <n v="76.099999999999994"/>
    <x v="1"/>
    <n v="51"/>
    <n v="457"/>
    <n v="7"/>
    <x v="2"/>
    <n v="73.900000000000006"/>
    <x v="140"/>
    <x v="0"/>
  </r>
  <r>
    <d v="2024-06-27T16:27:20"/>
    <x v="5"/>
    <s v="-15.8011"/>
    <s v="138.7785"/>
    <n v="426"/>
    <x v="1"/>
    <n v="22"/>
    <n v="73.099999999999994"/>
    <x v="2"/>
    <n v="29"/>
    <n v="392"/>
    <n v="5"/>
    <x v="0"/>
    <n v="94.6"/>
    <x v="56"/>
    <x v="1"/>
  </r>
  <r>
    <d v="2024-09-10T19:47:25"/>
    <x v="0"/>
    <s v="-30.8564"/>
    <s v="26.7562"/>
    <n v="368"/>
    <x v="0"/>
    <n v="26.6"/>
    <n v="74.900000000000006"/>
    <x v="0"/>
    <n v="28"/>
    <n v="341"/>
    <n v="6"/>
    <x v="0"/>
    <n v="97.1"/>
    <x v="78"/>
    <x v="0"/>
  </r>
  <r>
    <d v="2024-07-02T13:06:51"/>
    <x v="3"/>
    <s v="16.0296"/>
    <s v="-36.3349"/>
    <n v="173"/>
    <x v="0"/>
    <n v="24.9"/>
    <n v="58.1"/>
    <x v="2"/>
    <n v="34"/>
    <n v="287"/>
    <n v="9"/>
    <x v="3"/>
    <n v="96.8"/>
    <x v="120"/>
    <x v="0"/>
  </r>
  <r>
    <d v="2024-08-31T20:18:57"/>
    <x v="3"/>
    <s v="81.3962"/>
    <s v="-79.6193"/>
    <n v="371"/>
    <x v="1"/>
    <n v="22.9"/>
    <n v="67.2"/>
    <x v="1"/>
    <n v="35"/>
    <n v="121"/>
    <n v="8"/>
    <x v="1"/>
    <n v="90.9"/>
    <x v="142"/>
    <x v="0"/>
  </r>
  <r>
    <d v="2024-07-13T00:23:59"/>
    <x v="4"/>
    <s v="77.5436"/>
    <s v="-156.2479"/>
    <n v="199"/>
    <x v="0"/>
    <n v="28.5"/>
    <n v="68.8"/>
    <x v="1"/>
    <n v="18"/>
    <n v="201"/>
    <n v="2"/>
    <x v="3"/>
    <n v="71.2"/>
    <x v="98"/>
    <x v="0"/>
  </r>
  <r>
    <d v="2024-07-09T10:12:42"/>
    <x v="4"/>
    <s v="51.8047"/>
    <s v="66.0193"/>
    <n v="319"/>
    <x v="1"/>
    <n v="22.3"/>
    <n v="50.8"/>
    <x v="2"/>
    <n v="52"/>
    <n v="188"/>
    <n v="8"/>
    <x v="2"/>
    <n v="66.400000000000006"/>
    <x v="187"/>
    <x v="1"/>
  </r>
  <r>
    <d v="2024-05-06T23:58:14"/>
    <x v="4"/>
    <s v="37.5523"/>
    <s v="145.1973"/>
    <n v="437"/>
    <x v="1"/>
    <n v="29.1"/>
    <n v="76.5"/>
    <x v="2"/>
    <n v="46"/>
    <n v="122"/>
    <n v="10"/>
    <x v="0"/>
    <n v="73.599999999999994"/>
    <x v="102"/>
    <x v="1"/>
  </r>
  <r>
    <d v="2024-01-07T15:00:38"/>
    <x v="3"/>
    <s v="30.5875"/>
    <s v="132.7309"/>
    <n v="203"/>
    <x v="0"/>
    <n v="19.2"/>
    <n v="63.6"/>
    <x v="1"/>
    <n v="31"/>
    <n v="123"/>
    <n v="9"/>
    <x v="3"/>
    <n v="84.1"/>
    <x v="4"/>
    <x v="0"/>
  </r>
  <r>
    <d v="2024-03-08T18:02:46"/>
    <x v="6"/>
    <s v="-86.9276"/>
    <s v="120.7534"/>
    <n v="466"/>
    <x v="1"/>
    <n v="26.3"/>
    <n v="70.400000000000006"/>
    <x v="1"/>
    <n v="53"/>
    <n v="291"/>
    <n v="8"/>
    <x v="1"/>
    <n v="62.1"/>
    <x v="181"/>
    <x v="0"/>
  </r>
  <r>
    <d v="2024-03-04T09:26:19"/>
    <x v="6"/>
    <s v="-44.6569"/>
    <s v="129.8625"/>
    <n v="418"/>
    <x v="1"/>
    <n v="22.9"/>
    <n v="62"/>
    <x v="0"/>
    <n v="26"/>
    <n v="405"/>
    <n v="1"/>
    <x v="0"/>
    <n v="62.3"/>
    <x v="144"/>
    <x v="1"/>
  </r>
  <r>
    <d v="2024-10-12T07:07:08"/>
    <x v="0"/>
    <s v="53.8186"/>
    <s v="-158.4252"/>
    <n v="124"/>
    <x v="0"/>
    <n v="26.7"/>
    <n v="50.1"/>
    <x v="2"/>
    <n v="10"/>
    <n v="460"/>
    <n v="5"/>
    <x v="3"/>
    <n v="69.400000000000006"/>
    <x v="133"/>
    <x v="0"/>
  </r>
  <r>
    <d v="2024-08-07T05:17:08"/>
    <x v="9"/>
    <s v="26.0226"/>
    <s v="103.2098"/>
    <n v="322"/>
    <x v="0"/>
    <n v="25"/>
    <n v="57.7"/>
    <x v="2"/>
    <n v="15"/>
    <n v="190"/>
    <n v="4"/>
    <x v="2"/>
    <n v="86.8"/>
    <x v="174"/>
    <x v="0"/>
  </r>
  <r>
    <d v="2024-03-27T21:00:44"/>
    <x v="6"/>
    <s v="14.1508"/>
    <s v="-54.4659"/>
    <n v="351"/>
    <x v="2"/>
    <n v="25.1"/>
    <n v="74.2"/>
    <x v="1"/>
    <n v="54"/>
    <n v="223"/>
    <n v="9"/>
    <x v="2"/>
    <n v="62.2"/>
    <x v="58"/>
    <x v="0"/>
  </r>
  <r>
    <d v="2024-10-03T07:39:13"/>
    <x v="4"/>
    <s v="22.8356"/>
    <s v="-12.8730"/>
    <n v="350"/>
    <x v="1"/>
    <n v="27"/>
    <n v="66.7"/>
    <x v="0"/>
    <n v="56"/>
    <n v="207"/>
    <n v="2"/>
    <x v="3"/>
    <n v="64"/>
    <x v="19"/>
    <x v="1"/>
  </r>
  <r>
    <d v="2024-06-24T01:25:10"/>
    <x v="0"/>
    <s v="79.2334"/>
    <s v="166.4549"/>
    <n v="179"/>
    <x v="2"/>
    <n v="20.6"/>
    <n v="53.6"/>
    <x v="1"/>
    <n v="36"/>
    <n v="480"/>
    <n v="7"/>
    <x v="3"/>
    <n v="72.099999999999994"/>
    <x v="126"/>
    <x v="0"/>
  </r>
  <r>
    <d v="2024-01-30T08:32:53"/>
    <x v="1"/>
    <s v="-9.0289"/>
    <s v="-69.4256"/>
    <n v="338"/>
    <x v="2"/>
    <n v="27.3"/>
    <n v="70.099999999999994"/>
    <x v="1"/>
    <n v="29"/>
    <n v="129"/>
    <n v="1"/>
    <x v="0"/>
    <n v="82.4"/>
    <x v="97"/>
    <x v="0"/>
  </r>
  <r>
    <d v="2024-01-15T07:48:38"/>
    <x v="2"/>
    <s v="71.2228"/>
    <s v="-86.3993"/>
    <n v="334"/>
    <x v="2"/>
    <n v="28.9"/>
    <n v="62.8"/>
    <x v="2"/>
    <n v="15"/>
    <n v="106"/>
    <n v="5"/>
    <x v="1"/>
    <n v="97.2"/>
    <x v="51"/>
    <x v="1"/>
  </r>
  <r>
    <d v="2024-12-30T08:15:46"/>
    <x v="2"/>
    <s v="-29.6864"/>
    <s v="-88.6901"/>
    <n v="411"/>
    <x v="1"/>
    <n v="19"/>
    <n v="55.4"/>
    <x v="2"/>
    <n v="14"/>
    <n v="409"/>
    <n v="7"/>
    <x v="0"/>
    <n v="94.5"/>
    <x v="65"/>
    <x v="1"/>
  </r>
  <r>
    <d v="2024-08-01T21:42:48"/>
    <x v="0"/>
    <s v="-19.5759"/>
    <s v="-39.5531"/>
    <n v="481"/>
    <x v="0"/>
    <n v="22.8"/>
    <n v="74.7"/>
    <x v="0"/>
    <n v="42"/>
    <n v="157"/>
    <n v="1"/>
    <x v="1"/>
    <n v="65.2"/>
    <x v="155"/>
    <x v="0"/>
  </r>
  <r>
    <d v="2024-05-17T19:53:30"/>
    <x v="5"/>
    <s v="81.1000"/>
    <s v="113.2247"/>
    <n v="224"/>
    <x v="0"/>
    <n v="26.4"/>
    <n v="75.400000000000006"/>
    <x v="0"/>
    <n v="23"/>
    <n v="234"/>
    <n v="4"/>
    <x v="3"/>
    <n v="86.6"/>
    <x v="120"/>
    <x v="0"/>
  </r>
  <r>
    <d v="2024-02-04T05:26:36"/>
    <x v="6"/>
    <s v="32.7849"/>
    <s v="30.9550"/>
    <n v="377"/>
    <x v="0"/>
    <n v="19.5"/>
    <n v="51"/>
    <x v="0"/>
    <n v="11"/>
    <n v="226"/>
    <n v="8"/>
    <x v="1"/>
    <n v="64.099999999999994"/>
    <x v="34"/>
    <x v="0"/>
  </r>
  <r>
    <d v="2024-07-18T13:12:46"/>
    <x v="0"/>
    <s v="49.0480"/>
    <s v="4.8896"/>
    <n v="283"/>
    <x v="0"/>
    <n v="19.600000000000001"/>
    <n v="75.5"/>
    <x v="1"/>
    <n v="49"/>
    <n v="496"/>
    <n v="6"/>
    <x v="1"/>
    <n v="78.900000000000006"/>
    <x v="133"/>
    <x v="0"/>
  </r>
  <r>
    <d v="2024-01-01T17:34:48"/>
    <x v="2"/>
    <s v="-13.9612"/>
    <s v="89.5342"/>
    <n v="174"/>
    <x v="0"/>
    <n v="20.2"/>
    <n v="74.2"/>
    <x v="0"/>
    <n v="49"/>
    <n v="403"/>
    <n v="5"/>
    <x v="0"/>
    <n v="83.5"/>
    <x v="147"/>
    <x v="0"/>
  </r>
  <r>
    <d v="2024-09-08T14:29:17"/>
    <x v="4"/>
    <s v="64.4113"/>
    <s v="-121.7647"/>
    <n v="440"/>
    <x v="2"/>
    <n v="20.399999999999999"/>
    <n v="62.4"/>
    <x v="2"/>
    <n v="35"/>
    <n v="199"/>
    <n v="10"/>
    <x v="0"/>
    <n v="80.3"/>
    <x v="141"/>
    <x v="1"/>
  </r>
  <r>
    <d v="2024-02-26T03:25:37"/>
    <x v="5"/>
    <s v="-77.7986"/>
    <s v="-155.4098"/>
    <n v="497"/>
    <x v="0"/>
    <n v="21.8"/>
    <n v="71.3"/>
    <x v="1"/>
    <n v="22"/>
    <n v="424"/>
    <n v="2"/>
    <x v="1"/>
    <n v="79.8"/>
    <x v="173"/>
    <x v="0"/>
  </r>
  <r>
    <d v="2024-04-16T04:37:24"/>
    <x v="0"/>
    <s v="16.2591"/>
    <s v="175.1485"/>
    <n v="337"/>
    <x v="2"/>
    <n v="21.1"/>
    <n v="64.400000000000006"/>
    <x v="0"/>
    <n v="49"/>
    <n v="226"/>
    <n v="2"/>
    <x v="2"/>
    <n v="89.6"/>
    <x v="84"/>
    <x v="1"/>
  </r>
  <r>
    <d v="2024-12-11T17:39:51"/>
    <x v="2"/>
    <s v="30.6749"/>
    <s v="78.4743"/>
    <n v="315"/>
    <x v="2"/>
    <n v="21.4"/>
    <n v="62.6"/>
    <x v="1"/>
    <n v="27"/>
    <n v="482"/>
    <n v="9"/>
    <x v="2"/>
    <n v="77.2"/>
    <x v="187"/>
    <x v="0"/>
  </r>
  <r>
    <d v="2024-09-16T12:46:13"/>
    <x v="0"/>
    <s v="-18.0675"/>
    <s v="76.7802"/>
    <n v="219"/>
    <x v="2"/>
    <n v="18.100000000000001"/>
    <n v="64.599999999999994"/>
    <x v="2"/>
    <n v="24"/>
    <n v="179"/>
    <n v="8"/>
    <x v="1"/>
    <n v="83.3"/>
    <x v="86"/>
    <x v="1"/>
  </r>
  <r>
    <d v="2024-01-23T18:52:56"/>
    <x v="6"/>
    <s v="-89.7784"/>
    <s v="-163.7965"/>
    <n v="247"/>
    <x v="0"/>
    <n v="28.3"/>
    <n v="76.2"/>
    <x v="2"/>
    <n v="53"/>
    <n v="190"/>
    <n v="10"/>
    <x v="3"/>
    <n v="93.6"/>
    <x v="102"/>
    <x v="0"/>
  </r>
  <r>
    <d v="2024-03-28T07:21:29"/>
    <x v="3"/>
    <s v="-30.5476"/>
    <s v="63.5282"/>
    <n v="148"/>
    <x v="0"/>
    <n v="19"/>
    <n v="50.3"/>
    <x v="0"/>
    <n v="50"/>
    <n v="481"/>
    <n v="2"/>
    <x v="3"/>
    <n v="87.3"/>
    <x v="68"/>
    <x v="0"/>
  </r>
  <r>
    <d v="2024-04-28T03:36:13"/>
    <x v="1"/>
    <s v="-16.8317"/>
    <s v="-114.4787"/>
    <n v="205"/>
    <x v="1"/>
    <n v="23.4"/>
    <n v="61.4"/>
    <x v="2"/>
    <n v="31"/>
    <n v="279"/>
    <n v="2"/>
    <x v="2"/>
    <n v="79.099999999999994"/>
    <x v="115"/>
    <x v="1"/>
  </r>
  <r>
    <d v="2024-04-12T19:45:26"/>
    <x v="5"/>
    <s v="42.6126"/>
    <s v="-69.5408"/>
    <n v="243"/>
    <x v="1"/>
    <n v="28.9"/>
    <n v="57.8"/>
    <x v="2"/>
    <n v="33"/>
    <n v="277"/>
    <n v="10"/>
    <x v="2"/>
    <n v="84.4"/>
    <x v="74"/>
    <x v="1"/>
  </r>
  <r>
    <d v="2024-12-30T02:31:31"/>
    <x v="6"/>
    <s v="44.5289"/>
    <s v="31.1002"/>
    <n v="226"/>
    <x v="0"/>
    <n v="21"/>
    <n v="69.400000000000006"/>
    <x v="0"/>
    <n v="27"/>
    <n v="406"/>
    <n v="5"/>
    <x v="0"/>
    <n v="99.9"/>
    <x v="0"/>
    <x v="0"/>
  </r>
  <r>
    <d v="2024-07-31T17:11:19"/>
    <x v="5"/>
    <s v="84.7161"/>
    <s v="77.1114"/>
    <n v="350"/>
    <x v="2"/>
    <n v="23.7"/>
    <n v="59.8"/>
    <x v="0"/>
    <n v="42"/>
    <n v="188"/>
    <n v="10"/>
    <x v="0"/>
    <n v="98.6"/>
    <x v="19"/>
    <x v="1"/>
  </r>
  <r>
    <d v="2024-01-04T19:58:15"/>
    <x v="4"/>
    <s v="-64.0954"/>
    <s v="-155.4074"/>
    <n v="272"/>
    <x v="0"/>
    <n v="23.4"/>
    <n v="57.2"/>
    <x v="2"/>
    <n v="51"/>
    <n v="419"/>
    <n v="6"/>
    <x v="3"/>
    <n v="63.1"/>
    <x v="174"/>
    <x v="0"/>
  </r>
  <r>
    <d v="2024-02-05T00:48:18"/>
    <x v="5"/>
    <s v="20.3388"/>
    <s v="-109.3313"/>
    <n v="378"/>
    <x v="1"/>
    <n v="21"/>
    <n v="60.8"/>
    <x v="1"/>
    <n v="30"/>
    <n v="318"/>
    <n v="3"/>
    <x v="1"/>
    <n v="84.8"/>
    <x v="98"/>
    <x v="0"/>
  </r>
  <r>
    <d v="2024-09-27T17:22:08"/>
    <x v="2"/>
    <s v="-14.5017"/>
    <s v="-20.1486"/>
    <n v="127"/>
    <x v="0"/>
    <n v="23.7"/>
    <n v="51.2"/>
    <x v="1"/>
    <n v="38"/>
    <n v="463"/>
    <n v="1"/>
    <x v="2"/>
    <n v="78.900000000000006"/>
    <x v="75"/>
    <x v="0"/>
  </r>
  <r>
    <d v="2024-10-07T14:26:04"/>
    <x v="4"/>
    <s v="-35.3643"/>
    <s v="134.8909"/>
    <n v="275"/>
    <x v="1"/>
    <n v="23"/>
    <n v="55.7"/>
    <x v="2"/>
    <n v="39"/>
    <n v="264"/>
    <n v="1"/>
    <x v="3"/>
    <n v="64.400000000000006"/>
    <x v="97"/>
    <x v="1"/>
  </r>
  <r>
    <d v="2024-01-09T23:18:24"/>
    <x v="0"/>
    <s v="1.3295"/>
    <s v="83.6357"/>
    <n v="483"/>
    <x v="0"/>
    <n v="28.6"/>
    <n v="72.400000000000006"/>
    <x v="2"/>
    <n v="51"/>
    <n v="243"/>
    <n v="1"/>
    <x v="2"/>
    <n v="73.7"/>
    <x v="195"/>
    <x v="0"/>
  </r>
  <r>
    <d v="2024-01-01T18:29:17"/>
    <x v="7"/>
    <s v="88.7652"/>
    <s v="-178.2706"/>
    <n v="179"/>
    <x v="0"/>
    <n v="25.5"/>
    <n v="70.900000000000006"/>
    <x v="0"/>
    <n v="12"/>
    <n v="427"/>
    <n v="9"/>
    <x v="0"/>
    <n v="60.3"/>
    <x v="169"/>
    <x v="0"/>
  </r>
  <r>
    <d v="2024-12-18T08:24:56"/>
    <x v="7"/>
    <s v="54.4930"/>
    <s v="24.5979"/>
    <n v="325"/>
    <x v="2"/>
    <n v="26.4"/>
    <n v="53.7"/>
    <x v="0"/>
    <n v="49"/>
    <n v="495"/>
    <n v="3"/>
    <x v="1"/>
    <n v="79.5"/>
    <x v="113"/>
    <x v="1"/>
  </r>
  <r>
    <d v="2024-01-16T09:47:08"/>
    <x v="2"/>
    <s v="49.7431"/>
    <s v="156.3216"/>
    <n v="256"/>
    <x v="2"/>
    <n v="22.3"/>
    <n v="66.3"/>
    <x v="1"/>
    <n v="10"/>
    <n v="462"/>
    <n v="1"/>
    <x v="1"/>
    <n v="95.5"/>
    <x v="110"/>
    <x v="0"/>
  </r>
  <r>
    <d v="2024-09-12T03:14:24"/>
    <x v="4"/>
    <s v="-86.9357"/>
    <s v="-84.9718"/>
    <n v="405"/>
    <x v="1"/>
    <n v="20.5"/>
    <n v="55.6"/>
    <x v="1"/>
    <n v="25"/>
    <n v="442"/>
    <n v="4"/>
    <x v="2"/>
    <n v="70.5"/>
    <x v="141"/>
    <x v="0"/>
  </r>
  <r>
    <d v="2024-11-16T01:47:31"/>
    <x v="8"/>
    <s v="-59.6078"/>
    <s v="157.0200"/>
    <n v="428"/>
    <x v="0"/>
    <n v="23.5"/>
    <n v="67.3"/>
    <x v="1"/>
    <n v="33"/>
    <n v="152"/>
    <n v="8"/>
    <x v="0"/>
    <n v="71.3"/>
    <x v="167"/>
    <x v="0"/>
  </r>
  <r>
    <d v="2024-05-22T04:50:14"/>
    <x v="9"/>
    <s v="-10.9298"/>
    <s v="-89.0306"/>
    <n v="247"/>
    <x v="0"/>
    <n v="18.3"/>
    <n v="56.7"/>
    <x v="1"/>
    <n v="60"/>
    <n v="194"/>
    <n v="6"/>
    <x v="0"/>
    <n v="66.8"/>
    <x v="65"/>
    <x v="0"/>
  </r>
  <r>
    <d v="2024-06-03T20:17:37"/>
    <x v="6"/>
    <s v="-54.3571"/>
    <s v="-133.1938"/>
    <n v="276"/>
    <x v="2"/>
    <n v="19.600000000000001"/>
    <n v="53.4"/>
    <x v="1"/>
    <n v="38"/>
    <n v="408"/>
    <n v="2"/>
    <x v="2"/>
    <n v="89.2"/>
    <x v="115"/>
    <x v="0"/>
  </r>
  <r>
    <d v="2024-03-17T00:18:41"/>
    <x v="6"/>
    <s v="-82.1754"/>
    <s v="-169.4219"/>
    <n v="410"/>
    <x v="2"/>
    <n v="25"/>
    <n v="72.900000000000006"/>
    <x v="2"/>
    <n v="21"/>
    <n v="306"/>
    <n v="2"/>
    <x v="2"/>
    <n v="71.2"/>
    <x v="165"/>
    <x v="1"/>
  </r>
  <r>
    <d v="2024-07-21T09:43:53"/>
    <x v="9"/>
    <s v="-11.3631"/>
    <s v="83.0819"/>
    <n v="449"/>
    <x v="2"/>
    <n v="28.8"/>
    <n v="76.2"/>
    <x v="2"/>
    <n v="31"/>
    <n v="234"/>
    <n v="8"/>
    <x v="2"/>
    <n v="91.7"/>
    <x v="38"/>
    <x v="1"/>
  </r>
  <r>
    <d v="2024-04-05T06:44:52"/>
    <x v="1"/>
    <s v="-48.3838"/>
    <s v="-163.1177"/>
    <n v="403"/>
    <x v="2"/>
    <n v="19.399999999999999"/>
    <n v="70.3"/>
    <x v="2"/>
    <n v="43"/>
    <n v="238"/>
    <n v="5"/>
    <x v="3"/>
    <n v="79.7"/>
    <x v="86"/>
    <x v="1"/>
  </r>
  <r>
    <d v="2024-01-16T17:28:55"/>
    <x v="0"/>
    <s v="7.0557"/>
    <s v="-122.6525"/>
    <n v="380"/>
    <x v="0"/>
    <n v="27.1"/>
    <n v="71.5"/>
    <x v="2"/>
    <n v="23"/>
    <n v="373"/>
    <n v="3"/>
    <x v="3"/>
    <n v="97.1"/>
    <x v="137"/>
    <x v="0"/>
  </r>
  <r>
    <d v="2024-12-18T01:23:54"/>
    <x v="8"/>
    <s v="-1.0776"/>
    <s v="51.9075"/>
    <n v="417"/>
    <x v="1"/>
    <n v="27"/>
    <n v="62.8"/>
    <x v="1"/>
    <n v="33"/>
    <n v="373"/>
    <n v="1"/>
    <x v="1"/>
    <n v="74.099999999999994"/>
    <x v="62"/>
    <x v="0"/>
  </r>
  <r>
    <d v="2024-12-18T14:40:09"/>
    <x v="9"/>
    <s v="-81.5733"/>
    <s v="-17.3787"/>
    <n v="169"/>
    <x v="0"/>
    <n v="28.4"/>
    <n v="74.400000000000006"/>
    <x v="1"/>
    <n v="53"/>
    <n v="342"/>
    <n v="6"/>
    <x v="2"/>
    <n v="98.1"/>
    <x v="127"/>
    <x v="0"/>
  </r>
  <r>
    <d v="2024-03-04T09:04:38"/>
    <x v="0"/>
    <s v="75.2109"/>
    <s v="170.3371"/>
    <n v="382"/>
    <x v="0"/>
    <n v="22.2"/>
    <n v="63.2"/>
    <x v="2"/>
    <n v="12"/>
    <n v="467"/>
    <n v="6"/>
    <x v="0"/>
    <n v="80.599999999999994"/>
    <x v="190"/>
    <x v="0"/>
  </r>
  <r>
    <d v="2024-11-08T02:08:22"/>
    <x v="1"/>
    <s v="-21.4288"/>
    <s v="-164.2915"/>
    <n v="404"/>
    <x v="0"/>
    <n v="18.8"/>
    <n v="69.3"/>
    <x v="0"/>
    <n v="59"/>
    <n v="307"/>
    <n v="10"/>
    <x v="1"/>
    <n v="67.7"/>
    <x v="89"/>
    <x v="0"/>
  </r>
  <r>
    <d v="2024-05-22T03:32:11"/>
    <x v="6"/>
    <s v="-49.1450"/>
    <s v="-120.0898"/>
    <n v="399"/>
    <x v="0"/>
    <n v="20.100000000000001"/>
    <n v="74.2"/>
    <x v="0"/>
    <n v="54"/>
    <n v="317"/>
    <n v="8"/>
    <x v="3"/>
    <n v="88.2"/>
    <x v="47"/>
    <x v="0"/>
  </r>
  <r>
    <d v="2024-07-16T02:28:08"/>
    <x v="9"/>
    <s v="-87.3835"/>
    <s v="60.4609"/>
    <n v="271"/>
    <x v="2"/>
    <n v="24.6"/>
    <n v="73"/>
    <x v="0"/>
    <n v="53"/>
    <n v="382"/>
    <n v="3"/>
    <x v="0"/>
    <n v="94.1"/>
    <x v="119"/>
    <x v="1"/>
  </r>
  <r>
    <d v="2024-01-20T21:06:05"/>
    <x v="9"/>
    <s v="69.6413"/>
    <s v="1.4327"/>
    <n v="332"/>
    <x v="0"/>
    <n v="18.8"/>
    <n v="74.7"/>
    <x v="1"/>
    <n v="16"/>
    <n v="279"/>
    <n v="2"/>
    <x v="0"/>
    <n v="61.8"/>
    <x v="46"/>
    <x v="0"/>
  </r>
  <r>
    <d v="2024-04-16T03:03:08"/>
    <x v="8"/>
    <s v="19.9466"/>
    <s v="-104.4665"/>
    <n v="445"/>
    <x v="2"/>
    <n v="25.7"/>
    <n v="50.8"/>
    <x v="1"/>
    <n v="28"/>
    <n v="414"/>
    <n v="2"/>
    <x v="1"/>
    <n v="75.5"/>
    <x v="50"/>
    <x v="0"/>
  </r>
  <r>
    <d v="2024-02-07T04:52:21"/>
    <x v="1"/>
    <s v="19.5573"/>
    <s v="171.8697"/>
    <n v="426"/>
    <x v="1"/>
    <n v="23.6"/>
    <n v="58"/>
    <x v="1"/>
    <n v="47"/>
    <n v="263"/>
    <n v="1"/>
    <x v="2"/>
    <n v="92.9"/>
    <x v="80"/>
    <x v="0"/>
  </r>
  <r>
    <d v="2024-01-16T04:10:14"/>
    <x v="1"/>
    <s v="-46.9621"/>
    <s v="87.6972"/>
    <n v="419"/>
    <x v="1"/>
    <n v="27"/>
    <n v="56.7"/>
    <x v="0"/>
    <n v="25"/>
    <n v="378"/>
    <n v="2"/>
    <x v="0"/>
    <n v="74.3"/>
    <x v="60"/>
    <x v="1"/>
  </r>
  <r>
    <d v="2024-01-12T02:20:39"/>
    <x v="4"/>
    <s v="-34.4433"/>
    <s v="-4.0669"/>
    <n v="128"/>
    <x v="0"/>
    <n v="29"/>
    <n v="71"/>
    <x v="0"/>
    <n v="12"/>
    <n v="404"/>
    <n v="8"/>
    <x v="2"/>
    <n v="81.3"/>
    <x v="75"/>
    <x v="0"/>
  </r>
  <r>
    <d v="2024-10-16T20:45:23"/>
    <x v="3"/>
    <s v="-7.8199"/>
    <s v="-78.2150"/>
    <n v="200"/>
    <x v="1"/>
    <n v="19.2"/>
    <n v="67.7"/>
    <x v="1"/>
    <n v="11"/>
    <n v="349"/>
    <n v="6"/>
    <x v="0"/>
    <n v="73.599999999999994"/>
    <x v="186"/>
    <x v="0"/>
  </r>
  <r>
    <d v="2024-08-01T09:16:16"/>
    <x v="6"/>
    <s v="11.6611"/>
    <s v="44.7505"/>
    <n v="434"/>
    <x v="2"/>
    <n v="29.4"/>
    <n v="76.3"/>
    <x v="1"/>
    <n v="30"/>
    <n v="166"/>
    <n v="1"/>
    <x v="0"/>
    <n v="94.6"/>
    <x v="30"/>
    <x v="0"/>
  </r>
  <r>
    <d v="2024-01-13T21:07:39"/>
    <x v="9"/>
    <s v="-12.4175"/>
    <s v="135.9866"/>
    <n v="339"/>
    <x v="0"/>
    <n v="26.4"/>
    <n v="73.8"/>
    <x v="2"/>
    <n v="58"/>
    <n v="488"/>
    <n v="3"/>
    <x v="0"/>
    <n v="89.3"/>
    <x v="186"/>
    <x v="0"/>
  </r>
  <r>
    <d v="2024-03-27T04:33:58"/>
    <x v="2"/>
    <s v="-79.3451"/>
    <s v="-52.5151"/>
    <n v="224"/>
    <x v="2"/>
    <n v="19"/>
    <n v="79.900000000000006"/>
    <x v="1"/>
    <n v="17"/>
    <n v="139"/>
    <n v="4"/>
    <x v="1"/>
    <n v="96.1"/>
    <x v="145"/>
    <x v="0"/>
  </r>
  <r>
    <d v="2024-03-15T14:48:46"/>
    <x v="2"/>
    <s v="24.4216"/>
    <s v="-7.0649"/>
    <n v="387"/>
    <x v="0"/>
    <n v="18.399999999999999"/>
    <n v="79.5"/>
    <x v="2"/>
    <n v="17"/>
    <n v="456"/>
    <n v="2"/>
    <x v="1"/>
    <n v="65.900000000000006"/>
    <x v="26"/>
    <x v="0"/>
  </r>
  <r>
    <d v="2024-04-25T10:07:09"/>
    <x v="6"/>
    <s v="71.7196"/>
    <s v="-107.3427"/>
    <n v="146"/>
    <x v="0"/>
    <n v="26"/>
    <n v="57.2"/>
    <x v="2"/>
    <n v="47"/>
    <n v="188"/>
    <n v="4"/>
    <x v="3"/>
    <n v="76"/>
    <x v="120"/>
    <x v="0"/>
  </r>
  <r>
    <d v="2024-08-20T01:28:08"/>
    <x v="4"/>
    <s v="-69.6585"/>
    <s v="23.6323"/>
    <n v="177"/>
    <x v="1"/>
    <n v="18.600000000000001"/>
    <n v="74.5"/>
    <x v="1"/>
    <n v="16"/>
    <n v="429"/>
    <n v="1"/>
    <x v="2"/>
    <n v="72.400000000000006"/>
    <x v="165"/>
    <x v="0"/>
  </r>
  <r>
    <d v="2024-07-02T13:50:19"/>
    <x v="9"/>
    <s v="67.3650"/>
    <s v="71.5047"/>
    <n v="316"/>
    <x v="0"/>
    <n v="26.4"/>
    <n v="60"/>
    <x v="0"/>
    <n v="36"/>
    <n v="274"/>
    <n v="1"/>
    <x v="1"/>
    <n v="68.2"/>
    <x v="196"/>
    <x v="0"/>
  </r>
  <r>
    <d v="2024-07-06T13:05:43"/>
    <x v="3"/>
    <s v="-31.9611"/>
    <s v="-75.8092"/>
    <n v="458"/>
    <x v="1"/>
    <n v="25"/>
    <n v="79.599999999999994"/>
    <x v="1"/>
    <n v="56"/>
    <n v="303"/>
    <n v="1"/>
    <x v="0"/>
    <n v="73.8"/>
    <x v="8"/>
    <x v="0"/>
  </r>
  <r>
    <d v="2024-06-16T11:37:07"/>
    <x v="4"/>
    <s v="-82.4812"/>
    <s v="139.0580"/>
    <n v="481"/>
    <x v="2"/>
    <n v="24"/>
    <n v="72.5"/>
    <x v="0"/>
    <n v="34"/>
    <n v="152"/>
    <n v="4"/>
    <x v="3"/>
    <n v="79.8"/>
    <x v="186"/>
    <x v="1"/>
  </r>
  <r>
    <d v="2024-06-12T09:44:35"/>
    <x v="8"/>
    <s v="25.3254"/>
    <s v="132.6264"/>
    <n v="231"/>
    <x v="2"/>
    <n v="19.399999999999999"/>
    <n v="66.599999999999994"/>
    <x v="1"/>
    <n v="32"/>
    <n v="289"/>
    <n v="8"/>
    <x v="3"/>
    <n v="77.599999999999994"/>
    <x v="28"/>
    <x v="0"/>
  </r>
  <r>
    <d v="2024-07-20T20:03:39"/>
    <x v="8"/>
    <s v="40.7401"/>
    <s v="110.4737"/>
    <n v="129"/>
    <x v="2"/>
    <n v="19.2"/>
    <n v="77.900000000000006"/>
    <x v="0"/>
    <n v="11"/>
    <n v="448"/>
    <n v="4"/>
    <x v="0"/>
    <n v="68.900000000000006"/>
    <x v="165"/>
    <x v="1"/>
  </r>
  <r>
    <d v="2024-10-16T14:41:08"/>
    <x v="9"/>
    <s v="-53.7790"/>
    <s v="30.8863"/>
    <n v="398"/>
    <x v="2"/>
    <n v="29.1"/>
    <n v="75.3"/>
    <x v="0"/>
    <n v="58"/>
    <n v="172"/>
    <n v="1"/>
    <x v="2"/>
    <n v="99.3"/>
    <x v="192"/>
    <x v="1"/>
  </r>
  <r>
    <d v="2024-09-02T03:17:19"/>
    <x v="8"/>
    <s v="-39.3791"/>
    <s v="-53.1316"/>
    <n v="149"/>
    <x v="0"/>
    <n v="19.8"/>
    <n v="51.3"/>
    <x v="1"/>
    <n v="24"/>
    <n v="386"/>
    <n v="6"/>
    <x v="3"/>
    <n v="87.2"/>
    <x v="118"/>
    <x v="0"/>
  </r>
  <r>
    <d v="2024-07-20T16:26:17"/>
    <x v="8"/>
    <s v="46.2788"/>
    <s v="41.3453"/>
    <n v="338"/>
    <x v="1"/>
    <n v="20.6"/>
    <n v="65"/>
    <x v="0"/>
    <n v="56"/>
    <n v="421"/>
    <n v="2"/>
    <x v="3"/>
    <n v="86.9"/>
    <x v="184"/>
    <x v="1"/>
  </r>
  <r>
    <d v="2024-08-19T00:05:12"/>
    <x v="0"/>
    <s v="-65.9199"/>
    <s v="-160.2292"/>
    <n v="252"/>
    <x v="1"/>
    <n v="27.1"/>
    <n v="59.8"/>
    <x v="0"/>
    <n v="53"/>
    <n v="457"/>
    <n v="8"/>
    <x v="2"/>
    <n v="95.4"/>
    <x v="90"/>
    <x v="1"/>
  </r>
  <r>
    <d v="2024-03-04T10:19:51"/>
    <x v="8"/>
    <s v="-32.2707"/>
    <s v="98.1472"/>
    <n v="330"/>
    <x v="2"/>
    <n v="26.5"/>
    <n v="59.2"/>
    <x v="2"/>
    <n v="51"/>
    <n v="274"/>
    <n v="3"/>
    <x v="2"/>
    <n v="69.099999999999994"/>
    <x v="138"/>
    <x v="1"/>
  </r>
  <r>
    <d v="2024-10-01T07:42:57"/>
    <x v="8"/>
    <s v="73.3920"/>
    <s v="-62.3138"/>
    <n v="464"/>
    <x v="0"/>
    <n v="28.2"/>
    <n v="61.4"/>
    <x v="1"/>
    <n v="20"/>
    <n v="177"/>
    <n v="3"/>
    <x v="1"/>
    <n v="60.3"/>
    <x v="145"/>
    <x v="0"/>
  </r>
  <r>
    <d v="2024-02-02T12:51:41"/>
    <x v="6"/>
    <s v="77.7678"/>
    <s v="-165.1979"/>
    <n v="141"/>
    <x v="0"/>
    <n v="27.7"/>
    <n v="55"/>
    <x v="2"/>
    <n v="12"/>
    <n v="432"/>
    <n v="10"/>
    <x v="3"/>
    <n v="87.5"/>
    <x v="104"/>
    <x v="0"/>
  </r>
  <r>
    <d v="2024-10-31T06:24:27"/>
    <x v="8"/>
    <s v="-2.8228"/>
    <s v="75.2804"/>
    <n v="463"/>
    <x v="1"/>
    <n v="19.5"/>
    <n v="64.400000000000006"/>
    <x v="0"/>
    <n v="32"/>
    <n v="244"/>
    <n v="1"/>
    <x v="2"/>
    <n v="69.8"/>
    <x v="109"/>
    <x v="1"/>
  </r>
  <r>
    <d v="2024-12-01T04:41:08"/>
    <x v="6"/>
    <s v="-74.2780"/>
    <s v="137.4560"/>
    <n v="223"/>
    <x v="1"/>
    <n v="25.2"/>
    <n v="54.1"/>
    <x v="0"/>
    <n v="45"/>
    <n v="121"/>
    <n v="1"/>
    <x v="3"/>
    <n v="85.9"/>
    <x v="187"/>
    <x v="1"/>
  </r>
  <r>
    <d v="2024-03-15T02:17:56"/>
    <x v="2"/>
    <s v="-21.5797"/>
    <s v="129.7599"/>
    <n v="301"/>
    <x v="1"/>
    <n v="18.5"/>
    <n v="75.3"/>
    <x v="2"/>
    <n v="39"/>
    <n v="140"/>
    <n v="6"/>
    <x v="1"/>
    <n v="78.5"/>
    <x v="118"/>
    <x v="1"/>
  </r>
  <r>
    <d v="2024-03-05T22:52:24"/>
    <x v="2"/>
    <s v="35.9521"/>
    <s v="5.7750"/>
    <n v="195"/>
    <x v="2"/>
    <n v="26.9"/>
    <n v="79.8"/>
    <x v="2"/>
    <n v="57"/>
    <n v="190"/>
    <n v="2"/>
    <x v="2"/>
    <n v="60.6"/>
    <x v="21"/>
    <x v="1"/>
  </r>
  <r>
    <d v="2024-10-26T23:46:59"/>
    <x v="0"/>
    <s v="-8.7267"/>
    <s v="-140.3988"/>
    <n v="310"/>
    <x v="2"/>
    <n v="23.8"/>
    <n v="72.400000000000006"/>
    <x v="2"/>
    <n v="53"/>
    <n v="277"/>
    <n v="4"/>
    <x v="3"/>
    <n v="91.3"/>
    <x v="62"/>
    <x v="1"/>
  </r>
  <r>
    <d v="2024-03-17T17:11:29"/>
    <x v="5"/>
    <s v="-56.1219"/>
    <s v="135.4235"/>
    <n v="100"/>
    <x v="1"/>
    <n v="23.6"/>
    <n v="64.3"/>
    <x v="0"/>
    <n v="29"/>
    <n v="276"/>
    <n v="5"/>
    <x v="3"/>
    <n v="89.1"/>
    <x v="6"/>
    <x v="1"/>
  </r>
  <r>
    <d v="2024-01-13T15:51:27"/>
    <x v="9"/>
    <s v="23.2259"/>
    <s v="110.6901"/>
    <n v="147"/>
    <x v="1"/>
    <n v="18.7"/>
    <n v="68.5"/>
    <x v="1"/>
    <n v="25"/>
    <n v="439"/>
    <n v="9"/>
    <x v="0"/>
    <n v="75.2"/>
    <x v="34"/>
    <x v="0"/>
  </r>
  <r>
    <d v="2024-05-30T23:00:59"/>
    <x v="3"/>
    <s v="-53.6993"/>
    <s v="79.0096"/>
    <n v="251"/>
    <x v="0"/>
    <n v="22.8"/>
    <n v="62.9"/>
    <x v="1"/>
    <n v="52"/>
    <n v="173"/>
    <n v="3"/>
    <x v="3"/>
    <n v="72.900000000000006"/>
    <x v="151"/>
    <x v="0"/>
  </r>
  <r>
    <d v="2024-07-31T22:57:20"/>
    <x v="0"/>
    <s v="-3.8220"/>
    <s v="-40.3169"/>
    <n v="108"/>
    <x v="2"/>
    <n v="26.6"/>
    <n v="61.7"/>
    <x v="0"/>
    <n v="47"/>
    <n v="122"/>
    <n v="7"/>
    <x v="1"/>
    <n v="64.599999999999994"/>
    <x v="132"/>
    <x v="1"/>
  </r>
  <r>
    <d v="2024-06-13T04:47:01"/>
    <x v="1"/>
    <s v="-48.0530"/>
    <s v="-175.0849"/>
    <n v="340"/>
    <x v="1"/>
    <n v="27.9"/>
    <n v="69.099999999999994"/>
    <x v="2"/>
    <n v="32"/>
    <n v="162"/>
    <n v="2"/>
    <x v="1"/>
    <n v="90.9"/>
    <x v="167"/>
    <x v="1"/>
  </r>
  <r>
    <d v="2024-07-06T15:59:22"/>
    <x v="7"/>
    <s v="68.1320"/>
    <s v="-51.5071"/>
    <n v="167"/>
    <x v="0"/>
    <n v="21.6"/>
    <n v="54.6"/>
    <x v="2"/>
    <n v="46"/>
    <n v="240"/>
    <n v="10"/>
    <x v="1"/>
    <n v="60.5"/>
    <x v="104"/>
    <x v="0"/>
  </r>
  <r>
    <d v="2024-02-28T12:30:38"/>
    <x v="7"/>
    <s v="-80.4289"/>
    <s v="177.5580"/>
    <n v="488"/>
    <x v="2"/>
    <n v="24.9"/>
    <n v="79.2"/>
    <x v="1"/>
    <n v="52"/>
    <n v="290"/>
    <n v="10"/>
    <x v="2"/>
    <n v="82.5"/>
    <x v="19"/>
    <x v="0"/>
  </r>
  <r>
    <d v="2024-03-22T06:45:28"/>
    <x v="6"/>
    <s v="42.9526"/>
    <s v="146.6224"/>
    <n v="330"/>
    <x v="2"/>
    <n v="24.4"/>
    <n v="79.5"/>
    <x v="2"/>
    <n v="19"/>
    <n v="110"/>
    <n v="7"/>
    <x v="0"/>
    <n v="66.3"/>
    <x v="99"/>
    <x v="1"/>
  </r>
  <r>
    <d v="2024-01-29T19:22:37"/>
    <x v="3"/>
    <s v="-40.5556"/>
    <s v="55.0777"/>
    <n v="177"/>
    <x v="2"/>
    <n v="25.6"/>
    <n v="71.900000000000006"/>
    <x v="0"/>
    <n v="20"/>
    <n v="193"/>
    <n v="6"/>
    <x v="3"/>
    <n v="95.5"/>
    <x v="59"/>
    <x v="1"/>
  </r>
  <r>
    <d v="2024-07-09T02:11:05"/>
    <x v="4"/>
    <s v="-12.7845"/>
    <s v="-147.2449"/>
    <n v="132"/>
    <x v="2"/>
    <n v="22.9"/>
    <n v="66.5"/>
    <x v="2"/>
    <n v="35"/>
    <n v="209"/>
    <n v="6"/>
    <x v="3"/>
    <n v="94.3"/>
    <x v="62"/>
    <x v="1"/>
  </r>
  <r>
    <d v="2024-06-20T13:30:09"/>
    <x v="1"/>
    <s v="-63.6304"/>
    <s v="164.1850"/>
    <n v="208"/>
    <x v="0"/>
    <n v="22.5"/>
    <n v="65.900000000000006"/>
    <x v="1"/>
    <n v="38"/>
    <n v="462"/>
    <n v="7"/>
    <x v="1"/>
    <n v="83.1"/>
    <x v="197"/>
    <x v="0"/>
  </r>
  <r>
    <d v="2024-06-01T00:41:56"/>
    <x v="1"/>
    <s v="21.8816"/>
    <s v="128.7922"/>
    <n v="348"/>
    <x v="0"/>
    <n v="25.8"/>
    <n v="62.9"/>
    <x v="0"/>
    <n v="24"/>
    <n v="352"/>
    <n v="6"/>
    <x v="1"/>
    <n v="96.5"/>
    <x v="172"/>
    <x v="0"/>
  </r>
  <r>
    <d v="2024-03-23T20:27:30"/>
    <x v="4"/>
    <s v="-85.9619"/>
    <s v="103.5733"/>
    <n v="156"/>
    <x v="1"/>
    <n v="19.399999999999999"/>
    <n v="75.2"/>
    <x v="1"/>
    <n v="44"/>
    <n v="135"/>
    <n v="1"/>
    <x v="1"/>
    <n v="66.599999999999994"/>
    <x v="179"/>
    <x v="0"/>
  </r>
  <r>
    <d v="2024-04-18T04:50:13"/>
    <x v="8"/>
    <s v="-36.6154"/>
    <s v="-46.3008"/>
    <n v="468"/>
    <x v="2"/>
    <n v="26.6"/>
    <n v="59"/>
    <x v="1"/>
    <n v="16"/>
    <n v="144"/>
    <n v="4"/>
    <x v="1"/>
    <n v="86.8"/>
    <x v="110"/>
    <x v="0"/>
  </r>
  <r>
    <d v="2024-06-26T09:25:46"/>
    <x v="0"/>
    <s v="-85.0916"/>
    <s v="68.3039"/>
    <n v="142"/>
    <x v="0"/>
    <n v="28.4"/>
    <n v="67.3"/>
    <x v="0"/>
    <n v="30"/>
    <n v="181"/>
    <n v="6"/>
    <x v="1"/>
    <n v="84.3"/>
    <x v="153"/>
    <x v="0"/>
  </r>
  <r>
    <d v="2024-02-04T01:08:26"/>
    <x v="2"/>
    <s v="-13.6168"/>
    <s v="-165.0825"/>
    <n v="349"/>
    <x v="1"/>
    <n v="21.1"/>
    <n v="55.1"/>
    <x v="1"/>
    <n v="13"/>
    <n v="453"/>
    <n v="10"/>
    <x v="1"/>
    <n v="65.099999999999994"/>
    <x v="102"/>
    <x v="0"/>
  </r>
  <r>
    <d v="2024-04-01T16:27:12"/>
    <x v="4"/>
    <s v="42.6032"/>
    <s v="146.1485"/>
    <n v="226"/>
    <x v="2"/>
    <n v="23.9"/>
    <n v="61.2"/>
    <x v="1"/>
    <n v="13"/>
    <n v="211"/>
    <n v="2"/>
    <x v="3"/>
    <n v="67.5"/>
    <x v="182"/>
    <x v="0"/>
  </r>
  <r>
    <d v="2024-08-14T21:28:50"/>
    <x v="5"/>
    <s v="86.8195"/>
    <s v="-21.0786"/>
    <n v="481"/>
    <x v="1"/>
    <n v="22.4"/>
    <n v="77.900000000000006"/>
    <x v="0"/>
    <n v="25"/>
    <n v="143"/>
    <n v="8"/>
    <x v="2"/>
    <n v="71.400000000000006"/>
    <x v="144"/>
    <x v="1"/>
  </r>
  <r>
    <d v="2024-10-03T18:21:52"/>
    <x v="8"/>
    <s v="-82.6294"/>
    <s v="-72.3332"/>
    <n v="448"/>
    <x v="2"/>
    <n v="20.100000000000001"/>
    <n v="65.7"/>
    <x v="2"/>
    <n v="20"/>
    <n v="180"/>
    <n v="7"/>
    <x v="3"/>
    <n v="61.7"/>
    <x v="7"/>
    <x v="1"/>
  </r>
  <r>
    <d v="2024-03-25T12:22:10"/>
    <x v="8"/>
    <s v="41.9728"/>
    <s v="81.4274"/>
    <n v="441"/>
    <x v="0"/>
    <n v="18.899999999999999"/>
    <n v="67"/>
    <x v="0"/>
    <n v="48"/>
    <n v="359"/>
    <n v="8"/>
    <x v="3"/>
    <n v="76"/>
    <x v="167"/>
    <x v="0"/>
  </r>
  <r>
    <d v="2024-09-12T22:46:47"/>
    <x v="2"/>
    <s v="-7.3863"/>
    <s v="-44.8767"/>
    <n v="470"/>
    <x v="2"/>
    <n v="25.1"/>
    <n v="70.3"/>
    <x v="1"/>
    <n v="11"/>
    <n v="417"/>
    <n v="3"/>
    <x v="3"/>
    <n v="76.5"/>
    <x v="105"/>
    <x v="0"/>
  </r>
  <r>
    <d v="2024-05-03T22:24:53"/>
    <x v="2"/>
    <s v="-21.2573"/>
    <s v="12.4574"/>
    <n v="459"/>
    <x v="1"/>
    <n v="26.4"/>
    <n v="50.6"/>
    <x v="1"/>
    <n v="17"/>
    <n v="222"/>
    <n v="9"/>
    <x v="2"/>
    <n v="94.9"/>
    <x v="42"/>
    <x v="0"/>
  </r>
  <r>
    <d v="2024-05-27T09:56:34"/>
    <x v="1"/>
    <s v="-33.9378"/>
    <s v="-176.3102"/>
    <n v="324"/>
    <x v="1"/>
    <n v="27.7"/>
    <n v="54.8"/>
    <x v="2"/>
    <n v="46"/>
    <n v="344"/>
    <n v="10"/>
    <x v="2"/>
    <n v="70.7"/>
    <x v="73"/>
    <x v="1"/>
  </r>
  <r>
    <d v="2024-05-25T08:35:36"/>
    <x v="6"/>
    <s v="23.9115"/>
    <s v="179.0046"/>
    <n v="194"/>
    <x v="0"/>
    <n v="24.9"/>
    <n v="57.9"/>
    <x v="0"/>
    <n v="10"/>
    <n v="220"/>
    <n v="3"/>
    <x v="0"/>
    <n v="77.3"/>
    <x v="67"/>
    <x v="0"/>
  </r>
  <r>
    <d v="2024-03-20T08:55:41"/>
    <x v="3"/>
    <s v="-80.5196"/>
    <s v="-2.9668"/>
    <n v="334"/>
    <x v="2"/>
    <n v="22.8"/>
    <n v="61.1"/>
    <x v="2"/>
    <n v="52"/>
    <n v="389"/>
    <n v="2"/>
    <x v="2"/>
    <n v="88"/>
    <x v="43"/>
    <x v="1"/>
  </r>
  <r>
    <d v="2024-05-23T15:33:36"/>
    <x v="5"/>
    <s v="45.8603"/>
    <s v="148.4775"/>
    <n v="179"/>
    <x v="2"/>
    <n v="25.5"/>
    <n v="75.8"/>
    <x v="2"/>
    <n v="19"/>
    <n v="139"/>
    <n v="9"/>
    <x v="2"/>
    <n v="83.5"/>
    <x v="23"/>
    <x v="1"/>
  </r>
  <r>
    <d v="2024-10-19T23:58:05"/>
    <x v="6"/>
    <s v="60.0491"/>
    <s v="-175.5019"/>
    <n v="401"/>
    <x v="0"/>
    <n v="27.1"/>
    <n v="67.2"/>
    <x v="0"/>
    <n v="51"/>
    <n v="487"/>
    <n v="3"/>
    <x v="1"/>
    <n v="86.3"/>
    <x v="11"/>
    <x v="0"/>
  </r>
  <r>
    <d v="2024-04-11T04:39:16"/>
    <x v="2"/>
    <s v="-33.9528"/>
    <s v="-54.2201"/>
    <n v="384"/>
    <x v="1"/>
    <n v="24.2"/>
    <n v="72.5"/>
    <x v="1"/>
    <n v="50"/>
    <n v="131"/>
    <n v="3"/>
    <x v="1"/>
    <n v="80.099999999999994"/>
    <x v="85"/>
    <x v="0"/>
  </r>
  <r>
    <d v="2024-03-10T06:12:13"/>
    <x v="3"/>
    <s v="7.9549"/>
    <s v="-109.2897"/>
    <n v="434"/>
    <x v="2"/>
    <n v="22"/>
    <n v="69.2"/>
    <x v="1"/>
    <n v="17"/>
    <n v="233"/>
    <n v="10"/>
    <x v="0"/>
    <n v="63.4"/>
    <x v="72"/>
    <x v="0"/>
  </r>
  <r>
    <d v="2024-12-28T10:46:03"/>
    <x v="2"/>
    <s v="-6.9237"/>
    <s v="20.9631"/>
    <n v="366"/>
    <x v="0"/>
    <n v="18.7"/>
    <n v="59.1"/>
    <x v="0"/>
    <n v="39"/>
    <n v="466"/>
    <n v="6"/>
    <x v="2"/>
    <n v="82.7"/>
    <x v="99"/>
    <x v="0"/>
  </r>
  <r>
    <d v="2024-05-06T07:22:22"/>
    <x v="7"/>
    <s v="-80.5883"/>
    <s v="-167.4673"/>
    <n v="269"/>
    <x v="1"/>
    <n v="27.7"/>
    <n v="57.5"/>
    <x v="0"/>
    <n v="54"/>
    <n v="288"/>
    <n v="6"/>
    <x v="0"/>
    <n v="89.8"/>
    <x v="132"/>
    <x v="1"/>
  </r>
  <r>
    <d v="2024-01-17T04:29:26"/>
    <x v="9"/>
    <s v="-60.3563"/>
    <s v="95.7232"/>
    <n v="292"/>
    <x v="2"/>
    <n v="22.7"/>
    <n v="61"/>
    <x v="2"/>
    <n v="42"/>
    <n v="358"/>
    <n v="9"/>
    <x v="3"/>
    <n v="77.7"/>
    <x v="15"/>
    <x v="1"/>
  </r>
  <r>
    <d v="2024-09-28T01:41:47"/>
    <x v="1"/>
    <s v="-83.3207"/>
    <s v="19.9119"/>
    <n v="288"/>
    <x v="2"/>
    <n v="25.4"/>
    <n v="62"/>
    <x v="2"/>
    <n v="54"/>
    <n v="154"/>
    <n v="2"/>
    <x v="2"/>
    <n v="71.900000000000006"/>
    <x v="70"/>
    <x v="1"/>
  </r>
  <r>
    <d v="2024-03-06T02:39:46"/>
    <x v="6"/>
    <s v="-54.4964"/>
    <s v="-93.8603"/>
    <n v="286"/>
    <x v="2"/>
    <n v="20.7"/>
    <n v="59"/>
    <x v="1"/>
    <n v="43"/>
    <n v="387"/>
    <n v="4"/>
    <x v="2"/>
    <n v="60.7"/>
    <x v="32"/>
    <x v="0"/>
  </r>
  <r>
    <d v="2024-08-16T05:55:39"/>
    <x v="0"/>
    <s v="66.5399"/>
    <s v="160.5510"/>
    <n v="155"/>
    <x v="0"/>
    <n v="24"/>
    <n v="72.400000000000006"/>
    <x v="0"/>
    <n v="28"/>
    <n v="398"/>
    <n v="6"/>
    <x v="2"/>
    <n v="63.8"/>
    <x v="104"/>
    <x v="0"/>
  </r>
  <r>
    <d v="2024-08-07T09:39:53"/>
    <x v="6"/>
    <s v="16.1144"/>
    <s v="-24.4118"/>
    <n v="488"/>
    <x v="2"/>
    <n v="26.5"/>
    <n v="66.599999999999994"/>
    <x v="1"/>
    <n v="41"/>
    <n v="104"/>
    <n v="1"/>
    <x v="3"/>
    <n v="67.099999999999994"/>
    <x v="74"/>
    <x v="0"/>
  </r>
  <r>
    <d v="2024-04-30T20:36:22"/>
    <x v="6"/>
    <s v="-84.9601"/>
    <s v="17.4992"/>
    <n v="386"/>
    <x v="1"/>
    <n v="21.8"/>
    <n v="79.7"/>
    <x v="0"/>
    <n v="15"/>
    <n v="463"/>
    <n v="1"/>
    <x v="2"/>
    <n v="75"/>
    <x v="9"/>
    <x v="1"/>
  </r>
  <r>
    <d v="2024-07-03T12:38:53"/>
    <x v="7"/>
    <s v="-62.6441"/>
    <s v="-34.4446"/>
    <n v="153"/>
    <x v="2"/>
    <n v="20.7"/>
    <n v="55.3"/>
    <x v="0"/>
    <n v="55"/>
    <n v="304"/>
    <n v="8"/>
    <x v="0"/>
    <n v="79.5"/>
    <x v="139"/>
    <x v="1"/>
  </r>
  <r>
    <d v="2024-04-27T09:13:01"/>
    <x v="8"/>
    <s v="82.9727"/>
    <s v="171.1469"/>
    <n v="317"/>
    <x v="0"/>
    <n v="26.5"/>
    <n v="52.7"/>
    <x v="1"/>
    <n v="37"/>
    <n v="427"/>
    <n v="2"/>
    <x v="2"/>
    <n v="69.900000000000006"/>
    <x v="81"/>
    <x v="0"/>
  </r>
  <r>
    <d v="2024-12-11T16:22:11"/>
    <x v="8"/>
    <s v="-50.8081"/>
    <s v="11.3148"/>
    <n v="281"/>
    <x v="1"/>
    <n v="28"/>
    <n v="73.5"/>
    <x v="0"/>
    <n v="43"/>
    <n v="390"/>
    <n v="5"/>
    <x v="3"/>
    <n v="86.4"/>
    <x v="187"/>
    <x v="1"/>
  </r>
  <r>
    <d v="2024-04-30T19:31:45"/>
    <x v="6"/>
    <s v="67.8612"/>
    <s v="174.7961"/>
    <n v="473"/>
    <x v="0"/>
    <n v="24.8"/>
    <n v="61.7"/>
    <x v="1"/>
    <n v="19"/>
    <n v="360"/>
    <n v="10"/>
    <x v="1"/>
    <n v="97.3"/>
    <x v="122"/>
    <x v="0"/>
  </r>
  <r>
    <d v="2024-03-26T15:40:51"/>
    <x v="0"/>
    <s v="52.0415"/>
    <s v="-64.6403"/>
    <n v="221"/>
    <x v="2"/>
    <n v="25.2"/>
    <n v="68.5"/>
    <x v="0"/>
    <n v="41"/>
    <n v="101"/>
    <n v="9"/>
    <x v="0"/>
    <n v="99.3"/>
    <x v="181"/>
    <x v="1"/>
  </r>
  <r>
    <d v="2024-02-19T23:24:03"/>
    <x v="5"/>
    <s v="-74.9003"/>
    <s v="146.0765"/>
    <n v="276"/>
    <x v="1"/>
    <n v="29.2"/>
    <n v="77.099999999999994"/>
    <x v="2"/>
    <n v="39"/>
    <n v="483"/>
    <n v="7"/>
    <x v="0"/>
    <n v="71.5"/>
    <x v="169"/>
    <x v="1"/>
  </r>
  <r>
    <d v="2024-09-15T01:08:22"/>
    <x v="8"/>
    <s v="-10.7414"/>
    <s v="-56.5849"/>
    <n v="331"/>
    <x v="2"/>
    <n v="21.6"/>
    <n v="61.2"/>
    <x v="1"/>
    <n v="24"/>
    <n v="450"/>
    <n v="8"/>
    <x v="2"/>
    <n v="64.400000000000006"/>
    <x v="43"/>
    <x v="0"/>
  </r>
  <r>
    <d v="2024-05-07T12:49:54"/>
    <x v="5"/>
    <s v="77.4360"/>
    <s v="42.5290"/>
    <n v="249"/>
    <x v="2"/>
    <n v="24.3"/>
    <n v="78.8"/>
    <x v="1"/>
    <n v="13"/>
    <n v="125"/>
    <n v="2"/>
    <x v="3"/>
    <n v="78.7"/>
    <x v="79"/>
    <x v="0"/>
  </r>
  <r>
    <d v="2024-06-30T04:50:57"/>
    <x v="9"/>
    <s v="-39.7010"/>
    <s v="158.9084"/>
    <n v="379"/>
    <x v="0"/>
    <n v="23.8"/>
    <n v="78.8"/>
    <x v="0"/>
    <n v="22"/>
    <n v="361"/>
    <n v="5"/>
    <x v="1"/>
    <n v="89.3"/>
    <x v="136"/>
    <x v="0"/>
  </r>
  <r>
    <d v="2024-11-08T03:31:33"/>
    <x v="2"/>
    <s v="65.9337"/>
    <s v="130.6003"/>
    <n v="489"/>
    <x v="1"/>
    <n v="18.399999999999999"/>
    <n v="59.9"/>
    <x v="0"/>
    <n v="28"/>
    <n v="136"/>
    <n v="9"/>
    <x v="2"/>
    <n v="74.3"/>
    <x v="75"/>
    <x v="1"/>
  </r>
  <r>
    <d v="2024-09-27T15:16:09"/>
    <x v="6"/>
    <s v="-3.7749"/>
    <s v="-110.6148"/>
    <n v="211"/>
    <x v="1"/>
    <n v="19.8"/>
    <n v="52.8"/>
    <x v="1"/>
    <n v="23"/>
    <n v="423"/>
    <n v="1"/>
    <x v="2"/>
    <n v="80.599999999999994"/>
    <x v="146"/>
    <x v="0"/>
  </r>
  <r>
    <d v="2024-10-26T22:42:24"/>
    <x v="6"/>
    <s v="-22.1627"/>
    <s v="-58.0963"/>
    <n v="454"/>
    <x v="1"/>
    <n v="18.899999999999999"/>
    <n v="50.9"/>
    <x v="0"/>
    <n v="45"/>
    <n v="230"/>
    <n v="7"/>
    <x v="1"/>
    <n v="70.2"/>
    <x v="132"/>
    <x v="1"/>
  </r>
  <r>
    <d v="2024-09-23T14:50:23"/>
    <x v="2"/>
    <s v="-7.7974"/>
    <s v="-150.3367"/>
    <n v="427"/>
    <x v="1"/>
    <n v="23.9"/>
    <n v="56.2"/>
    <x v="1"/>
    <n v="31"/>
    <n v="443"/>
    <n v="3"/>
    <x v="0"/>
    <n v="89"/>
    <x v="161"/>
    <x v="0"/>
  </r>
  <r>
    <d v="2024-08-19T08:18:25"/>
    <x v="0"/>
    <s v="-47.9015"/>
    <s v="-121.4183"/>
    <n v="332"/>
    <x v="1"/>
    <n v="24.4"/>
    <n v="69.5"/>
    <x v="1"/>
    <n v="27"/>
    <n v="343"/>
    <n v="5"/>
    <x v="2"/>
    <n v="87.6"/>
    <x v="21"/>
    <x v="0"/>
  </r>
  <r>
    <d v="2024-10-20T12:32:47"/>
    <x v="9"/>
    <s v="64.0594"/>
    <s v="-102.2596"/>
    <n v="195"/>
    <x v="1"/>
    <n v="19.3"/>
    <n v="70.599999999999994"/>
    <x v="1"/>
    <n v="34"/>
    <n v="134"/>
    <n v="2"/>
    <x v="2"/>
    <n v="98.2"/>
    <x v="30"/>
    <x v="0"/>
  </r>
  <r>
    <d v="2024-07-27T09:16:20"/>
    <x v="3"/>
    <s v="38.5127"/>
    <s v="-17.3878"/>
    <n v="249"/>
    <x v="2"/>
    <n v="23.6"/>
    <n v="74.3"/>
    <x v="0"/>
    <n v="45"/>
    <n v="482"/>
    <n v="7"/>
    <x v="3"/>
    <n v="66.8"/>
    <x v="126"/>
    <x v="1"/>
  </r>
  <r>
    <d v="2024-11-26T11:25:34"/>
    <x v="4"/>
    <s v="53.4470"/>
    <s v="-162.7863"/>
    <n v="274"/>
    <x v="0"/>
    <n v="22"/>
    <n v="51.1"/>
    <x v="1"/>
    <n v="38"/>
    <n v="175"/>
    <n v="4"/>
    <x v="2"/>
    <n v="64"/>
    <x v="143"/>
    <x v="0"/>
  </r>
  <r>
    <d v="2024-05-23T20:20:51"/>
    <x v="1"/>
    <s v="77.9980"/>
    <s v="-97.0043"/>
    <n v="272"/>
    <x v="1"/>
    <n v="19"/>
    <n v="72.099999999999994"/>
    <x v="0"/>
    <n v="32"/>
    <n v="113"/>
    <n v="6"/>
    <x v="0"/>
    <n v="94.9"/>
    <x v="114"/>
    <x v="1"/>
  </r>
  <r>
    <d v="2024-08-26T13:29:17"/>
    <x v="9"/>
    <s v="-83.1143"/>
    <s v="74.2100"/>
    <n v="214"/>
    <x v="0"/>
    <n v="27"/>
    <n v="55"/>
    <x v="2"/>
    <n v="18"/>
    <n v="319"/>
    <n v="3"/>
    <x v="3"/>
    <n v="67"/>
    <x v="51"/>
    <x v="0"/>
  </r>
  <r>
    <d v="2024-01-15T08:13:04"/>
    <x v="1"/>
    <s v="14.4593"/>
    <s v="157.9293"/>
    <n v="487"/>
    <x v="0"/>
    <n v="18.7"/>
    <n v="62"/>
    <x v="0"/>
    <n v="35"/>
    <n v="432"/>
    <n v="9"/>
    <x v="0"/>
    <n v="72.3"/>
    <x v="156"/>
    <x v="0"/>
  </r>
  <r>
    <d v="2024-10-11T10:29:57"/>
    <x v="2"/>
    <s v="-48.6056"/>
    <s v="-11.5509"/>
    <n v="420"/>
    <x v="0"/>
    <n v="29.9"/>
    <n v="64.599999999999994"/>
    <x v="1"/>
    <n v="34"/>
    <n v="282"/>
    <n v="10"/>
    <x v="3"/>
    <n v="79.400000000000006"/>
    <x v="32"/>
    <x v="0"/>
  </r>
  <r>
    <d v="2024-05-17T11:54:58"/>
    <x v="8"/>
    <s v="-11.6172"/>
    <s v="47.7390"/>
    <n v="135"/>
    <x v="0"/>
    <n v="24.7"/>
    <n v="67.099999999999994"/>
    <x v="1"/>
    <n v="26"/>
    <n v="380"/>
    <n v="7"/>
    <x v="2"/>
    <n v="64.599999999999994"/>
    <x v="99"/>
    <x v="0"/>
  </r>
  <r>
    <d v="2024-08-16T22:23:42"/>
    <x v="9"/>
    <s v="17.7318"/>
    <s v="-166.4083"/>
    <n v="269"/>
    <x v="1"/>
    <n v="25.2"/>
    <n v="63.5"/>
    <x v="0"/>
    <n v="19"/>
    <n v="262"/>
    <n v="7"/>
    <x v="1"/>
    <n v="71.599999999999994"/>
    <x v="188"/>
    <x v="1"/>
  </r>
  <r>
    <d v="2024-08-22T09:00:38"/>
    <x v="5"/>
    <s v="-31.4958"/>
    <s v="-37.5932"/>
    <n v="419"/>
    <x v="2"/>
    <n v="21"/>
    <n v="74.2"/>
    <x v="2"/>
    <n v="29"/>
    <n v="386"/>
    <n v="9"/>
    <x v="2"/>
    <n v="95.1"/>
    <x v="122"/>
    <x v="1"/>
  </r>
  <r>
    <d v="2024-09-02T16:36:48"/>
    <x v="1"/>
    <s v="79.6896"/>
    <s v="84.1175"/>
    <n v="407"/>
    <x v="2"/>
    <n v="23.5"/>
    <n v="77.7"/>
    <x v="0"/>
    <n v="55"/>
    <n v="351"/>
    <n v="6"/>
    <x v="0"/>
    <n v="68.400000000000006"/>
    <x v="173"/>
    <x v="1"/>
  </r>
  <r>
    <d v="2024-12-16T12:03:58"/>
    <x v="3"/>
    <s v="-79.5331"/>
    <s v="-178.6658"/>
    <n v="331"/>
    <x v="1"/>
    <n v="24.2"/>
    <n v="74"/>
    <x v="0"/>
    <n v="60"/>
    <n v="225"/>
    <n v="8"/>
    <x v="0"/>
    <n v="61"/>
    <x v="184"/>
    <x v="1"/>
  </r>
  <r>
    <d v="2024-02-27T15:58:37"/>
    <x v="9"/>
    <s v="63.9549"/>
    <s v="-128.7581"/>
    <n v="444"/>
    <x v="1"/>
    <n v="20.8"/>
    <n v="63.9"/>
    <x v="1"/>
    <n v="38"/>
    <n v="203"/>
    <n v="1"/>
    <x v="1"/>
    <n v="73.7"/>
    <x v="128"/>
    <x v="0"/>
  </r>
  <r>
    <d v="2024-10-16T12:27:49"/>
    <x v="9"/>
    <s v="61.1522"/>
    <s v="5.9286"/>
    <n v="319"/>
    <x v="1"/>
    <n v="29.1"/>
    <n v="61.3"/>
    <x v="0"/>
    <n v="24"/>
    <n v="392"/>
    <n v="7"/>
    <x v="0"/>
    <n v="72.8"/>
    <x v="43"/>
    <x v="1"/>
  </r>
  <r>
    <d v="2024-04-27T12:02:57"/>
    <x v="2"/>
    <s v="-26.3913"/>
    <s v="-155.6326"/>
    <n v="402"/>
    <x v="2"/>
    <n v="21"/>
    <n v="66.3"/>
    <x v="2"/>
    <n v="52"/>
    <n v="306"/>
    <n v="10"/>
    <x v="1"/>
    <n v="70.099999999999994"/>
    <x v="164"/>
    <x v="1"/>
  </r>
  <r>
    <d v="2024-08-07T08:25:04"/>
    <x v="2"/>
    <s v="14.8779"/>
    <s v="-139.1721"/>
    <n v="269"/>
    <x v="0"/>
    <n v="19"/>
    <n v="73.599999999999994"/>
    <x v="2"/>
    <n v="50"/>
    <n v="307"/>
    <n v="3"/>
    <x v="3"/>
    <n v="68.099999999999994"/>
    <x v="129"/>
    <x v="0"/>
  </r>
  <r>
    <d v="2024-07-23T23:11:06"/>
    <x v="2"/>
    <s v="49.6418"/>
    <s v="-121.3862"/>
    <n v="318"/>
    <x v="1"/>
    <n v="22.5"/>
    <n v="59.3"/>
    <x v="1"/>
    <n v="18"/>
    <n v="331"/>
    <n v="9"/>
    <x v="0"/>
    <n v="97.3"/>
    <x v="90"/>
    <x v="0"/>
  </r>
  <r>
    <d v="2024-09-23T02:31:52"/>
    <x v="7"/>
    <s v="-48.6654"/>
    <s v="115.3562"/>
    <n v="388"/>
    <x v="2"/>
    <n v="24.6"/>
    <n v="74.3"/>
    <x v="0"/>
    <n v="29"/>
    <n v="461"/>
    <n v="1"/>
    <x v="3"/>
    <n v="68.099999999999994"/>
    <x v="174"/>
    <x v="1"/>
  </r>
  <r>
    <d v="2024-10-18T06:34:56"/>
    <x v="1"/>
    <s v="38.0470"/>
    <s v="-80.0446"/>
    <n v="166"/>
    <x v="0"/>
    <n v="26.9"/>
    <n v="58.3"/>
    <x v="2"/>
    <n v="29"/>
    <n v="283"/>
    <n v="3"/>
    <x v="1"/>
    <n v="64.099999999999994"/>
    <x v="41"/>
    <x v="0"/>
  </r>
  <r>
    <d v="2024-04-23T08:06:46"/>
    <x v="2"/>
    <s v="9.8934"/>
    <s v="13.9028"/>
    <n v="338"/>
    <x v="2"/>
    <n v="28.7"/>
    <n v="65.599999999999994"/>
    <x v="1"/>
    <n v="45"/>
    <n v="348"/>
    <n v="8"/>
    <x v="2"/>
    <n v="96.1"/>
    <x v="116"/>
    <x v="0"/>
  </r>
  <r>
    <d v="2024-02-15T19:39:56"/>
    <x v="4"/>
    <s v="-43.0411"/>
    <s v="-154.0658"/>
    <n v="457"/>
    <x v="1"/>
    <n v="18.7"/>
    <n v="52.7"/>
    <x v="2"/>
    <n v="52"/>
    <n v="366"/>
    <n v="4"/>
    <x v="0"/>
    <n v="93.1"/>
    <x v="180"/>
    <x v="1"/>
  </r>
  <r>
    <d v="2024-06-17T14:27:56"/>
    <x v="1"/>
    <s v="-71.8307"/>
    <s v="-53.6072"/>
    <n v="274"/>
    <x v="2"/>
    <n v="21.5"/>
    <n v="74"/>
    <x v="1"/>
    <n v="23"/>
    <n v="448"/>
    <n v="5"/>
    <x v="3"/>
    <n v="74.7"/>
    <x v="150"/>
    <x v="0"/>
  </r>
  <r>
    <d v="2024-07-19T13:04:45"/>
    <x v="0"/>
    <s v="16.1221"/>
    <s v="79.0279"/>
    <n v="332"/>
    <x v="0"/>
    <n v="19.2"/>
    <n v="56.9"/>
    <x v="0"/>
    <n v="27"/>
    <n v="357"/>
    <n v="2"/>
    <x v="0"/>
    <n v="87.8"/>
    <x v="78"/>
    <x v="0"/>
  </r>
  <r>
    <d v="2024-09-30T14:31:08"/>
    <x v="4"/>
    <s v="1.3877"/>
    <s v="64.0078"/>
    <n v="388"/>
    <x v="1"/>
    <n v="27.4"/>
    <n v="50.6"/>
    <x v="0"/>
    <n v="58"/>
    <n v="401"/>
    <n v="5"/>
    <x v="3"/>
    <n v="81.400000000000006"/>
    <x v="37"/>
    <x v="1"/>
  </r>
  <r>
    <d v="2024-08-06T22:02:54"/>
    <x v="2"/>
    <s v="30.3691"/>
    <s v="-111.1134"/>
    <n v="377"/>
    <x v="2"/>
    <n v="18.2"/>
    <n v="51.7"/>
    <x v="0"/>
    <n v="34"/>
    <n v="306"/>
    <n v="8"/>
    <x v="2"/>
    <n v="87.9"/>
    <x v="138"/>
    <x v="1"/>
  </r>
  <r>
    <d v="2024-03-04T23:39:01"/>
    <x v="5"/>
    <s v="53.5170"/>
    <s v="152.1576"/>
    <n v="265"/>
    <x v="2"/>
    <n v="23.5"/>
    <n v="78.400000000000006"/>
    <x v="2"/>
    <n v="60"/>
    <n v="107"/>
    <n v="3"/>
    <x v="1"/>
    <n v="62.4"/>
    <x v="134"/>
    <x v="1"/>
  </r>
  <r>
    <d v="2024-06-09T06:11:00"/>
    <x v="6"/>
    <s v="-20.9840"/>
    <s v="-125.2428"/>
    <n v="316"/>
    <x v="0"/>
    <n v="19.8"/>
    <n v="70.599999999999994"/>
    <x v="0"/>
    <n v="18"/>
    <n v="194"/>
    <n v="4"/>
    <x v="3"/>
    <n v="95.8"/>
    <x v="28"/>
    <x v="0"/>
  </r>
  <r>
    <d v="2024-08-03T20:36:10"/>
    <x v="1"/>
    <s v="-59.8257"/>
    <s v="-2.9502"/>
    <n v="239"/>
    <x v="1"/>
    <n v="28.7"/>
    <n v="64"/>
    <x v="2"/>
    <n v="35"/>
    <n v="469"/>
    <n v="3"/>
    <x v="1"/>
    <n v="63.9"/>
    <x v="193"/>
    <x v="1"/>
  </r>
  <r>
    <d v="2024-04-14T08:17:18"/>
    <x v="7"/>
    <s v="-49.2845"/>
    <s v="40.5814"/>
    <n v="241"/>
    <x v="0"/>
    <n v="21.4"/>
    <n v="70.900000000000006"/>
    <x v="2"/>
    <n v="48"/>
    <n v="121"/>
    <n v="4"/>
    <x v="1"/>
    <n v="75.3"/>
    <x v="20"/>
    <x v="0"/>
  </r>
  <r>
    <d v="2024-07-28T07:33:03"/>
    <x v="2"/>
    <s v="88.2246"/>
    <s v="-148.6037"/>
    <n v="326"/>
    <x v="0"/>
    <n v="27.2"/>
    <n v="69.3"/>
    <x v="0"/>
    <n v="24"/>
    <n v="492"/>
    <n v="9"/>
    <x v="1"/>
    <n v="72.5"/>
    <x v="89"/>
    <x v="0"/>
  </r>
  <r>
    <d v="2024-09-13T12:35:37"/>
    <x v="5"/>
    <s v="-13.5350"/>
    <s v="94.6256"/>
    <n v="357"/>
    <x v="2"/>
    <n v="24"/>
    <n v="76.099999999999994"/>
    <x v="0"/>
    <n v="39"/>
    <n v="339"/>
    <n v="9"/>
    <x v="2"/>
    <n v="97.8"/>
    <x v="157"/>
    <x v="1"/>
  </r>
  <r>
    <d v="2024-09-05T05:28:16"/>
    <x v="1"/>
    <s v="57.1287"/>
    <s v="148.1805"/>
    <n v="279"/>
    <x v="2"/>
    <n v="19.600000000000001"/>
    <n v="55.9"/>
    <x v="1"/>
    <n v="30"/>
    <n v="187"/>
    <n v="9"/>
    <x v="2"/>
    <n v="90.5"/>
    <x v="105"/>
    <x v="0"/>
  </r>
  <r>
    <d v="2024-01-02T07:22:55"/>
    <x v="5"/>
    <s v="-61.8546"/>
    <s v="43.8074"/>
    <n v="106"/>
    <x v="2"/>
    <n v="26.7"/>
    <n v="53.3"/>
    <x v="0"/>
    <n v="39"/>
    <n v="128"/>
    <n v="5"/>
    <x v="1"/>
    <n v="88"/>
    <x v="83"/>
    <x v="1"/>
  </r>
  <r>
    <d v="2024-11-08T05:03:59"/>
    <x v="0"/>
    <s v="9.0931"/>
    <s v="-155.6411"/>
    <n v="381"/>
    <x v="1"/>
    <n v="20"/>
    <n v="52.9"/>
    <x v="2"/>
    <n v="13"/>
    <n v="216"/>
    <n v="5"/>
    <x v="1"/>
    <n v="87.3"/>
    <x v="3"/>
    <x v="1"/>
  </r>
  <r>
    <d v="2024-11-15T06:42:17"/>
    <x v="0"/>
    <s v="-19.6632"/>
    <s v="-133.2353"/>
    <n v="416"/>
    <x v="2"/>
    <n v="20.5"/>
    <n v="61.9"/>
    <x v="0"/>
    <n v="51"/>
    <n v="172"/>
    <n v="1"/>
    <x v="1"/>
    <n v="75.5"/>
    <x v="136"/>
    <x v="1"/>
  </r>
  <r>
    <d v="2024-12-16T21:09:29"/>
    <x v="3"/>
    <s v="43.4429"/>
    <s v="-106.3154"/>
    <n v="147"/>
    <x v="0"/>
    <n v="19"/>
    <n v="73.2"/>
    <x v="0"/>
    <n v="60"/>
    <n v="260"/>
    <n v="5"/>
    <x v="3"/>
    <n v="77.2"/>
    <x v="198"/>
    <x v="0"/>
  </r>
  <r>
    <d v="2024-03-27T02:27:30"/>
    <x v="7"/>
    <s v="-24.6226"/>
    <s v="30.2486"/>
    <n v="277"/>
    <x v="1"/>
    <n v="28.1"/>
    <n v="55.1"/>
    <x v="2"/>
    <n v="44"/>
    <n v="111"/>
    <n v="3"/>
    <x v="1"/>
    <n v="91.8"/>
    <x v="23"/>
    <x v="1"/>
  </r>
  <r>
    <d v="2024-09-29T14:00:13"/>
    <x v="9"/>
    <s v="5.6237"/>
    <s v="177.8639"/>
    <n v="116"/>
    <x v="2"/>
    <n v="23"/>
    <n v="79.599999999999994"/>
    <x v="0"/>
    <n v="55"/>
    <n v="362"/>
    <n v="1"/>
    <x v="0"/>
    <n v="96.6"/>
    <x v="33"/>
    <x v="1"/>
  </r>
  <r>
    <d v="2024-10-08T14:00:54"/>
    <x v="0"/>
    <s v="-49.8421"/>
    <s v="-83.2963"/>
    <n v="324"/>
    <x v="2"/>
    <n v="22.2"/>
    <n v="62.9"/>
    <x v="1"/>
    <n v="50"/>
    <n v="365"/>
    <n v="7"/>
    <x v="1"/>
    <n v="95.8"/>
    <x v="190"/>
    <x v="0"/>
  </r>
  <r>
    <d v="2024-12-23T22:24:48"/>
    <x v="9"/>
    <s v="22.5359"/>
    <s v="82.6248"/>
    <n v="325"/>
    <x v="1"/>
    <n v="26"/>
    <n v="56"/>
    <x v="2"/>
    <n v="34"/>
    <n v="359"/>
    <n v="4"/>
    <x v="0"/>
    <n v="72.2"/>
    <x v="19"/>
    <x v="1"/>
  </r>
  <r>
    <d v="2024-06-03T09:40:42"/>
    <x v="2"/>
    <s v="30.8916"/>
    <s v="173.4833"/>
    <n v="245"/>
    <x v="2"/>
    <n v="22"/>
    <n v="61.2"/>
    <x v="0"/>
    <n v="22"/>
    <n v="480"/>
    <n v="6"/>
    <x v="1"/>
    <n v="89.3"/>
    <x v="94"/>
    <x v="1"/>
  </r>
  <r>
    <d v="2024-06-26T11:19:42"/>
    <x v="8"/>
    <s v="3.0051"/>
    <s v="-89.4957"/>
    <n v="424"/>
    <x v="2"/>
    <n v="23.2"/>
    <n v="50.2"/>
    <x v="2"/>
    <n v="55"/>
    <n v="385"/>
    <n v="9"/>
    <x v="1"/>
    <n v="83.2"/>
    <x v="91"/>
    <x v="1"/>
  </r>
  <r>
    <d v="2024-12-13T17:26:27"/>
    <x v="8"/>
    <s v="-9.8416"/>
    <s v="87.3444"/>
    <n v="467"/>
    <x v="0"/>
    <n v="26.5"/>
    <n v="62.1"/>
    <x v="1"/>
    <n v="54"/>
    <n v="222"/>
    <n v="2"/>
    <x v="2"/>
    <n v="97.3"/>
    <x v="155"/>
    <x v="0"/>
  </r>
  <r>
    <d v="2024-03-24T12:07:04"/>
    <x v="4"/>
    <s v="-84.6425"/>
    <s v="70.4570"/>
    <n v="262"/>
    <x v="1"/>
    <n v="23.4"/>
    <n v="62"/>
    <x v="1"/>
    <n v="36"/>
    <n v="272"/>
    <n v="7"/>
    <x v="0"/>
    <n v="82.9"/>
    <x v="157"/>
    <x v="0"/>
  </r>
  <r>
    <d v="2024-09-17T03:48:24"/>
    <x v="0"/>
    <s v="1.8375"/>
    <s v="71.8110"/>
    <n v="356"/>
    <x v="2"/>
    <n v="21.6"/>
    <n v="60.4"/>
    <x v="2"/>
    <n v="45"/>
    <n v="292"/>
    <n v="1"/>
    <x v="3"/>
    <n v="94.3"/>
    <x v="37"/>
    <x v="1"/>
  </r>
  <r>
    <d v="2024-09-23T17:43:36"/>
    <x v="1"/>
    <s v="-69.8671"/>
    <s v="-68.0730"/>
    <n v="166"/>
    <x v="0"/>
    <n v="20.399999999999999"/>
    <n v="70.2"/>
    <x v="2"/>
    <n v="19"/>
    <n v="391"/>
    <n v="5"/>
    <x v="0"/>
    <n v="74"/>
    <x v="11"/>
    <x v="0"/>
  </r>
  <r>
    <d v="2024-11-19T04:06:22"/>
    <x v="4"/>
    <s v="72.8374"/>
    <s v="179.4522"/>
    <n v="349"/>
    <x v="1"/>
    <n v="25.6"/>
    <n v="53.9"/>
    <x v="1"/>
    <n v="26"/>
    <n v="189"/>
    <n v="9"/>
    <x v="1"/>
    <n v="77.099999999999994"/>
    <x v="0"/>
    <x v="0"/>
  </r>
  <r>
    <d v="2024-08-13T01:42:45"/>
    <x v="0"/>
    <s v="50.8775"/>
    <s v="-155.5478"/>
    <n v="338"/>
    <x v="2"/>
    <n v="26.8"/>
    <n v="68.3"/>
    <x v="0"/>
    <n v="45"/>
    <n v="458"/>
    <n v="9"/>
    <x v="3"/>
    <n v="76.7"/>
    <x v="117"/>
    <x v="1"/>
  </r>
  <r>
    <d v="2024-08-08T13:11:48"/>
    <x v="8"/>
    <s v="23.7118"/>
    <s v="-92.9098"/>
    <n v="273"/>
    <x v="2"/>
    <n v="19.899999999999999"/>
    <n v="63.6"/>
    <x v="2"/>
    <n v="27"/>
    <n v="265"/>
    <n v="8"/>
    <x v="1"/>
    <n v="77"/>
    <x v="68"/>
    <x v="1"/>
  </r>
  <r>
    <d v="2024-09-09T10:53:12"/>
    <x v="0"/>
    <s v="65.9641"/>
    <s v="85.9925"/>
    <n v="239"/>
    <x v="1"/>
    <n v="25.8"/>
    <n v="56"/>
    <x v="0"/>
    <n v="50"/>
    <n v="274"/>
    <n v="7"/>
    <x v="1"/>
    <n v="88.3"/>
    <x v="35"/>
    <x v="1"/>
  </r>
  <r>
    <d v="2024-11-27T09:05:44"/>
    <x v="3"/>
    <s v="41.7285"/>
    <s v="131.8376"/>
    <n v="278"/>
    <x v="2"/>
    <n v="22.8"/>
    <n v="52.9"/>
    <x v="1"/>
    <n v="18"/>
    <n v="104"/>
    <n v="4"/>
    <x v="2"/>
    <n v="71.2"/>
    <x v="189"/>
    <x v="0"/>
  </r>
  <r>
    <d v="2024-04-29T15:32:06"/>
    <x v="9"/>
    <s v="-79.2933"/>
    <s v="52.6196"/>
    <n v="412"/>
    <x v="0"/>
    <n v="20.2"/>
    <n v="65"/>
    <x v="2"/>
    <n v="14"/>
    <n v="230"/>
    <n v="2"/>
    <x v="3"/>
    <n v="72.900000000000006"/>
    <x v="123"/>
    <x v="0"/>
  </r>
  <r>
    <d v="2024-12-30T19:22:58"/>
    <x v="1"/>
    <s v="78.1285"/>
    <s v="162.4365"/>
    <n v="125"/>
    <x v="1"/>
    <n v="25.4"/>
    <n v="61.5"/>
    <x v="0"/>
    <n v="50"/>
    <n v="408"/>
    <n v="6"/>
    <x v="0"/>
    <n v="83.4"/>
    <x v="152"/>
    <x v="1"/>
  </r>
  <r>
    <d v="2024-12-19T21:18:37"/>
    <x v="6"/>
    <s v="56.5445"/>
    <s v="31.2501"/>
    <n v="404"/>
    <x v="2"/>
    <n v="24.7"/>
    <n v="74.2"/>
    <x v="1"/>
    <n v="23"/>
    <n v="459"/>
    <n v="1"/>
    <x v="2"/>
    <n v="71.7"/>
    <x v="51"/>
    <x v="0"/>
  </r>
  <r>
    <d v="2024-09-06T12:53:25"/>
    <x v="3"/>
    <s v="44.2451"/>
    <s v="-34.2571"/>
    <n v="392"/>
    <x v="2"/>
    <n v="29.1"/>
    <n v="51.3"/>
    <x v="2"/>
    <n v="35"/>
    <n v="434"/>
    <n v="7"/>
    <x v="0"/>
    <n v="70.8"/>
    <x v="123"/>
    <x v="1"/>
  </r>
  <r>
    <d v="2024-12-30T07:08:49"/>
    <x v="0"/>
    <s v="-27.8944"/>
    <s v="104.5170"/>
    <n v="145"/>
    <x v="2"/>
    <n v="29.8"/>
    <n v="75.7"/>
    <x v="0"/>
    <n v="60"/>
    <n v="287"/>
    <n v="9"/>
    <x v="2"/>
    <n v="87.6"/>
    <x v="198"/>
    <x v="1"/>
  </r>
  <r>
    <d v="2024-11-16T16:38:18"/>
    <x v="4"/>
    <s v="77.0206"/>
    <s v="0.8221"/>
    <n v="485"/>
    <x v="0"/>
    <n v="24.6"/>
    <n v="50.3"/>
    <x v="1"/>
    <n v="11"/>
    <n v="155"/>
    <n v="1"/>
    <x v="3"/>
    <n v="84.9"/>
    <x v="194"/>
    <x v="0"/>
  </r>
  <r>
    <d v="2024-06-08T09:09:10"/>
    <x v="4"/>
    <s v="72.3311"/>
    <s v="-105.9002"/>
    <n v="312"/>
    <x v="0"/>
    <n v="19.100000000000001"/>
    <n v="52"/>
    <x v="0"/>
    <n v="50"/>
    <n v="263"/>
    <n v="2"/>
    <x v="0"/>
    <n v="87.6"/>
    <x v="43"/>
    <x v="0"/>
  </r>
  <r>
    <d v="2024-04-24T17:57:19"/>
    <x v="1"/>
    <s v="-30.4204"/>
    <s v="70.9998"/>
    <n v="286"/>
    <x v="1"/>
    <n v="25.1"/>
    <n v="56.2"/>
    <x v="0"/>
    <n v="50"/>
    <n v="408"/>
    <n v="10"/>
    <x v="2"/>
    <n v="99.3"/>
    <x v="161"/>
    <x v="1"/>
  </r>
  <r>
    <d v="2024-03-01T20:32:48"/>
    <x v="7"/>
    <s v="-71.5279"/>
    <s v="-171.9428"/>
    <n v="396"/>
    <x v="1"/>
    <n v="23"/>
    <n v="61.1"/>
    <x v="2"/>
    <n v="14"/>
    <n v="439"/>
    <n v="8"/>
    <x v="0"/>
    <n v="91.9"/>
    <x v="114"/>
    <x v="1"/>
  </r>
  <r>
    <d v="2024-02-23T18:40:35"/>
    <x v="9"/>
    <s v="-53.2492"/>
    <s v="-17.1180"/>
    <n v="352"/>
    <x v="2"/>
    <n v="26.6"/>
    <n v="70.3"/>
    <x v="0"/>
    <n v="12"/>
    <n v="260"/>
    <n v="7"/>
    <x v="2"/>
    <n v="77.400000000000006"/>
    <x v="58"/>
    <x v="1"/>
  </r>
  <r>
    <d v="2024-09-25T05:14:38"/>
    <x v="0"/>
    <s v="-30.8076"/>
    <s v="-167.4756"/>
    <n v="410"/>
    <x v="2"/>
    <n v="28.4"/>
    <n v="52.7"/>
    <x v="0"/>
    <n v="48"/>
    <n v="352"/>
    <n v="8"/>
    <x v="1"/>
    <n v="95.5"/>
    <x v="142"/>
    <x v="1"/>
  </r>
  <r>
    <d v="2024-03-09T19:11:05"/>
    <x v="2"/>
    <s v="-44.7640"/>
    <s v="-118.3579"/>
    <n v="484"/>
    <x v="0"/>
    <n v="22.8"/>
    <n v="53.7"/>
    <x v="2"/>
    <n v="18"/>
    <n v="176"/>
    <n v="4"/>
    <x v="1"/>
    <n v="73.7"/>
    <x v="120"/>
    <x v="0"/>
  </r>
  <r>
    <d v="2024-01-29T14:54:57"/>
    <x v="9"/>
    <s v="47.5743"/>
    <s v="144.9980"/>
    <n v="152"/>
    <x v="1"/>
    <n v="18.7"/>
    <n v="68.599999999999994"/>
    <x v="2"/>
    <n v="51"/>
    <n v="483"/>
    <n v="2"/>
    <x v="1"/>
    <n v="87.8"/>
    <x v="175"/>
    <x v="1"/>
  </r>
  <r>
    <d v="2024-10-07T17:53:55"/>
    <x v="8"/>
    <s v="-23.2761"/>
    <s v="-88.0696"/>
    <n v="329"/>
    <x v="2"/>
    <n v="27.3"/>
    <n v="68.400000000000006"/>
    <x v="0"/>
    <n v="57"/>
    <n v="418"/>
    <n v="1"/>
    <x v="2"/>
    <n v="90"/>
    <x v="25"/>
    <x v="1"/>
  </r>
  <r>
    <d v="2024-10-17T15:23:46"/>
    <x v="7"/>
    <s v="-18.8295"/>
    <s v="76.8645"/>
    <n v="314"/>
    <x v="0"/>
    <n v="23.8"/>
    <n v="63.7"/>
    <x v="0"/>
    <n v="41"/>
    <n v="117"/>
    <n v="8"/>
    <x v="0"/>
    <n v="69.5"/>
    <x v="139"/>
    <x v="0"/>
  </r>
  <r>
    <d v="2024-01-30T00:58:41"/>
    <x v="7"/>
    <s v="58.3197"/>
    <s v="0.0698"/>
    <n v="121"/>
    <x v="1"/>
    <n v="27.2"/>
    <n v="71.099999999999994"/>
    <x v="0"/>
    <n v="44"/>
    <n v="340"/>
    <n v="8"/>
    <x v="0"/>
    <n v="74.599999999999994"/>
    <x v="137"/>
    <x v="1"/>
  </r>
  <r>
    <d v="2024-08-15T08:04:23"/>
    <x v="9"/>
    <s v="-84.8788"/>
    <s v="-37.2609"/>
    <n v="428"/>
    <x v="2"/>
    <n v="24.1"/>
    <n v="58.4"/>
    <x v="0"/>
    <n v="11"/>
    <n v="111"/>
    <n v="6"/>
    <x v="1"/>
    <n v="81.099999999999994"/>
    <x v="102"/>
    <x v="1"/>
  </r>
  <r>
    <d v="2024-02-06T09:01:38"/>
    <x v="2"/>
    <s v="28.3870"/>
    <s v="33.4827"/>
    <n v="113"/>
    <x v="1"/>
    <n v="23"/>
    <n v="73.400000000000006"/>
    <x v="0"/>
    <n v="50"/>
    <n v="309"/>
    <n v="8"/>
    <x v="2"/>
    <n v="71.7"/>
    <x v="193"/>
    <x v="1"/>
  </r>
  <r>
    <d v="2024-01-08T14:39:40"/>
    <x v="0"/>
    <s v="87.0180"/>
    <s v="-27.3053"/>
    <n v="201"/>
    <x v="0"/>
    <n v="27.9"/>
    <n v="64.400000000000006"/>
    <x v="2"/>
    <n v="30"/>
    <n v="198"/>
    <n v="7"/>
    <x v="1"/>
    <n v="93.9"/>
    <x v="110"/>
    <x v="0"/>
  </r>
  <r>
    <d v="2024-04-11T06:00:56"/>
    <x v="6"/>
    <s v="-9.7509"/>
    <s v="-86.2981"/>
    <n v="227"/>
    <x v="0"/>
    <n v="28.3"/>
    <n v="62.8"/>
    <x v="0"/>
    <n v="30"/>
    <n v="400"/>
    <n v="4"/>
    <x v="2"/>
    <n v="68.2"/>
    <x v="192"/>
    <x v="0"/>
  </r>
  <r>
    <d v="2024-03-20T21:32:29"/>
    <x v="5"/>
    <s v="79.8212"/>
    <s v="-21.6975"/>
    <n v="445"/>
    <x v="2"/>
    <n v="25.3"/>
    <n v="57.9"/>
    <x v="0"/>
    <n v="38"/>
    <n v="364"/>
    <n v="1"/>
    <x v="2"/>
    <n v="93.6"/>
    <x v="180"/>
    <x v="1"/>
  </r>
  <r>
    <d v="2024-04-29T10:31:08"/>
    <x v="5"/>
    <s v="33.0027"/>
    <s v="-70.5854"/>
    <n v="407"/>
    <x v="1"/>
    <n v="29.6"/>
    <n v="64.3"/>
    <x v="1"/>
    <n v="10"/>
    <n v="102"/>
    <n v="6"/>
    <x v="0"/>
    <n v="98.5"/>
    <x v="159"/>
    <x v="0"/>
  </r>
  <r>
    <d v="2024-12-20T11:12:28"/>
    <x v="6"/>
    <s v="-12.4520"/>
    <s v="-174.3397"/>
    <n v="135"/>
    <x v="1"/>
    <n v="22.9"/>
    <n v="60.9"/>
    <x v="1"/>
    <n v="42"/>
    <n v="379"/>
    <n v="8"/>
    <x v="2"/>
    <n v="93.2"/>
    <x v="174"/>
    <x v="0"/>
  </r>
  <r>
    <d v="2024-07-05T18:54:49"/>
    <x v="9"/>
    <s v="-19.6171"/>
    <s v="-163.0539"/>
    <n v="160"/>
    <x v="2"/>
    <n v="22.3"/>
    <n v="69.7"/>
    <x v="0"/>
    <n v="37"/>
    <n v="255"/>
    <n v="7"/>
    <x v="2"/>
    <n v="66.8"/>
    <x v="16"/>
    <x v="1"/>
  </r>
  <r>
    <d v="2024-02-27T01:39:05"/>
    <x v="8"/>
    <s v="13.7939"/>
    <s v="25.2973"/>
    <n v="472"/>
    <x v="1"/>
    <n v="22.7"/>
    <n v="53"/>
    <x v="1"/>
    <n v="30"/>
    <n v="389"/>
    <n v="6"/>
    <x v="1"/>
    <n v="86.8"/>
    <x v="182"/>
    <x v="0"/>
  </r>
  <r>
    <d v="2024-10-11T19:36:19"/>
    <x v="2"/>
    <s v="-46.8643"/>
    <s v="158.7293"/>
    <n v="408"/>
    <x v="1"/>
    <n v="19.5"/>
    <n v="65.2"/>
    <x v="0"/>
    <n v="25"/>
    <n v="230"/>
    <n v="3"/>
    <x v="2"/>
    <n v="61.9"/>
    <x v="69"/>
    <x v="1"/>
  </r>
  <r>
    <d v="2024-12-28T10:23:37"/>
    <x v="4"/>
    <s v="-35.2452"/>
    <s v="78.2544"/>
    <n v="306"/>
    <x v="0"/>
    <n v="26.1"/>
    <n v="74.8"/>
    <x v="1"/>
    <n v="37"/>
    <n v="232"/>
    <n v="7"/>
    <x v="0"/>
    <n v="77.099999999999994"/>
    <x v="46"/>
    <x v="0"/>
  </r>
  <r>
    <d v="2024-01-28T02:18:52"/>
    <x v="7"/>
    <s v="17.5448"/>
    <s v="-68.5291"/>
    <n v="107"/>
    <x v="1"/>
    <n v="28.6"/>
    <n v="54.6"/>
    <x v="0"/>
    <n v="52"/>
    <n v="180"/>
    <n v="1"/>
    <x v="2"/>
    <n v="89.8"/>
    <x v="192"/>
    <x v="1"/>
  </r>
  <r>
    <d v="2024-10-11T05:31:10"/>
    <x v="5"/>
    <s v="-87.1408"/>
    <s v="-147.3922"/>
    <n v="155"/>
    <x v="2"/>
    <n v="26.9"/>
    <n v="75"/>
    <x v="0"/>
    <n v="25"/>
    <n v="446"/>
    <n v="5"/>
    <x v="3"/>
    <n v="96.8"/>
    <x v="111"/>
    <x v="1"/>
  </r>
  <r>
    <d v="2024-10-07T13:44:52"/>
    <x v="2"/>
    <s v="-73.5498"/>
    <s v="115.0268"/>
    <n v="414"/>
    <x v="2"/>
    <n v="26.8"/>
    <n v="73.900000000000006"/>
    <x v="1"/>
    <n v="14"/>
    <n v="130"/>
    <n v="1"/>
    <x v="3"/>
    <n v="86.9"/>
    <x v="58"/>
    <x v="0"/>
  </r>
  <r>
    <d v="2024-06-07T10:37:34"/>
    <x v="8"/>
    <s v="75.2230"/>
    <s v="158.8602"/>
    <n v="177"/>
    <x v="0"/>
    <n v="19.899999999999999"/>
    <n v="58.4"/>
    <x v="2"/>
    <n v="57"/>
    <n v="335"/>
    <n v="5"/>
    <x v="1"/>
    <n v="98.6"/>
    <x v="106"/>
    <x v="0"/>
  </r>
  <r>
    <d v="2024-12-20T04:15:05"/>
    <x v="3"/>
    <s v="-40.8267"/>
    <s v="51.4673"/>
    <n v="118"/>
    <x v="2"/>
    <n v="26.8"/>
    <n v="65.400000000000006"/>
    <x v="0"/>
    <n v="21"/>
    <n v="475"/>
    <n v="1"/>
    <x v="3"/>
    <n v="96.9"/>
    <x v="79"/>
    <x v="1"/>
  </r>
  <r>
    <d v="2024-02-11T21:05:23"/>
    <x v="9"/>
    <s v="-80.2129"/>
    <s v="116.4288"/>
    <n v="438"/>
    <x v="1"/>
    <n v="25"/>
    <n v="65.2"/>
    <x v="0"/>
    <n v="49"/>
    <n v="421"/>
    <n v="3"/>
    <x v="0"/>
    <n v="82.4"/>
    <x v="90"/>
    <x v="1"/>
  </r>
  <r>
    <d v="2024-02-22T20:07:47"/>
    <x v="9"/>
    <s v="18.7610"/>
    <s v="139.9566"/>
    <n v="154"/>
    <x v="0"/>
    <n v="26.8"/>
    <n v="56"/>
    <x v="2"/>
    <n v="13"/>
    <n v="413"/>
    <n v="8"/>
    <x v="2"/>
    <n v="73.8"/>
    <x v="30"/>
    <x v="0"/>
  </r>
  <r>
    <d v="2024-05-25T08:22:12"/>
    <x v="6"/>
    <s v="9.1346"/>
    <s v="9.0052"/>
    <n v="320"/>
    <x v="1"/>
    <n v="24.3"/>
    <n v="77"/>
    <x v="2"/>
    <n v="56"/>
    <n v="410"/>
    <n v="3"/>
    <x v="2"/>
    <n v="73.400000000000006"/>
    <x v="85"/>
    <x v="1"/>
  </r>
  <r>
    <d v="2024-07-03T12:21:01"/>
    <x v="9"/>
    <s v="-28.6942"/>
    <s v="-75.4244"/>
    <n v="402"/>
    <x v="0"/>
    <n v="20.3"/>
    <n v="56.6"/>
    <x v="0"/>
    <n v="52"/>
    <n v="149"/>
    <n v="4"/>
    <x v="1"/>
    <n v="82.6"/>
    <x v="124"/>
    <x v="0"/>
  </r>
  <r>
    <d v="2024-01-28T23:24:51"/>
    <x v="0"/>
    <s v="23.9592"/>
    <s v="-88.7602"/>
    <n v="443"/>
    <x v="2"/>
    <n v="18.899999999999999"/>
    <n v="68.8"/>
    <x v="2"/>
    <n v="36"/>
    <n v="159"/>
    <n v="2"/>
    <x v="1"/>
    <n v="86.3"/>
    <x v="10"/>
    <x v="1"/>
  </r>
  <r>
    <d v="2024-06-10T09:00:08"/>
    <x v="0"/>
    <s v="68.1545"/>
    <s v="43.8007"/>
    <n v="246"/>
    <x v="1"/>
    <n v="22"/>
    <n v="58.1"/>
    <x v="1"/>
    <n v="54"/>
    <n v="128"/>
    <n v="7"/>
    <x v="2"/>
    <n v="61"/>
    <x v="42"/>
    <x v="0"/>
  </r>
  <r>
    <d v="2024-03-08T23:13:09"/>
    <x v="3"/>
    <s v="76.0358"/>
    <s v="53.0430"/>
    <n v="146"/>
    <x v="1"/>
    <n v="20.7"/>
    <n v="50.6"/>
    <x v="2"/>
    <n v="28"/>
    <n v="201"/>
    <n v="10"/>
    <x v="1"/>
    <n v="75.900000000000006"/>
    <x v="158"/>
    <x v="1"/>
  </r>
  <r>
    <d v="2024-07-27T10:13:09"/>
    <x v="9"/>
    <s v="-30.0307"/>
    <s v="157.1442"/>
    <n v="108"/>
    <x v="2"/>
    <n v="23"/>
    <n v="73.400000000000006"/>
    <x v="2"/>
    <n v="13"/>
    <n v="324"/>
    <n v="2"/>
    <x v="3"/>
    <n v="77.900000000000006"/>
    <x v="81"/>
    <x v="1"/>
  </r>
  <r>
    <d v="2024-09-10T19:41:42"/>
    <x v="9"/>
    <s v="-79.2584"/>
    <s v="125.5026"/>
    <n v="152"/>
    <x v="2"/>
    <n v="22.8"/>
    <n v="65.2"/>
    <x v="1"/>
    <n v="33"/>
    <n v="386"/>
    <n v="4"/>
    <x v="1"/>
    <n v="63.3"/>
    <x v="147"/>
    <x v="0"/>
  </r>
  <r>
    <d v="2024-04-27T03:04:28"/>
    <x v="2"/>
    <s v="-86.6606"/>
    <s v="29.6786"/>
    <n v="361"/>
    <x v="0"/>
    <n v="29.7"/>
    <n v="62.2"/>
    <x v="0"/>
    <n v="35"/>
    <n v="131"/>
    <n v="9"/>
    <x v="0"/>
    <n v="61.8"/>
    <x v="7"/>
    <x v="0"/>
  </r>
  <r>
    <d v="2024-04-22T22:47:46"/>
    <x v="5"/>
    <s v="-60.0975"/>
    <s v="-13.7518"/>
    <n v="495"/>
    <x v="1"/>
    <n v="23.8"/>
    <n v="69.8"/>
    <x v="1"/>
    <n v="22"/>
    <n v="487"/>
    <n v="9"/>
    <x v="1"/>
    <n v="86.1"/>
    <x v="179"/>
    <x v="0"/>
  </r>
  <r>
    <d v="2024-01-09T03:30:54"/>
    <x v="8"/>
    <s v="50.4750"/>
    <s v="-168.8578"/>
    <n v="187"/>
    <x v="1"/>
    <n v="24.5"/>
    <n v="73.099999999999994"/>
    <x v="2"/>
    <n v="23"/>
    <n v="382"/>
    <n v="7"/>
    <x v="1"/>
    <n v="67.400000000000006"/>
    <x v="96"/>
    <x v="1"/>
  </r>
  <r>
    <d v="2024-12-09T09:35:15"/>
    <x v="7"/>
    <s v="20.9244"/>
    <s v="-59.3367"/>
    <n v="202"/>
    <x v="0"/>
    <n v="26.5"/>
    <n v="77.8"/>
    <x v="2"/>
    <n v="31"/>
    <n v="298"/>
    <n v="8"/>
    <x v="0"/>
    <n v="60.6"/>
    <x v="129"/>
    <x v="0"/>
  </r>
  <r>
    <d v="2024-03-07T03:32:02"/>
    <x v="4"/>
    <s v="-8.4784"/>
    <s v="117.2494"/>
    <n v="384"/>
    <x v="2"/>
    <n v="24.5"/>
    <n v="62.2"/>
    <x v="2"/>
    <n v="45"/>
    <n v="418"/>
    <n v="7"/>
    <x v="0"/>
    <n v="75.8"/>
    <x v="84"/>
    <x v="1"/>
  </r>
  <r>
    <d v="2024-08-04T03:11:01"/>
    <x v="6"/>
    <s v="-30.8090"/>
    <s v="-126.7483"/>
    <n v="486"/>
    <x v="1"/>
    <n v="25.8"/>
    <n v="64.900000000000006"/>
    <x v="2"/>
    <n v="31"/>
    <n v="136"/>
    <n v="9"/>
    <x v="2"/>
    <n v="85.4"/>
    <x v="158"/>
    <x v="1"/>
  </r>
  <r>
    <d v="2024-12-10T18:38:52"/>
    <x v="6"/>
    <s v="17.9831"/>
    <s v="-135.1026"/>
    <n v="488"/>
    <x v="1"/>
    <n v="25.4"/>
    <n v="64.3"/>
    <x v="2"/>
    <n v="14"/>
    <n v="254"/>
    <n v="1"/>
    <x v="1"/>
    <n v="84"/>
    <x v="53"/>
    <x v="1"/>
  </r>
  <r>
    <d v="2024-11-17T12:35:32"/>
    <x v="6"/>
    <s v="-28.2385"/>
    <s v="-87.7617"/>
    <n v="244"/>
    <x v="0"/>
    <n v="29.1"/>
    <n v="67.2"/>
    <x v="1"/>
    <n v="18"/>
    <n v="118"/>
    <n v="5"/>
    <x v="2"/>
    <n v="70.5"/>
    <x v="52"/>
    <x v="0"/>
  </r>
  <r>
    <d v="2024-11-03T00:16:47"/>
    <x v="5"/>
    <s v="18.1994"/>
    <s v="40.5771"/>
    <n v="193"/>
    <x v="1"/>
    <n v="25.7"/>
    <n v="64"/>
    <x v="1"/>
    <n v="33"/>
    <n v="335"/>
    <n v="8"/>
    <x v="3"/>
    <n v="90"/>
    <x v="28"/>
    <x v="0"/>
  </r>
  <r>
    <d v="2024-10-20T02:07:47"/>
    <x v="0"/>
    <s v="-3.5038"/>
    <s v="21.9533"/>
    <n v="268"/>
    <x v="2"/>
    <n v="18.7"/>
    <n v="69.5"/>
    <x v="1"/>
    <n v="39"/>
    <n v="101"/>
    <n v="9"/>
    <x v="3"/>
    <n v="77.099999999999994"/>
    <x v="31"/>
    <x v="0"/>
  </r>
  <r>
    <d v="2024-01-09T21:49:29"/>
    <x v="5"/>
    <s v="88.5280"/>
    <s v="-0.3595"/>
    <n v="375"/>
    <x v="0"/>
    <n v="19.2"/>
    <n v="72.900000000000006"/>
    <x v="0"/>
    <n v="58"/>
    <n v="119"/>
    <n v="7"/>
    <x v="0"/>
    <n v="96.9"/>
    <x v="142"/>
    <x v="0"/>
  </r>
  <r>
    <d v="2024-07-22T11:45:54"/>
    <x v="3"/>
    <s v="-24.7838"/>
    <s v="-21.1760"/>
    <n v="465"/>
    <x v="1"/>
    <n v="28"/>
    <n v="59.6"/>
    <x v="2"/>
    <n v="51"/>
    <n v="305"/>
    <n v="10"/>
    <x v="3"/>
    <n v="96.9"/>
    <x v="187"/>
    <x v="1"/>
  </r>
  <r>
    <d v="2024-08-30T12:04:18"/>
    <x v="2"/>
    <s v="56.1373"/>
    <s v="82.4192"/>
    <n v="258"/>
    <x v="0"/>
    <n v="19.3"/>
    <n v="74.2"/>
    <x v="0"/>
    <n v="52"/>
    <n v="407"/>
    <n v="8"/>
    <x v="1"/>
    <n v="84.7"/>
    <x v="69"/>
    <x v="0"/>
  </r>
  <r>
    <d v="2024-11-20T18:45:34"/>
    <x v="9"/>
    <s v="-13.2882"/>
    <s v="-171.9473"/>
    <n v="254"/>
    <x v="2"/>
    <n v="27.3"/>
    <n v="71.7"/>
    <x v="0"/>
    <n v="38"/>
    <n v="279"/>
    <n v="10"/>
    <x v="2"/>
    <n v="91.5"/>
    <x v="102"/>
    <x v="1"/>
  </r>
  <r>
    <d v="2024-11-24T01:13:40"/>
    <x v="2"/>
    <s v="68.9345"/>
    <s v="172.1520"/>
    <n v="456"/>
    <x v="1"/>
    <n v="20.9"/>
    <n v="71.2"/>
    <x v="2"/>
    <n v="46"/>
    <n v="414"/>
    <n v="10"/>
    <x v="3"/>
    <n v="90.6"/>
    <x v="135"/>
    <x v="1"/>
  </r>
  <r>
    <d v="2024-01-26T17:18:01"/>
    <x v="0"/>
    <s v="-80.9601"/>
    <s v="52.6140"/>
    <n v="158"/>
    <x v="1"/>
    <n v="29.7"/>
    <n v="78.2"/>
    <x v="1"/>
    <n v="43"/>
    <n v="334"/>
    <n v="5"/>
    <x v="1"/>
    <n v="72.7"/>
    <x v="98"/>
    <x v="0"/>
  </r>
  <r>
    <d v="2024-07-23T23:58:44"/>
    <x v="8"/>
    <s v="57.2271"/>
    <s v="59.2588"/>
    <n v="158"/>
    <x v="0"/>
    <n v="25.9"/>
    <n v="51.3"/>
    <x v="0"/>
    <n v="46"/>
    <n v="308"/>
    <n v="7"/>
    <x v="0"/>
    <n v="64.599999999999994"/>
    <x v="13"/>
    <x v="0"/>
  </r>
  <r>
    <d v="2024-04-21T07:23:11"/>
    <x v="2"/>
    <s v="82.6307"/>
    <s v="-111.6216"/>
    <n v="260"/>
    <x v="2"/>
    <n v="23.2"/>
    <n v="56.3"/>
    <x v="2"/>
    <n v="57"/>
    <n v="329"/>
    <n v="7"/>
    <x v="3"/>
    <n v="77.900000000000006"/>
    <x v="199"/>
    <x v="1"/>
  </r>
  <r>
    <d v="2024-05-29T19:41:42"/>
    <x v="5"/>
    <s v="53.0221"/>
    <s v="110.4363"/>
    <n v="249"/>
    <x v="1"/>
    <n v="21.4"/>
    <n v="56.6"/>
    <x v="0"/>
    <n v="49"/>
    <n v="398"/>
    <n v="10"/>
    <x v="3"/>
    <n v="67.3"/>
    <x v="145"/>
    <x v="1"/>
  </r>
  <r>
    <d v="2024-02-15T12:50:05"/>
    <x v="1"/>
    <s v="21.6362"/>
    <s v="35.7292"/>
    <n v="224"/>
    <x v="0"/>
    <n v="28.3"/>
    <n v="69"/>
    <x v="2"/>
    <n v="20"/>
    <n v="445"/>
    <n v="6"/>
    <x v="0"/>
    <n v="60.1"/>
    <x v="155"/>
    <x v="0"/>
  </r>
  <r>
    <d v="2024-04-21T22:20:02"/>
    <x v="6"/>
    <s v="-0.5646"/>
    <s v="175.2938"/>
    <n v="162"/>
    <x v="2"/>
    <n v="29.4"/>
    <n v="65.900000000000006"/>
    <x v="0"/>
    <n v="40"/>
    <n v="262"/>
    <n v="2"/>
    <x v="2"/>
    <n v="61.5"/>
    <x v="84"/>
    <x v="1"/>
  </r>
  <r>
    <d v="2024-09-07T01:59:11"/>
    <x v="4"/>
    <s v="-53.9744"/>
    <s v="-52.4536"/>
    <n v="160"/>
    <x v="2"/>
    <n v="20.7"/>
    <n v="63.1"/>
    <x v="2"/>
    <n v="52"/>
    <n v="488"/>
    <n v="3"/>
    <x v="3"/>
    <n v="79.599999999999994"/>
    <x v="126"/>
    <x v="1"/>
  </r>
  <r>
    <d v="2024-04-26T07:24:41"/>
    <x v="6"/>
    <s v="70.9071"/>
    <s v="-64.7863"/>
    <n v="260"/>
    <x v="2"/>
    <n v="18.8"/>
    <n v="55"/>
    <x v="0"/>
    <n v="13"/>
    <n v="428"/>
    <n v="2"/>
    <x v="1"/>
    <n v="73.900000000000006"/>
    <x v="6"/>
    <x v="1"/>
  </r>
  <r>
    <d v="2024-03-23T13:50:53"/>
    <x v="0"/>
    <s v="-32.3196"/>
    <s v="-16.4458"/>
    <n v="245"/>
    <x v="1"/>
    <n v="23.3"/>
    <n v="59.8"/>
    <x v="2"/>
    <n v="28"/>
    <n v="142"/>
    <n v="5"/>
    <x v="0"/>
    <n v="80.7"/>
    <x v="3"/>
    <x v="1"/>
  </r>
  <r>
    <d v="2024-04-05T13:50:11"/>
    <x v="0"/>
    <s v="-9.6291"/>
    <s v="39.6506"/>
    <n v="495"/>
    <x v="2"/>
    <n v="25.1"/>
    <n v="75.5"/>
    <x v="0"/>
    <n v="39"/>
    <n v="234"/>
    <n v="1"/>
    <x v="0"/>
    <n v="74.8"/>
    <x v="160"/>
    <x v="1"/>
  </r>
  <r>
    <d v="2024-08-24T01:36:22"/>
    <x v="6"/>
    <s v="-69.5639"/>
    <s v="-74.6473"/>
    <n v="236"/>
    <x v="0"/>
    <n v="18.2"/>
    <n v="50.5"/>
    <x v="2"/>
    <n v="20"/>
    <n v="260"/>
    <n v="2"/>
    <x v="1"/>
    <n v="61.1"/>
    <x v="104"/>
    <x v="0"/>
  </r>
  <r>
    <d v="2024-11-07T04:03:32"/>
    <x v="3"/>
    <s v="49.0430"/>
    <s v="-4.5352"/>
    <n v="259"/>
    <x v="2"/>
    <n v="21.3"/>
    <n v="79.3"/>
    <x v="0"/>
    <n v="49"/>
    <n v="276"/>
    <n v="2"/>
    <x v="0"/>
    <n v="99.1"/>
    <x v="155"/>
    <x v="1"/>
  </r>
  <r>
    <d v="2024-09-20T16:44:25"/>
    <x v="0"/>
    <s v="69.7608"/>
    <s v="-77.0188"/>
    <n v="227"/>
    <x v="2"/>
    <n v="27.6"/>
    <n v="68.099999999999994"/>
    <x v="0"/>
    <n v="60"/>
    <n v="399"/>
    <n v="1"/>
    <x v="2"/>
    <n v="64.099999999999994"/>
    <x v="105"/>
    <x v="1"/>
  </r>
  <r>
    <d v="2024-11-06T21:58:30"/>
    <x v="0"/>
    <s v="27.4034"/>
    <s v="-35.8705"/>
    <n v="204"/>
    <x v="1"/>
    <n v="20.5"/>
    <n v="60.2"/>
    <x v="2"/>
    <n v="26"/>
    <n v="460"/>
    <n v="5"/>
    <x v="0"/>
    <n v="66.900000000000006"/>
    <x v="14"/>
    <x v="1"/>
  </r>
  <r>
    <d v="2024-03-30T12:05:51"/>
    <x v="2"/>
    <s v="-31.4314"/>
    <s v="-110.7069"/>
    <n v="384"/>
    <x v="0"/>
    <n v="18.5"/>
    <n v="79"/>
    <x v="0"/>
    <n v="21"/>
    <n v="185"/>
    <n v="8"/>
    <x v="1"/>
    <n v="68.099999999999994"/>
    <x v="47"/>
    <x v="0"/>
  </r>
  <r>
    <d v="2024-05-24T00:02:16"/>
    <x v="1"/>
    <s v="63.5554"/>
    <s v="151.4083"/>
    <n v="187"/>
    <x v="0"/>
    <n v="18.899999999999999"/>
    <n v="60.3"/>
    <x v="2"/>
    <n v="34"/>
    <n v="223"/>
    <n v="1"/>
    <x v="1"/>
    <n v="85.3"/>
    <x v="57"/>
    <x v="0"/>
  </r>
  <r>
    <d v="2024-01-26T08:28:52"/>
    <x v="7"/>
    <s v="86.6663"/>
    <s v="-8.1036"/>
    <n v="302"/>
    <x v="2"/>
    <n v="19.5"/>
    <n v="64.5"/>
    <x v="0"/>
    <n v="38"/>
    <n v="149"/>
    <n v="10"/>
    <x v="0"/>
    <n v="69"/>
    <x v="142"/>
    <x v="1"/>
  </r>
  <r>
    <d v="2024-05-18T14:34:50"/>
    <x v="7"/>
    <s v="62.9549"/>
    <s v="134.6387"/>
    <n v="177"/>
    <x v="1"/>
    <n v="24.7"/>
    <n v="70.599999999999994"/>
    <x v="1"/>
    <n v="58"/>
    <n v="301"/>
    <n v="1"/>
    <x v="3"/>
    <n v="82.7"/>
    <x v="61"/>
    <x v="0"/>
  </r>
  <r>
    <d v="2024-05-19T11:10:13"/>
    <x v="5"/>
    <s v="57.5550"/>
    <s v="179.2349"/>
    <n v="448"/>
    <x v="1"/>
    <n v="21.5"/>
    <n v="55.7"/>
    <x v="1"/>
    <n v="55"/>
    <n v="500"/>
    <n v="2"/>
    <x v="3"/>
    <n v="86.7"/>
    <x v="103"/>
    <x v="0"/>
  </r>
  <r>
    <d v="2024-10-19T16:07:51"/>
    <x v="8"/>
    <s v="-8.3428"/>
    <s v="-26.2702"/>
    <n v="197"/>
    <x v="1"/>
    <n v="22.9"/>
    <n v="71.900000000000006"/>
    <x v="2"/>
    <n v="18"/>
    <n v="387"/>
    <n v="9"/>
    <x v="0"/>
    <n v="71"/>
    <x v="50"/>
    <x v="1"/>
  </r>
  <r>
    <d v="2024-04-12T19:29:51"/>
    <x v="2"/>
    <s v="-51.6025"/>
    <s v="114.3963"/>
    <n v="428"/>
    <x v="1"/>
    <n v="28.6"/>
    <n v="77.7"/>
    <x v="1"/>
    <n v="14"/>
    <n v="175"/>
    <n v="9"/>
    <x v="2"/>
    <n v="96.2"/>
    <x v="13"/>
    <x v="0"/>
  </r>
  <r>
    <d v="2024-02-29T23:31:58"/>
    <x v="6"/>
    <s v="-30.9460"/>
    <s v="-65.5352"/>
    <n v="435"/>
    <x v="0"/>
    <n v="24.7"/>
    <n v="75.3"/>
    <x v="1"/>
    <n v="41"/>
    <n v="245"/>
    <n v="2"/>
    <x v="1"/>
    <n v="87.1"/>
    <x v="182"/>
    <x v="0"/>
  </r>
  <r>
    <d v="2024-10-03T16:09:16"/>
    <x v="1"/>
    <s v="-47.3503"/>
    <s v="-100.2211"/>
    <n v="309"/>
    <x v="1"/>
    <n v="20.2"/>
    <n v="65.8"/>
    <x v="0"/>
    <n v="26"/>
    <n v="105"/>
    <n v="9"/>
    <x v="3"/>
    <n v="60.7"/>
    <x v="166"/>
    <x v="1"/>
  </r>
  <r>
    <d v="2024-07-12T10:13:28"/>
    <x v="3"/>
    <s v="29.2931"/>
    <s v="-63.6560"/>
    <n v="346"/>
    <x v="2"/>
    <n v="21.5"/>
    <n v="60.1"/>
    <x v="2"/>
    <n v="17"/>
    <n v="370"/>
    <n v="9"/>
    <x v="0"/>
    <n v="70.8"/>
    <x v="155"/>
    <x v="1"/>
  </r>
  <r>
    <d v="2024-10-24T02:04:39"/>
    <x v="5"/>
    <s v="-67.4262"/>
    <s v="-107.5156"/>
    <n v="428"/>
    <x v="2"/>
    <n v="29.1"/>
    <n v="55.9"/>
    <x v="2"/>
    <n v="34"/>
    <n v="176"/>
    <n v="2"/>
    <x v="0"/>
    <n v="89.5"/>
    <x v="43"/>
    <x v="1"/>
  </r>
  <r>
    <d v="2024-03-21T11:55:45"/>
    <x v="8"/>
    <s v="82.8116"/>
    <s v="62.1983"/>
    <n v="106"/>
    <x v="2"/>
    <n v="21.6"/>
    <n v="79.3"/>
    <x v="2"/>
    <n v="51"/>
    <n v="120"/>
    <n v="9"/>
    <x v="1"/>
    <n v="96.2"/>
    <x v="91"/>
    <x v="1"/>
  </r>
  <r>
    <d v="2024-07-14T20:00:38"/>
    <x v="7"/>
    <s v="58.6218"/>
    <s v="133.4487"/>
    <n v="154"/>
    <x v="0"/>
    <n v="25.8"/>
    <n v="69"/>
    <x v="2"/>
    <n v="60"/>
    <n v="357"/>
    <n v="10"/>
    <x v="3"/>
    <n v="87.9"/>
    <x v="141"/>
    <x v="0"/>
  </r>
  <r>
    <d v="2024-11-23T19:15:58"/>
    <x v="2"/>
    <s v="-31.9959"/>
    <s v="164.6097"/>
    <n v="417"/>
    <x v="1"/>
    <n v="23.8"/>
    <n v="50.7"/>
    <x v="1"/>
    <n v="47"/>
    <n v="278"/>
    <n v="2"/>
    <x v="0"/>
    <n v="88.7"/>
    <x v="95"/>
    <x v="0"/>
  </r>
  <r>
    <d v="2024-09-26T10:33:52"/>
    <x v="8"/>
    <s v="84.8041"/>
    <s v="86.1533"/>
    <n v="438"/>
    <x v="0"/>
    <n v="20.6"/>
    <n v="79.3"/>
    <x v="1"/>
    <n v="37"/>
    <n v="431"/>
    <n v="5"/>
    <x v="3"/>
    <n v="71.7"/>
    <x v="126"/>
    <x v="0"/>
  </r>
  <r>
    <d v="2024-08-09T16:48:19"/>
    <x v="8"/>
    <s v="-11.1470"/>
    <s v="-97.9335"/>
    <n v="106"/>
    <x v="0"/>
    <n v="29.6"/>
    <n v="62"/>
    <x v="1"/>
    <n v="54"/>
    <n v="410"/>
    <n v="9"/>
    <x v="1"/>
    <n v="62.3"/>
    <x v="102"/>
    <x v="0"/>
  </r>
  <r>
    <d v="2024-11-23T08:35:37"/>
    <x v="4"/>
    <s v="-9.8535"/>
    <s v="-164.7840"/>
    <n v="147"/>
    <x v="0"/>
    <n v="27.5"/>
    <n v="51.6"/>
    <x v="2"/>
    <n v="15"/>
    <n v="496"/>
    <n v="4"/>
    <x v="2"/>
    <n v="68.400000000000006"/>
    <x v="11"/>
    <x v="0"/>
  </r>
  <r>
    <d v="2024-10-16T22:49:20"/>
    <x v="0"/>
    <s v="35.6740"/>
    <s v="177.2099"/>
    <n v="248"/>
    <x v="2"/>
    <n v="23"/>
    <n v="72.3"/>
    <x v="1"/>
    <n v="35"/>
    <n v="256"/>
    <n v="3"/>
    <x v="2"/>
    <n v="99.2"/>
    <x v="92"/>
    <x v="0"/>
  </r>
  <r>
    <d v="2024-02-15T22:41:00"/>
    <x v="0"/>
    <s v="87.9650"/>
    <s v="-109.0684"/>
    <n v="299"/>
    <x v="1"/>
    <n v="20.5"/>
    <n v="75.2"/>
    <x v="2"/>
    <n v="21"/>
    <n v="148"/>
    <n v="6"/>
    <x v="3"/>
    <n v="67.5"/>
    <x v="82"/>
    <x v="1"/>
  </r>
  <r>
    <d v="2024-06-15T02:50:21"/>
    <x v="0"/>
    <s v="68.1229"/>
    <s v="9.8155"/>
    <n v="382"/>
    <x v="2"/>
    <n v="20.6"/>
    <n v="72.8"/>
    <x v="1"/>
    <n v="10"/>
    <n v="128"/>
    <n v="1"/>
    <x v="1"/>
    <n v="79.2"/>
    <x v="169"/>
    <x v="0"/>
  </r>
  <r>
    <d v="2024-06-26T19:58:52"/>
    <x v="5"/>
    <s v="84.0215"/>
    <s v="75.4829"/>
    <n v="236"/>
    <x v="2"/>
    <n v="19.399999999999999"/>
    <n v="57.2"/>
    <x v="1"/>
    <n v="13"/>
    <n v="368"/>
    <n v="2"/>
    <x v="1"/>
    <n v="83.7"/>
    <x v="110"/>
    <x v="0"/>
  </r>
  <r>
    <d v="2024-12-01T12:38:57"/>
    <x v="4"/>
    <s v="73.9154"/>
    <s v="-123.8449"/>
    <n v="122"/>
    <x v="0"/>
    <n v="28.3"/>
    <n v="80"/>
    <x v="0"/>
    <n v="43"/>
    <n v="444"/>
    <n v="10"/>
    <x v="3"/>
    <n v="91.6"/>
    <x v="85"/>
    <x v="0"/>
  </r>
  <r>
    <d v="2024-07-31T03:43:10"/>
    <x v="2"/>
    <s v="56.2829"/>
    <s v="49.0292"/>
    <n v="201"/>
    <x v="1"/>
    <n v="24.4"/>
    <n v="50.8"/>
    <x v="1"/>
    <n v="13"/>
    <n v="367"/>
    <n v="2"/>
    <x v="0"/>
    <n v="88.3"/>
    <x v="1"/>
    <x v="0"/>
  </r>
  <r>
    <d v="2024-03-16T13:20:30"/>
    <x v="3"/>
    <s v="-89.0981"/>
    <s v="33.8294"/>
    <n v="226"/>
    <x v="1"/>
    <n v="18.600000000000001"/>
    <n v="77.900000000000006"/>
    <x v="1"/>
    <n v="30"/>
    <n v="252"/>
    <n v="10"/>
    <x v="0"/>
    <n v="67.3"/>
    <x v="113"/>
    <x v="0"/>
  </r>
  <r>
    <d v="2024-06-17T14:43:11"/>
    <x v="3"/>
    <s v="0.4055"/>
    <s v="97.6022"/>
    <n v="266"/>
    <x v="2"/>
    <n v="23.5"/>
    <n v="60.2"/>
    <x v="1"/>
    <n v="57"/>
    <n v="108"/>
    <n v="2"/>
    <x v="2"/>
    <n v="65.5"/>
    <x v="86"/>
    <x v="0"/>
  </r>
  <r>
    <d v="2024-01-26T05:00:06"/>
    <x v="6"/>
    <s v="29.7128"/>
    <s v="-51.8993"/>
    <n v="277"/>
    <x v="2"/>
    <n v="29.2"/>
    <n v="56.9"/>
    <x v="0"/>
    <n v="24"/>
    <n v="100"/>
    <n v="2"/>
    <x v="3"/>
    <n v="84.2"/>
    <x v="172"/>
    <x v="1"/>
  </r>
  <r>
    <d v="2024-03-09T09:56:32"/>
    <x v="4"/>
    <s v="76.8582"/>
    <s v="-8.4829"/>
    <n v="475"/>
    <x v="1"/>
    <n v="24.3"/>
    <n v="52.6"/>
    <x v="1"/>
    <n v="55"/>
    <n v="283"/>
    <n v="6"/>
    <x v="1"/>
    <n v="95.9"/>
    <x v="103"/>
    <x v="0"/>
  </r>
  <r>
    <d v="2024-08-28T07:23:00"/>
    <x v="6"/>
    <s v="-74.1880"/>
    <s v="-176.0141"/>
    <n v="387"/>
    <x v="2"/>
    <n v="28.1"/>
    <n v="64.7"/>
    <x v="2"/>
    <n v="51"/>
    <n v="340"/>
    <n v="10"/>
    <x v="1"/>
    <n v="61.1"/>
    <x v="68"/>
    <x v="1"/>
  </r>
  <r>
    <d v="2024-01-13T18:59:02"/>
    <x v="1"/>
    <s v="14.1533"/>
    <s v="164.1186"/>
    <n v="286"/>
    <x v="1"/>
    <n v="25"/>
    <n v="68.400000000000006"/>
    <x v="1"/>
    <n v="50"/>
    <n v="382"/>
    <n v="5"/>
    <x v="1"/>
    <n v="71.900000000000006"/>
    <x v="106"/>
    <x v="0"/>
  </r>
  <r>
    <d v="2024-12-21T10:48:36"/>
    <x v="0"/>
    <s v="3.9786"/>
    <s v="-135.2219"/>
    <n v="367"/>
    <x v="0"/>
    <n v="27"/>
    <n v="55.1"/>
    <x v="1"/>
    <n v="47"/>
    <n v="449"/>
    <n v="9"/>
    <x v="3"/>
    <n v="99.7"/>
    <x v="99"/>
    <x v="0"/>
  </r>
  <r>
    <d v="2024-12-28T17:40:09"/>
    <x v="4"/>
    <s v="-40.9216"/>
    <s v="27.5281"/>
    <n v="371"/>
    <x v="0"/>
    <n v="27.4"/>
    <n v="50.9"/>
    <x v="2"/>
    <n v="40"/>
    <n v="463"/>
    <n v="8"/>
    <x v="1"/>
    <n v="90.7"/>
    <x v="191"/>
    <x v="0"/>
  </r>
  <r>
    <d v="2024-08-18T05:51:47"/>
    <x v="0"/>
    <s v="-58.4321"/>
    <s v="-90.5118"/>
    <n v="315"/>
    <x v="2"/>
    <n v="23.5"/>
    <n v="68.599999999999994"/>
    <x v="1"/>
    <n v="20"/>
    <n v="372"/>
    <n v="1"/>
    <x v="0"/>
    <n v="63.8"/>
    <x v="152"/>
    <x v="0"/>
  </r>
  <r>
    <d v="2024-09-09T05:33:17"/>
    <x v="1"/>
    <s v="41.7679"/>
    <s v="-95.8135"/>
    <n v="262"/>
    <x v="1"/>
    <n v="24.5"/>
    <n v="50.1"/>
    <x v="1"/>
    <n v="20"/>
    <n v="387"/>
    <n v="2"/>
    <x v="1"/>
    <n v="95"/>
    <x v="113"/>
    <x v="0"/>
  </r>
  <r>
    <d v="2024-10-01T09:21:06"/>
    <x v="0"/>
    <s v="61.9423"/>
    <s v="34.5260"/>
    <n v="201"/>
    <x v="0"/>
    <n v="23.9"/>
    <n v="57.8"/>
    <x v="1"/>
    <n v="24"/>
    <n v="170"/>
    <n v="1"/>
    <x v="3"/>
    <n v="90.8"/>
    <x v="153"/>
    <x v="0"/>
  </r>
  <r>
    <d v="2024-10-14T10:21:17"/>
    <x v="4"/>
    <s v="46.9729"/>
    <s v="-36.5198"/>
    <n v="420"/>
    <x v="0"/>
    <n v="21.6"/>
    <n v="62.8"/>
    <x v="2"/>
    <n v="31"/>
    <n v="242"/>
    <n v="10"/>
    <x v="1"/>
    <n v="95.6"/>
    <x v="152"/>
    <x v="0"/>
  </r>
  <r>
    <d v="2024-06-13T00:29:04"/>
    <x v="9"/>
    <s v="44.2477"/>
    <s v="175.0702"/>
    <n v="143"/>
    <x v="2"/>
    <n v="21.6"/>
    <n v="64.099999999999994"/>
    <x v="0"/>
    <n v="32"/>
    <n v="307"/>
    <n v="10"/>
    <x v="2"/>
    <n v="64"/>
    <x v="173"/>
    <x v="1"/>
  </r>
  <r>
    <d v="2024-07-22T16:30:00"/>
    <x v="1"/>
    <s v="89.8701"/>
    <s v="73.6867"/>
    <n v="264"/>
    <x v="2"/>
    <n v="26.9"/>
    <n v="70"/>
    <x v="1"/>
    <n v="32"/>
    <n v="188"/>
    <n v="1"/>
    <x v="1"/>
    <n v="79.2"/>
    <x v="142"/>
    <x v="0"/>
  </r>
  <r>
    <d v="2024-04-30T04:58:58"/>
    <x v="8"/>
    <s v="-10.4792"/>
    <s v="-177.1239"/>
    <n v="479"/>
    <x v="2"/>
    <n v="23.7"/>
    <n v="77.900000000000006"/>
    <x v="0"/>
    <n v="56"/>
    <n v="276"/>
    <n v="7"/>
    <x v="1"/>
    <n v="83.7"/>
    <x v="75"/>
    <x v="1"/>
  </r>
  <r>
    <d v="2024-10-27T22:09:13"/>
    <x v="5"/>
    <s v="-71.0609"/>
    <s v="75.3714"/>
    <n v="347"/>
    <x v="1"/>
    <n v="21"/>
    <n v="63.1"/>
    <x v="0"/>
    <n v="35"/>
    <n v="382"/>
    <n v="5"/>
    <x v="0"/>
    <n v="74.8"/>
    <x v="180"/>
    <x v="1"/>
  </r>
  <r>
    <d v="2024-04-18T23:06:56"/>
    <x v="5"/>
    <s v="-76.7910"/>
    <s v="18.3631"/>
    <n v="276"/>
    <x v="2"/>
    <n v="18"/>
    <n v="64.3"/>
    <x v="1"/>
    <n v="10"/>
    <n v="361"/>
    <n v="5"/>
    <x v="0"/>
    <n v="88.6"/>
    <x v="29"/>
    <x v="0"/>
  </r>
  <r>
    <d v="2024-09-18T19:39:24"/>
    <x v="6"/>
    <s v="59.8356"/>
    <s v="-114.4198"/>
    <n v="157"/>
    <x v="0"/>
    <n v="18.7"/>
    <n v="73.599999999999994"/>
    <x v="2"/>
    <n v="55"/>
    <n v="323"/>
    <n v="9"/>
    <x v="3"/>
    <n v="81.3"/>
    <x v="8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">
  <r>
    <d v="2024-03-20T00:11:14"/>
    <s v="Truck_7"/>
    <s v="-65.7383"/>
    <s v="11.2497"/>
    <n v="390"/>
    <s v="Delayed"/>
    <n v="27"/>
    <n v="67.8"/>
    <s v="Detour"/>
    <n v="38"/>
    <n v="320"/>
    <n v="4"/>
    <s v="None"/>
    <n v="60.1"/>
    <n v="285"/>
    <n v="1"/>
    <x v="0"/>
  </r>
  <r>
    <d v="2024-10-30T07:53:51"/>
    <s v="Truck_6"/>
    <s v="22.2748"/>
    <s v="-131.7086"/>
    <n v="491"/>
    <s v="In Transit"/>
    <n v="22.5"/>
    <n v="54.3"/>
    <s v="Heavy"/>
    <n v="16"/>
    <n v="439"/>
    <n v="7"/>
    <s v="Weather"/>
    <n v="80.900000000000006"/>
    <n v="174"/>
    <n v="1"/>
    <x v="1"/>
  </r>
  <r>
    <d v="2024-07-29T18:42:48"/>
    <s v="Truck_10"/>
    <s v="54.9232"/>
    <s v="79.5455"/>
    <n v="190"/>
    <s v="In Transit"/>
    <n v="25.2"/>
    <n v="62.2"/>
    <s v="Detour"/>
    <n v="34"/>
    <n v="355"/>
    <n v="3"/>
    <s v="None"/>
    <n v="99.2"/>
    <n v="260"/>
    <n v="0"/>
    <x v="1"/>
  </r>
  <r>
    <d v="2024-10-28T00:50:54"/>
    <s v="Truck_9"/>
    <s v="42.3900"/>
    <s v="-1.4788"/>
    <n v="330"/>
    <s v="Delivered"/>
    <n v="25.4"/>
    <n v="52.3"/>
    <s v="Heavy"/>
    <n v="37"/>
    <n v="227"/>
    <n v="5"/>
    <s v="Traffic"/>
    <n v="97.4"/>
    <n v="160"/>
    <n v="1"/>
    <x v="1"/>
  </r>
  <r>
    <d v="2024-09-27T15:52:58"/>
    <s v="Truck_7"/>
    <s v="-65.8477"/>
    <s v="47.9468"/>
    <n v="480"/>
    <s v="Delayed"/>
    <n v="20.5"/>
    <n v="57.2"/>
    <s v="Clear"/>
    <n v="56"/>
    <n v="197"/>
    <n v="6"/>
    <s v="None"/>
    <n v="71.599999999999994"/>
    <n v="270"/>
    <n v="1"/>
    <x v="1"/>
  </r>
  <r>
    <d v="2024-09-17T06:02:15"/>
    <s v="Truck_7"/>
    <s v="73.3312"/>
    <s v="46.5831"/>
    <n v="118"/>
    <s v="In Transit"/>
    <n v="24.3"/>
    <n v="61.8"/>
    <s v="Clear"/>
    <n v="56"/>
    <n v="258"/>
    <n v="10"/>
    <s v="None"/>
    <n v="66.8"/>
    <n v="189"/>
    <n v="0"/>
    <x v="1"/>
  </r>
  <r>
    <d v="2024-02-05T08:38:56"/>
    <s v="Truck_4"/>
    <s v="27.9307"/>
    <s v="147.5317"/>
    <n v="480"/>
    <s v="Delayed"/>
    <n v="20.7"/>
    <n v="75.400000000000006"/>
    <s v="Clear"/>
    <n v="32"/>
    <n v="263"/>
    <n v="3"/>
    <s v="None"/>
    <n v="73.3"/>
    <n v="198"/>
    <n v="1"/>
    <x v="1"/>
  </r>
  <r>
    <d v="2024-09-28T09:08:23"/>
    <s v="Truck_9"/>
    <s v="46.5643"/>
    <s v="-126.5348"/>
    <n v="222"/>
    <s v="In Transit"/>
    <n v="23.3"/>
    <n v="64.2"/>
    <s v="Detour"/>
    <n v="30"/>
    <n v="459"/>
    <n v="9"/>
    <s v="Traffic"/>
    <n v="73.8"/>
    <n v="253"/>
    <n v="0"/>
    <x v="1"/>
  </r>
  <r>
    <d v="2024-01-18T08:27:04"/>
    <s v="Truck_9"/>
    <s v="-83.6737"/>
    <s v="-31.7125"/>
    <n v="245"/>
    <s v="Delivered"/>
    <n v="26.4"/>
    <n v="77.2"/>
    <s v="Clear"/>
    <n v="14"/>
    <n v="183"/>
    <n v="2"/>
    <s v="None"/>
    <n v="69.599999999999994"/>
    <n v="206"/>
    <n v="0"/>
    <x v="1"/>
  </r>
  <r>
    <d v="2024-11-09T00:48:26"/>
    <s v="Truck_2"/>
    <s v="54.1683"/>
    <s v="-135.2676"/>
    <n v="389"/>
    <s v="In Transit"/>
    <n v="21.9"/>
    <n v="57.3"/>
    <s v="Clear"/>
    <n v="52"/>
    <n v="127"/>
    <n v="7"/>
    <s v="Mechanical Failure"/>
    <n v="63.1"/>
    <n v="224"/>
    <n v="0"/>
    <x v="1"/>
  </r>
  <r>
    <d v="2024-01-09T23:19:43"/>
    <s v="Truck_9"/>
    <s v="82.9633"/>
    <s v="-154.5274"/>
    <n v="319"/>
    <s v="Delayed"/>
    <n v="22"/>
    <n v="53.5"/>
    <s v="Clear"/>
    <n v="28"/>
    <n v="360"/>
    <n v="4"/>
    <s v="None"/>
    <n v="69.8"/>
    <n v="171"/>
    <n v="1"/>
    <x v="1"/>
  </r>
  <r>
    <d v="2024-02-02T22:28:16"/>
    <s v="Truck_10"/>
    <s v="-25.2768"/>
    <s v="156.1262"/>
    <n v="234"/>
    <s v="Delivered"/>
    <n v="29.7"/>
    <n v="63.6"/>
    <s v="Detour"/>
    <n v="13"/>
    <n v="406"/>
    <n v="10"/>
    <s v="Traffic"/>
    <n v="85.5"/>
    <n v="238"/>
    <n v="0"/>
    <x v="1"/>
  </r>
  <r>
    <d v="2024-02-17T21:14:42"/>
    <s v="Truck_8"/>
    <s v="-65.5260"/>
    <s v="-3.0202"/>
    <n v="154"/>
    <s v="In Transit"/>
    <n v="21.5"/>
    <n v="74.2"/>
    <s v="Detour"/>
    <n v="38"/>
    <n v="215"/>
    <n v="3"/>
    <s v="Weather"/>
    <n v="84.4"/>
    <n v="114"/>
    <n v="0"/>
    <x v="2"/>
  </r>
  <r>
    <d v="2024-03-04T06:44:50"/>
    <s v="Truck_2"/>
    <s v="-26.1836"/>
    <s v="-30.3641"/>
    <n v="348"/>
    <s v="Delivered"/>
    <n v="27.3"/>
    <n v="71.599999999999994"/>
    <s v="Detour"/>
    <n v="30"/>
    <n v="211"/>
    <n v="2"/>
    <s v="None"/>
    <n v="96.4"/>
    <n v="115"/>
    <n v="0"/>
    <x v="2"/>
  </r>
  <r>
    <d v="2024-08-28T12:19:14"/>
    <s v="Truck_3"/>
    <s v="2.6709"/>
    <s v="-80.8879"/>
    <n v="163"/>
    <s v="In Transit"/>
    <n v="25.1"/>
    <n v="76.8"/>
    <s v="Heavy"/>
    <n v="54"/>
    <n v="320"/>
    <n v="5"/>
    <s v="Weather"/>
    <n v="93.2"/>
    <n v="231"/>
    <n v="1"/>
    <x v="1"/>
  </r>
  <r>
    <d v="2024-01-04T22:52:43"/>
    <s v="Truck_5"/>
    <s v="-22.4793"/>
    <s v="-54.5143"/>
    <n v="130"/>
    <s v="Delayed"/>
    <n v="23.7"/>
    <n v="68.099999999999994"/>
    <s v="Clear"/>
    <n v="45"/>
    <n v="487"/>
    <n v="4"/>
    <s v="Traffic"/>
    <n v="84.1"/>
    <n v="256"/>
    <n v="1"/>
    <x v="1"/>
  </r>
  <r>
    <d v="2024-10-30T17:52:03"/>
    <s v="Truck_4"/>
    <s v="-34.5353"/>
    <s v="-40.8617"/>
    <n v="391"/>
    <s v="Delayed"/>
    <n v="21.6"/>
    <n v="72.5"/>
    <s v="Clear"/>
    <n v="58"/>
    <n v="298"/>
    <n v="7"/>
    <s v="Traffic"/>
    <n v="61.5"/>
    <n v="170"/>
    <n v="1"/>
    <x v="1"/>
  </r>
  <r>
    <d v="2024-07-15T15:42:02"/>
    <s v="Truck_7"/>
    <s v="-8.7105"/>
    <s v="-17.8347"/>
    <n v="344"/>
    <s v="Delayed"/>
    <n v="21.4"/>
    <n v="53.5"/>
    <s v="Detour"/>
    <n v="23"/>
    <n v="461"/>
    <n v="9"/>
    <s v="None"/>
    <n v="93.4"/>
    <n v="106"/>
    <n v="1"/>
    <x v="2"/>
  </r>
  <r>
    <d v="2024-01-19T06:42:30"/>
    <s v="Truck_5"/>
    <s v="14.6629"/>
    <s v="116.0696"/>
    <n v="409"/>
    <s v="Delayed"/>
    <n v="27.5"/>
    <n v="66.599999999999994"/>
    <s v="Detour"/>
    <n v="29"/>
    <n v="492"/>
    <n v="3"/>
    <s v="None"/>
    <n v="72.599999999999994"/>
    <n v="204"/>
    <n v="1"/>
    <x v="1"/>
  </r>
  <r>
    <d v="2024-04-28T21:23:34"/>
    <s v="Truck_10"/>
    <s v="75.7743"/>
    <s v="108.9425"/>
    <n v="457"/>
    <s v="In Transit"/>
    <n v="25.5"/>
    <n v="75.900000000000006"/>
    <s v="Clear"/>
    <n v="21"/>
    <n v="315"/>
    <n v="3"/>
    <s v="Traffic"/>
    <n v="83.4"/>
    <n v="248"/>
    <n v="0"/>
    <x v="1"/>
  </r>
  <r>
    <d v="2024-03-06T20:00:26"/>
    <s v="Truck_5"/>
    <s v="50.3419"/>
    <s v="108.5647"/>
    <n v="207"/>
    <s v="Delivered"/>
    <n v="29.3"/>
    <n v="59.4"/>
    <s v="Detour"/>
    <n v="31"/>
    <n v="174"/>
    <n v="5"/>
    <s v="Mechanical Failure"/>
    <n v="65.900000000000006"/>
    <n v="195"/>
    <n v="0"/>
    <x v="1"/>
  </r>
  <r>
    <d v="2024-11-20T16:38:07"/>
    <s v="Truck_8"/>
    <s v="-6.6729"/>
    <s v="132.6727"/>
    <n v="155"/>
    <s v="Delivered"/>
    <n v="19.399999999999999"/>
    <n v="53.2"/>
    <s v="Heavy"/>
    <n v="20"/>
    <n v="152"/>
    <n v="1"/>
    <s v="Mechanical Failure"/>
    <n v="99.3"/>
    <n v="235"/>
    <n v="1"/>
    <x v="1"/>
  </r>
  <r>
    <d v="2024-01-07T09:13:28"/>
    <s v="Truck_6"/>
    <s v="-74.1751"/>
    <s v="-102.7331"/>
    <n v="314"/>
    <s v="Delivered"/>
    <n v="19.899999999999999"/>
    <n v="64.8"/>
    <s v="Detour"/>
    <n v="57"/>
    <n v="396"/>
    <n v="10"/>
    <s v="Weather"/>
    <n v="78.599999999999994"/>
    <n v="135"/>
    <n v="0"/>
    <x v="1"/>
  </r>
  <r>
    <d v="2024-09-25T15:12:12"/>
    <s v="Truck_10"/>
    <s v="-33.2264"/>
    <s v="169.6187"/>
    <n v="156"/>
    <s v="In Transit"/>
    <n v="27.2"/>
    <n v="74.400000000000006"/>
    <s v="Clear"/>
    <n v="35"/>
    <n v="354"/>
    <n v="2"/>
    <s v="Weather"/>
    <n v="63.1"/>
    <n v="282"/>
    <n v="0"/>
    <x v="1"/>
  </r>
  <r>
    <d v="2024-02-11T13:30:18"/>
    <s v="Truck_2"/>
    <s v="-34.4469"/>
    <s v="93.1585"/>
    <n v="119"/>
    <s v="In Transit"/>
    <n v="28.1"/>
    <n v="72.400000000000006"/>
    <s v="Detour"/>
    <n v="41"/>
    <n v="176"/>
    <n v="2"/>
    <s v="None"/>
    <n v="60.9"/>
    <n v="238"/>
    <n v="0"/>
    <x v="1"/>
  </r>
  <r>
    <d v="2024-11-20T11:22:13"/>
    <s v="Truck_3"/>
    <s v="-13.5110"/>
    <s v="141.8454"/>
    <n v="112"/>
    <s v="In Transit"/>
    <n v="19.7"/>
    <n v="76.599999999999994"/>
    <s v="Detour"/>
    <n v="22"/>
    <n v="121"/>
    <n v="3"/>
    <s v="Traffic"/>
    <n v="80.900000000000006"/>
    <n v="262"/>
    <n v="0"/>
    <x v="1"/>
  </r>
  <r>
    <d v="2024-06-25T02:26:25"/>
    <s v="Truck_3"/>
    <s v="-22.4270"/>
    <s v="108.2306"/>
    <n v="435"/>
    <s v="Delivered"/>
    <n v="25.8"/>
    <n v="78.599999999999994"/>
    <s v="Heavy"/>
    <n v="22"/>
    <n v="220"/>
    <n v="7"/>
    <s v="Traffic"/>
    <n v="90.8"/>
    <n v="101"/>
    <n v="1"/>
    <x v="2"/>
  </r>
  <r>
    <d v="2024-06-25T00:01:12"/>
    <s v="Truck_9"/>
    <s v="43.3353"/>
    <s v="-12.0683"/>
    <n v="422"/>
    <s v="Delivered"/>
    <n v="20"/>
    <n v="62.9"/>
    <s v="Heavy"/>
    <n v="14"/>
    <n v="184"/>
    <n v="9"/>
    <s v="Traffic"/>
    <n v="64"/>
    <n v="248"/>
    <n v="1"/>
    <x v="1"/>
  </r>
  <r>
    <d v="2024-05-02T02:33:56"/>
    <s v="Truck_4"/>
    <s v="-66.7517"/>
    <s v="161.4500"/>
    <n v="353"/>
    <s v="In Transit"/>
    <n v="20.5"/>
    <n v="52"/>
    <s v="Heavy"/>
    <n v="26"/>
    <n v="392"/>
    <n v="7"/>
    <s v="Traffic"/>
    <n v="76.400000000000006"/>
    <n v="155"/>
    <n v="1"/>
    <x v="1"/>
  </r>
  <r>
    <d v="2024-08-10T00:04:40"/>
    <s v="Truck_8"/>
    <s v="-65.7349"/>
    <s v="-173.3011"/>
    <n v="299"/>
    <s v="Delayed"/>
    <n v="23.9"/>
    <n v="50.1"/>
    <s v="Heavy"/>
    <n v="17"/>
    <n v="315"/>
    <n v="6"/>
    <s v="None"/>
    <n v="88.3"/>
    <n v="252"/>
    <n v="1"/>
    <x v="1"/>
  </r>
  <r>
    <d v="2024-05-13T03:20:21"/>
    <s v="Truck_1"/>
    <s v="-55.4768"/>
    <s v="18.2551"/>
    <n v="261"/>
    <s v="Delayed"/>
    <n v="22.5"/>
    <n v="78.400000000000006"/>
    <s v="Clear"/>
    <n v="41"/>
    <n v="209"/>
    <n v="6"/>
    <s v="Mechanical Failure"/>
    <n v="71.8"/>
    <n v="240"/>
    <n v="1"/>
    <x v="1"/>
  </r>
  <r>
    <d v="2024-12-02T08:32:47"/>
    <s v="Truck_8"/>
    <s v="5.9179"/>
    <s v="74.8254"/>
    <n v="425"/>
    <s v="Delayed"/>
    <n v="19.3"/>
    <n v="51.1"/>
    <s v="Heavy"/>
    <n v="39"/>
    <n v="235"/>
    <n v="9"/>
    <s v="Mechanical Failure"/>
    <n v="88.3"/>
    <n v="242"/>
    <n v="1"/>
    <x v="1"/>
  </r>
  <r>
    <d v="2024-02-12T06:23:27"/>
    <s v="Truck_7"/>
    <s v="49.3929"/>
    <s v="-47.5805"/>
    <n v="369"/>
    <s v="Delivered"/>
    <n v="26.3"/>
    <n v="52.1"/>
    <s v="Detour"/>
    <n v="48"/>
    <n v="104"/>
    <n v="7"/>
    <s v="None"/>
    <n v="66.7"/>
    <n v="220"/>
    <n v="0"/>
    <x v="1"/>
  </r>
  <r>
    <d v="2024-04-24T06:17:22"/>
    <s v="Truck_10"/>
    <s v="80.3158"/>
    <s v="70.7650"/>
    <n v="223"/>
    <s v="Delayed"/>
    <n v="24"/>
    <n v="60.2"/>
    <s v="Heavy"/>
    <n v="45"/>
    <n v="292"/>
    <n v="6"/>
    <s v="Weather"/>
    <n v="78.400000000000006"/>
    <n v="205"/>
    <n v="1"/>
    <x v="1"/>
  </r>
  <r>
    <d v="2024-12-06T19:05:13"/>
    <s v="Truck_2"/>
    <s v="-19.8847"/>
    <s v="42.5062"/>
    <n v="200"/>
    <s v="Delivered"/>
    <n v="28.1"/>
    <n v="72.099999999999994"/>
    <s v="Detour"/>
    <n v="28"/>
    <n v="129"/>
    <n v="9"/>
    <s v="None"/>
    <n v="74.3"/>
    <n v="134"/>
    <n v="0"/>
    <x v="1"/>
  </r>
  <r>
    <d v="2024-04-30T11:53:17"/>
    <s v="Truck_9"/>
    <s v="5.4555"/>
    <s v="-147.5455"/>
    <n v="466"/>
    <s v="In Transit"/>
    <n v="26.1"/>
    <n v="72.099999999999994"/>
    <s v="Detour"/>
    <n v="54"/>
    <n v="475"/>
    <n v="9"/>
    <s v="Mechanical Failure"/>
    <n v="83.4"/>
    <n v="222"/>
    <n v="0"/>
    <x v="1"/>
  </r>
  <r>
    <d v="2024-09-19T22:53:51"/>
    <s v="Truck_8"/>
    <s v="-19.2577"/>
    <s v="66.7440"/>
    <n v="474"/>
    <s v="In Transit"/>
    <n v="27.7"/>
    <n v="71.2"/>
    <s v="Heavy"/>
    <n v="50"/>
    <n v="311"/>
    <n v="3"/>
    <s v="Mechanical Failure"/>
    <n v="91.6"/>
    <n v="266"/>
    <n v="1"/>
    <x v="1"/>
  </r>
  <r>
    <d v="2024-12-22T15:08:14"/>
    <s v="Truck_6"/>
    <s v="-79.0792"/>
    <s v="-16.3423"/>
    <n v="490"/>
    <s v="Delivered"/>
    <n v="23.1"/>
    <n v="75.2"/>
    <s v="Heavy"/>
    <n v="14"/>
    <n v="460"/>
    <n v="7"/>
    <s v="None"/>
    <n v="87.8"/>
    <n v="261"/>
    <n v="1"/>
    <x v="1"/>
  </r>
  <r>
    <d v="2024-08-15T05:45:04"/>
    <s v="Truck_5"/>
    <s v="-1.6787"/>
    <s v="3.2441"/>
    <n v="126"/>
    <s v="Delivered"/>
    <n v="29.6"/>
    <n v="67.599999999999994"/>
    <s v="Detour"/>
    <n v="19"/>
    <n v="201"/>
    <n v="9"/>
    <s v="Weather"/>
    <n v="84.1"/>
    <n v="255"/>
    <n v="0"/>
    <x v="1"/>
  </r>
  <r>
    <d v="2024-03-16T11:17:42"/>
    <s v="Truck_7"/>
    <s v="-8.2431"/>
    <s v="-12.4959"/>
    <n v="164"/>
    <s v="In Transit"/>
    <n v="18.2"/>
    <n v="76.400000000000006"/>
    <s v="Clear"/>
    <n v="45"/>
    <n v="466"/>
    <n v="7"/>
    <s v="None"/>
    <n v="98.1"/>
    <n v="196"/>
    <n v="0"/>
    <x v="1"/>
  </r>
  <r>
    <d v="2024-12-28T11:40:55"/>
    <s v="Truck_2"/>
    <s v="-30.0701"/>
    <s v="135.6396"/>
    <n v="477"/>
    <s v="Delayed"/>
    <n v="19.2"/>
    <n v="79.400000000000006"/>
    <s v="Clear"/>
    <n v="12"/>
    <n v="310"/>
    <n v="5"/>
    <s v="Mechanical Failure"/>
    <n v="63.7"/>
    <n v="129"/>
    <n v="1"/>
    <x v="1"/>
  </r>
  <r>
    <d v="2024-02-04T18:55:58"/>
    <s v="Truck_5"/>
    <s v="61.8444"/>
    <s v="107.4835"/>
    <n v="245"/>
    <s v="In Transit"/>
    <n v="24.2"/>
    <n v="56.9"/>
    <s v="Detour"/>
    <n v="39"/>
    <n v="379"/>
    <n v="2"/>
    <s v="Traffic"/>
    <n v="66.400000000000006"/>
    <n v="183"/>
    <n v="0"/>
    <x v="1"/>
  </r>
  <r>
    <d v="2024-07-09T02:12:54"/>
    <s v="Truck_5"/>
    <s v="40.7840"/>
    <s v="77.2346"/>
    <n v="172"/>
    <s v="Delayed"/>
    <n v="25.2"/>
    <n v="67.599999999999994"/>
    <s v="Clear"/>
    <n v="40"/>
    <n v="274"/>
    <n v="7"/>
    <s v="Weather"/>
    <n v="66.3"/>
    <n v="170"/>
    <n v="1"/>
    <x v="1"/>
  </r>
  <r>
    <d v="2024-12-01T23:54:16"/>
    <s v="Truck_7"/>
    <s v="-68.3515"/>
    <s v="158.2510"/>
    <n v="206"/>
    <s v="Delayed"/>
    <n v="20.7"/>
    <n v="77.5"/>
    <s v="Clear"/>
    <n v="15"/>
    <n v="308"/>
    <n v="2"/>
    <s v="Mechanical Failure"/>
    <n v="63.9"/>
    <n v="209"/>
    <n v="1"/>
    <x v="1"/>
  </r>
  <r>
    <d v="2024-06-22T13:26:02"/>
    <s v="Truck_6"/>
    <s v="-33.8378"/>
    <s v="73.3221"/>
    <n v="310"/>
    <s v="In Transit"/>
    <n v="18.7"/>
    <n v="54.7"/>
    <s v="Clear"/>
    <n v="52"/>
    <n v="232"/>
    <n v="9"/>
    <s v="Traffic"/>
    <n v="72.599999999999994"/>
    <n v="113"/>
    <n v="0"/>
    <x v="2"/>
  </r>
  <r>
    <d v="2024-07-27T15:50:46"/>
    <s v="Truck_2"/>
    <s v="69.6609"/>
    <s v="38.4464"/>
    <n v="225"/>
    <s v="Delivered"/>
    <n v="19"/>
    <n v="63"/>
    <s v="Heavy"/>
    <n v="17"/>
    <n v="282"/>
    <n v="6"/>
    <s v="Weather"/>
    <n v="99.6"/>
    <n v="265"/>
    <n v="1"/>
    <x v="1"/>
  </r>
  <r>
    <d v="2024-09-05T14:12:00"/>
    <s v="Truck_3"/>
    <s v="20.8843"/>
    <s v="1.3947"/>
    <n v="303"/>
    <s v="Delayed"/>
    <n v="20.7"/>
    <n v="70.599999999999994"/>
    <s v="Clear"/>
    <n v="47"/>
    <n v="143"/>
    <n v="10"/>
    <s v="None"/>
    <n v="98.1"/>
    <n v="123"/>
    <n v="1"/>
    <x v="2"/>
  </r>
  <r>
    <d v="2024-11-11T22:09:53"/>
    <s v="Truck_1"/>
    <s v="-14.8081"/>
    <s v="-177.3003"/>
    <n v="237"/>
    <s v="Delayed"/>
    <n v="20.7"/>
    <n v="78.3"/>
    <s v="Heavy"/>
    <n v="35"/>
    <n v="491"/>
    <n v="2"/>
    <s v="None"/>
    <n v="80.7"/>
    <n v="189"/>
    <n v="1"/>
    <x v="1"/>
  </r>
  <r>
    <d v="2024-05-01T22:26:11"/>
    <s v="Truck_6"/>
    <s v="0.0414"/>
    <s v="-130.6505"/>
    <n v="172"/>
    <s v="Delivered"/>
    <n v="18.2"/>
    <n v="79.900000000000006"/>
    <s v="Clear"/>
    <n v="46"/>
    <n v="258"/>
    <n v="3"/>
    <s v="Mechanical Failure"/>
    <n v="60.1"/>
    <n v="154"/>
    <n v="0"/>
    <x v="1"/>
  </r>
  <r>
    <d v="2024-07-26T20:19:01"/>
    <s v="Truck_9"/>
    <s v="-79.9146"/>
    <s v="-3.8554"/>
    <n v="214"/>
    <s v="In Transit"/>
    <n v="21.7"/>
    <n v="77"/>
    <s v="Heavy"/>
    <n v="47"/>
    <n v="187"/>
    <n v="10"/>
    <s v="None"/>
    <n v="97.4"/>
    <n v="175"/>
    <n v="1"/>
    <x v="1"/>
  </r>
  <r>
    <d v="2024-08-09T01:16:43"/>
    <s v="Truck_3"/>
    <s v="76.4465"/>
    <s v="173.1493"/>
    <n v="330"/>
    <s v="Delayed"/>
    <n v="24"/>
    <n v="52.9"/>
    <s v="Heavy"/>
    <n v="14"/>
    <n v="425"/>
    <n v="1"/>
    <s v="Mechanical Failure"/>
    <n v="89.8"/>
    <n v="289"/>
    <n v="1"/>
    <x v="0"/>
  </r>
  <r>
    <d v="2024-01-29T21:04:08"/>
    <s v="Truck_5"/>
    <s v="-15.6005"/>
    <s v="-92.1974"/>
    <n v="130"/>
    <s v="Delivered"/>
    <n v="18.100000000000001"/>
    <n v="78.3"/>
    <s v="Heavy"/>
    <n v="39"/>
    <n v="424"/>
    <n v="9"/>
    <s v="Traffic"/>
    <n v="92.3"/>
    <n v="143"/>
    <n v="1"/>
    <x v="1"/>
  </r>
  <r>
    <d v="2024-03-23T12:47:34"/>
    <s v="Truck_2"/>
    <s v="67.3960"/>
    <s v="170.1537"/>
    <n v="364"/>
    <s v="Delayed"/>
    <n v="26.9"/>
    <n v="67.8"/>
    <s v="Clear"/>
    <n v="55"/>
    <n v="467"/>
    <n v="7"/>
    <s v="Weather"/>
    <n v="95.2"/>
    <n v="128"/>
    <n v="1"/>
    <x v="1"/>
  </r>
  <r>
    <d v="2024-10-17T13:22:31"/>
    <s v="Truck_8"/>
    <s v="33.6179"/>
    <s v="-67.2758"/>
    <n v="430"/>
    <s v="Delayed"/>
    <n v="26.4"/>
    <n v="68.400000000000006"/>
    <s v="Heavy"/>
    <n v="16"/>
    <n v="277"/>
    <n v="8"/>
    <s v="None"/>
    <n v="71.900000000000006"/>
    <n v="137"/>
    <n v="1"/>
    <x v="1"/>
  </r>
  <r>
    <d v="2024-07-11T07:07:27"/>
    <s v="Truck_8"/>
    <s v="-50.8174"/>
    <s v="-40.3409"/>
    <n v="187"/>
    <s v="In Transit"/>
    <n v="18.600000000000001"/>
    <n v="67.7"/>
    <s v="Clear"/>
    <n v="12"/>
    <n v="375"/>
    <n v="5"/>
    <s v="None"/>
    <n v="85.4"/>
    <n v="140"/>
    <n v="0"/>
    <x v="1"/>
  </r>
  <r>
    <d v="2024-12-11T16:57:48"/>
    <s v="Truck_5"/>
    <s v="50.2709"/>
    <s v="125.6915"/>
    <n v="323"/>
    <s v="Delayed"/>
    <n v="28.3"/>
    <n v="61.2"/>
    <s v="Detour"/>
    <n v="52"/>
    <n v="139"/>
    <n v="4"/>
    <s v="Weather"/>
    <n v="72.400000000000006"/>
    <n v="127"/>
    <n v="1"/>
    <x v="1"/>
  </r>
  <r>
    <d v="2024-01-10T01:05:25"/>
    <s v="Truck_9"/>
    <s v="-73.8211"/>
    <s v="3.1870"/>
    <n v="386"/>
    <s v="Delivered"/>
    <n v="26.6"/>
    <n v="78.2"/>
    <s v="Detour"/>
    <n v="19"/>
    <n v="456"/>
    <n v="7"/>
    <s v="Traffic"/>
    <n v="87.6"/>
    <n v="290"/>
    <n v="0"/>
    <x v="0"/>
  </r>
  <r>
    <d v="2024-06-17T07:59:24"/>
    <s v="Truck_9"/>
    <s v="79.1172"/>
    <s v="178.4934"/>
    <n v="422"/>
    <s v="Delayed"/>
    <n v="19.600000000000001"/>
    <n v="53.3"/>
    <s v="Heavy"/>
    <n v="40"/>
    <n v="205"/>
    <n v="5"/>
    <s v="Weather"/>
    <n v="86.1"/>
    <n v="242"/>
    <n v="1"/>
    <x v="1"/>
  </r>
  <r>
    <d v="2024-06-25T01:52:28"/>
    <s v="Truck_9"/>
    <s v="27.4253"/>
    <s v="90.1386"/>
    <n v="433"/>
    <s v="Delayed"/>
    <n v="24"/>
    <n v="77.8"/>
    <s v="Clear"/>
    <n v="37"/>
    <n v="173"/>
    <n v="9"/>
    <s v="Weather"/>
    <n v="89.6"/>
    <n v="143"/>
    <n v="1"/>
    <x v="1"/>
  </r>
  <r>
    <d v="2024-04-17T20:13:18"/>
    <s v="Truck_9"/>
    <s v="67.9086"/>
    <s v="-140.0283"/>
    <n v="318"/>
    <s v="Delivered"/>
    <n v="26"/>
    <n v="77.400000000000006"/>
    <s v="Clear"/>
    <n v="19"/>
    <n v="314"/>
    <n v="2"/>
    <s v="None"/>
    <n v="70.2"/>
    <n v="250"/>
    <n v="0"/>
    <x v="1"/>
  </r>
  <r>
    <d v="2024-10-09T18:26:11"/>
    <s v="Truck_9"/>
    <s v="-72.8958"/>
    <s v="129.8921"/>
    <n v="176"/>
    <s v="In Transit"/>
    <n v="22.6"/>
    <n v="73.3"/>
    <s v="Heavy"/>
    <n v="37"/>
    <n v="154"/>
    <n v="4"/>
    <s v="Mechanical Failure"/>
    <n v="91.4"/>
    <n v="169"/>
    <n v="1"/>
    <x v="1"/>
  </r>
  <r>
    <d v="2024-11-27T17:17:47"/>
    <s v="Truck_4"/>
    <s v="-58.6802"/>
    <s v="-62.7474"/>
    <n v="125"/>
    <s v="Delayed"/>
    <n v="23.4"/>
    <n v="57.6"/>
    <s v="Heavy"/>
    <n v="23"/>
    <n v="191"/>
    <n v="2"/>
    <s v="Traffic"/>
    <n v="72"/>
    <n v="241"/>
    <n v="1"/>
    <x v="1"/>
  </r>
  <r>
    <d v="2024-06-12T02:49:27"/>
    <s v="Truck_6"/>
    <s v="64.0395"/>
    <s v="-151.7045"/>
    <n v="336"/>
    <s v="In Transit"/>
    <n v="27.4"/>
    <n v="58.9"/>
    <s v="Detour"/>
    <n v="49"/>
    <n v="100"/>
    <n v="10"/>
    <s v="Weather"/>
    <n v="70.7"/>
    <n v="236"/>
    <n v="0"/>
    <x v="1"/>
  </r>
  <r>
    <d v="2024-11-02T21:19:46"/>
    <s v="Truck_7"/>
    <s v="-24.1402"/>
    <s v="-168.6013"/>
    <n v="244"/>
    <s v="Delivered"/>
    <n v="21.3"/>
    <n v="73.8"/>
    <s v="Heavy"/>
    <n v="39"/>
    <n v="229"/>
    <n v="7"/>
    <s v="None"/>
    <n v="98.1"/>
    <n v="197"/>
    <n v="1"/>
    <x v="1"/>
  </r>
  <r>
    <d v="2024-02-29T15:12:54"/>
    <s v="Truck_4"/>
    <s v="72.8574"/>
    <s v="179.0100"/>
    <n v="391"/>
    <s v="In Transit"/>
    <n v="20.5"/>
    <n v="71.2"/>
    <s v="Detour"/>
    <n v="12"/>
    <n v="112"/>
    <n v="7"/>
    <s v="None"/>
    <n v="78.3"/>
    <n v="267"/>
    <n v="0"/>
    <x v="1"/>
  </r>
  <r>
    <d v="2024-03-17T23:47:15"/>
    <s v="Truck_6"/>
    <s v="7.3575"/>
    <s v="86.6442"/>
    <n v="425"/>
    <s v="Delivered"/>
    <n v="24.2"/>
    <n v="54.6"/>
    <s v="Detour"/>
    <n v="32"/>
    <n v="193"/>
    <n v="3"/>
    <s v="Weather"/>
    <n v="69.900000000000006"/>
    <n v="260"/>
    <n v="0"/>
    <x v="1"/>
  </r>
  <r>
    <d v="2024-11-25T10:39:09"/>
    <s v="Truck_5"/>
    <s v="68.9594"/>
    <s v="-123.5048"/>
    <n v="403"/>
    <s v="In Transit"/>
    <n v="26.9"/>
    <n v="60.6"/>
    <s v="Clear"/>
    <n v="50"/>
    <n v="418"/>
    <n v="1"/>
    <s v="Traffic"/>
    <n v="67.8"/>
    <n v="182"/>
    <n v="0"/>
    <x v="1"/>
  </r>
  <r>
    <d v="2024-07-04T18:22:32"/>
    <s v="Truck_4"/>
    <s v="14.9079"/>
    <s v="50.1606"/>
    <n v="438"/>
    <s v="Delayed"/>
    <n v="26.5"/>
    <n v="69.3"/>
    <s v="Heavy"/>
    <n v="34"/>
    <n v="378"/>
    <n v="5"/>
    <s v="Weather"/>
    <n v="88.7"/>
    <n v="256"/>
    <n v="1"/>
    <x v="1"/>
  </r>
  <r>
    <d v="2024-03-19T05:23:55"/>
    <s v="Truck_1"/>
    <s v="66.2353"/>
    <s v="10.8345"/>
    <n v="339"/>
    <s v="In Transit"/>
    <n v="26.8"/>
    <n v="64.5"/>
    <s v="Detour"/>
    <n v="24"/>
    <n v="235"/>
    <n v="6"/>
    <s v="Traffic"/>
    <n v="69.3"/>
    <n v="212"/>
    <n v="0"/>
    <x v="1"/>
  </r>
  <r>
    <d v="2024-03-20T01:25:23"/>
    <s v="Truck_9"/>
    <s v="70.1899"/>
    <s v="-65.6792"/>
    <n v="203"/>
    <s v="In Transit"/>
    <n v="18"/>
    <n v="68.900000000000006"/>
    <s v="Heavy"/>
    <n v="19"/>
    <n v="370"/>
    <n v="3"/>
    <s v="Traffic"/>
    <n v="74.400000000000006"/>
    <n v="254"/>
    <n v="1"/>
    <x v="1"/>
  </r>
  <r>
    <d v="2024-07-18T11:16:58"/>
    <s v="Truck_4"/>
    <s v="51.4539"/>
    <s v="-20.8253"/>
    <n v="313"/>
    <s v="Delivered"/>
    <n v="23.6"/>
    <n v="65.2"/>
    <s v="Clear"/>
    <n v="49"/>
    <n v="137"/>
    <n v="6"/>
    <s v="None"/>
    <n v="100"/>
    <n v="122"/>
    <n v="0"/>
    <x v="2"/>
  </r>
  <r>
    <d v="2024-08-10T08:40:26"/>
    <s v="Truck_2"/>
    <s v="-39.8800"/>
    <s v="55.1792"/>
    <n v="261"/>
    <s v="Delivered"/>
    <n v="27.1"/>
    <n v="67.3"/>
    <s v="Detour"/>
    <n v="35"/>
    <n v="496"/>
    <n v="2"/>
    <s v="Weather"/>
    <n v="71.3"/>
    <n v="264"/>
    <n v="0"/>
    <x v="1"/>
  </r>
  <r>
    <d v="2024-02-20T08:11:14"/>
    <s v="Truck_8"/>
    <s v="-17.2355"/>
    <s v="-130.6915"/>
    <n v="179"/>
    <s v="In Transit"/>
    <n v="28.5"/>
    <n v="51"/>
    <s v="Detour"/>
    <n v="12"/>
    <n v="354"/>
    <n v="3"/>
    <s v="Weather"/>
    <n v="92.8"/>
    <n v="225"/>
    <n v="0"/>
    <x v="1"/>
  </r>
  <r>
    <d v="2024-12-18T02:23:25"/>
    <s v="Truck_6"/>
    <s v="-44.2576"/>
    <s v="-86.5073"/>
    <n v="442"/>
    <s v="In Transit"/>
    <n v="18.3"/>
    <n v="50.3"/>
    <s v="Clear"/>
    <n v="56"/>
    <n v="469"/>
    <n v="2"/>
    <s v="None"/>
    <n v="96.3"/>
    <n v="192"/>
    <n v="0"/>
    <x v="1"/>
  </r>
  <r>
    <d v="2024-08-20T16:18:37"/>
    <s v="Truck_5"/>
    <s v="19.9257"/>
    <s v="116.0526"/>
    <n v="291"/>
    <s v="Delivered"/>
    <n v="28.5"/>
    <n v="54.6"/>
    <s v="Heavy"/>
    <n v="14"/>
    <n v="316"/>
    <n v="7"/>
    <s v="None"/>
    <n v="77.5"/>
    <n v="288"/>
    <n v="1"/>
    <x v="0"/>
  </r>
  <r>
    <d v="2024-11-06T07:40:41"/>
    <s v="Truck_5"/>
    <s v="-47.2094"/>
    <s v="15.6324"/>
    <n v="348"/>
    <s v="Delivered"/>
    <n v="28.2"/>
    <n v="68.3"/>
    <s v="Clear"/>
    <n v="22"/>
    <n v="415"/>
    <n v="4"/>
    <s v="Traffic"/>
    <n v="67.400000000000006"/>
    <n v="204"/>
    <n v="0"/>
    <x v="1"/>
  </r>
  <r>
    <d v="2024-12-14T15:09:01"/>
    <s v="Truck_6"/>
    <s v="-58.4249"/>
    <s v="-57.6609"/>
    <n v="454"/>
    <s v="In Transit"/>
    <n v="23.7"/>
    <n v="51.9"/>
    <s v="Clear"/>
    <n v="51"/>
    <n v="232"/>
    <n v="7"/>
    <s v="Weather"/>
    <n v="78.7"/>
    <n v="172"/>
    <n v="0"/>
    <x v="1"/>
  </r>
  <r>
    <d v="2024-01-15T12:01:25"/>
    <s v="Truck_1"/>
    <s v="-20.0696"/>
    <s v="-73.2689"/>
    <n v="486"/>
    <s v="Delivered"/>
    <n v="29.1"/>
    <n v="78.400000000000006"/>
    <s v="Clear"/>
    <n v="21"/>
    <n v="158"/>
    <n v="7"/>
    <s v="None"/>
    <n v="62.6"/>
    <n v="243"/>
    <n v="0"/>
    <x v="1"/>
  </r>
  <r>
    <d v="2024-05-18T10:00:52"/>
    <s v="Truck_10"/>
    <s v="-36.8549"/>
    <s v="164.7618"/>
    <n v="483"/>
    <s v="In Transit"/>
    <n v="29.2"/>
    <n v="65"/>
    <s v="Heavy"/>
    <n v="57"/>
    <n v="167"/>
    <n v="8"/>
    <s v="Mechanical Failure"/>
    <n v="96.8"/>
    <n v="245"/>
    <n v="1"/>
    <x v="1"/>
  </r>
  <r>
    <d v="2024-11-17T02:02:28"/>
    <s v="Truck_4"/>
    <s v="-86.6609"/>
    <s v="-128.0354"/>
    <n v="472"/>
    <s v="Delivered"/>
    <n v="23.5"/>
    <n v="72"/>
    <s v="Clear"/>
    <n v="59"/>
    <n v="485"/>
    <n v="3"/>
    <s v="Weather"/>
    <n v="67.2"/>
    <n v="248"/>
    <n v="0"/>
    <x v="1"/>
  </r>
  <r>
    <d v="2024-08-22T20:11:57"/>
    <s v="Truck_5"/>
    <s v="-53.3732"/>
    <s v="-99.6370"/>
    <n v="186"/>
    <s v="In Transit"/>
    <n v="18.899999999999999"/>
    <n v="70.5"/>
    <s v="Clear"/>
    <n v="38"/>
    <n v="344"/>
    <n v="1"/>
    <s v="Traffic"/>
    <n v="95.6"/>
    <n v="252"/>
    <n v="0"/>
    <x v="1"/>
  </r>
  <r>
    <d v="2024-09-12T08:00:47"/>
    <s v="Truck_6"/>
    <s v="-58.7963"/>
    <s v="-150.4122"/>
    <n v="366"/>
    <s v="In Transit"/>
    <n v="22.8"/>
    <n v="66.7"/>
    <s v="Clear"/>
    <n v="39"/>
    <n v="219"/>
    <n v="7"/>
    <s v="Traffic"/>
    <n v="91"/>
    <n v="211"/>
    <n v="0"/>
    <x v="1"/>
  </r>
  <r>
    <d v="2024-08-09T21:54:31"/>
    <s v="Truck_5"/>
    <s v="-46.1616"/>
    <s v="-46.6401"/>
    <n v="359"/>
    <s v="Delivered"/>
    <n v="23"/>
    <n v="71.7"/>
    <s v="Detour"/>
    <n v="50"/>
    <n v="486"/>
    <n v="10"/>
    <s v="Traffic"/>
    <n v="64"/>
    <n v="169"/>
    <n v="0"/>
    <x v="1"/>
  </r>
  <r>
    <d v="2024-04-19T02:50:29"/>
    <s v="Truck_7"/>
    <s v="33.8716"/>
    <s v="36.8753"/>
    <n v="422"/>
    <s v="Delayed"/>
    <n v="26.5"/>
    <n v="75"/>
    <s v="Heavy"/>
    <n v="39"/>
    <n v="100"/>
    <n v="6"/>
    <s v="None"/>
    <n v="67.2"/>
    <n v="127"/>
    <n v="1"/>
    <x v="1"/>
  </r>
  <r>
    <d v="2024-09-30T11:18:34"/>
    <s v="Truck_6"/>
    <s v="35.7136"/>
    <s v="-23.1356"/>
    <n v="209"/>
    <s v="In Transit"/>
    <n v="24.9"/>
    <n v="76.8"/>
    <s v="Clear"/>
    <n v="51"/>
    <n v="214"/>
    <n v="2"/>
    <s v="Mechanical Failure"/>
    <n v="86.5"/>
    <n v="156"/>
    <n v="0"/>
    <x v="1"/>
  </r>
  <r>
    <d v="2024-03-22T16:43:42"/>
    <s v="Truck_5"/>
    <s v="36.3858"/>
    <s v="-107.3894"/>
    <n v="324"/>
    <s v="Delayed"/>
    <n v="20.7"/>
    <n v="77.5"/>
    <s v="Heavy"/>
    <n v="39"/>
    <n v="387"/>
    <n v="1"/>
    <s v="None"/>
    <n v="69.099999999999994"/>
    <n v="138"/>
    <n v="1"/>
    <x v="1"/>
  </r>
  <r>
    <d v="2024-10-15T04:02:56"/>
    <s v="Truck_7"/>
    <s v="26.6125"/>
    <s v="25.4788"/>
    <n v="199"/>
    <s v="In Transit"/>
    <n v="27.4"/>
    <n v="57.1"/>
    <s v="Heavy"/>
    <n v="28"/>
    <n v="383"/>
    <n v="6"/>
    <s v="None"/>
    <n v="61.9"/>
    <n v="105"/>
    <n v="1"/>
    <x v="2"/>
  </r>
  <r>
    <d v="2024-12-18T19:01:30"/>
    <s v="Truck_5"/>
    <s v="-84.8915"/>
    <s v="57.5714"/>
    <n v="213"/>
    <s v="Delayed"/>
    <n v="27.7"/>
    <n v="58.1"/>
    <s v="Clear"/>
    <n v="41"/>
    <n v="267"/>
    <n v="7"/>
    <s v="Mechanical Failure"/>
    <n v="60.9"/>
    <n v="254"/>
    <n v="1"/>
    <x v="1"/>
  </r>
  <r>
    <d v="2024-06-09T17:12:12"/>
    <s v="Truck_4"/>
    <s v="-49.6846"/>
    <s v="-63.2892"/>
    <n v="257"/>
    <s v="Delayed"/>
    <n v="23.1"/>
    <n v="59.1"/>
    <s v="Clear"/>
    <n v="56"/>
    <n v="451"/>
    <n v="3"/>
    <s v="Weather"/>
    <n v="93.8"/>
    <n v="248"/>
    <n v="1"/>
    <x v="1"/>
  </r>
  <r>
    <d v="2024-10-30T02:01:46"/>
    <s v="Truck_5"/>
    <s v="14.7474"/>
    <s v="-2.5245"/>
    <n v="475"/>
    <s v="In Transit"/>
    <n v="22.2"/>
    <n v="79.400000000000006"/>
    <s v="Detour"/>
    <n v="25"/>
    <n v="268"/>
    <n v="3"/>
    <s v="Weather"/>
    <n v="60.3"/>
    <n v="151"/>
    <n v="0"/>
    <x v="1"/>
  </r>
  <r>
    <d v="2024-06-23T03:05:18"/>
    <s v="Truck_7"/>
    <s v="-8.6011"/>
    <s v="-63.1274"/>
    <n v="377"/>
    <s v="In Transit"/>
    <n v="22.7"/>
    <n v="75.5"/>
    <s v="Clear"/>
    <n v="59"/>
    <n v="445"/>
    <n v="7"/>
    <s v="None"/>
    <n v="99.1"/>
    <n v="272"/>
    <n v="0"/>
    <x v="1"/>
  </r>
  <r>
    <d v="2024-08-19T17:13:42"/>
    <s v="Truck_2"/>
    <s v="67.2149"/>
    <s v="117.9203"/>
    <n v="456"/>
    <s v="Delayed"/>
    <n v="26.4"/>
    <n v="51.4"/>
    <s v="Heavy"/>
    <n v="23"/>
    <n v="100"/>
    <n v="1"/>
    <s v="Weather"/>
    <n v="94.2"/>
    <n v="105"/>
    <n v="1"/>
    <x v="2"/>
  </r>
  <r>
    <d v="2024-04-30T12:39:49"/>
    <s v="Truck_1"/>
    <s v="-11.3392"/>
    <s v="-69.3395"/>
    <n v="106"/>
    <s v="Delayed"/>
    <n v="18.3"/>
    <n v="65.900000000000006"/>
    <s v="Heavy"/>
    <n v="53"/>
    <n v="244"/>
    <n v="2"/>
    <s v="Traffic"/>
    <n v="99.5"/>
    <n v="125"/>
    <n v="1"/>
    <x v="2"/>
  </r>
  <r>
    <d v="2024-12-15T03:53:36"/>
    <s v="Truck_10"/>
    <s v="26.3763"/>
    <s v="157.0905"/>
    <n v="234"/>
    <s v="Delayed"/>
    <n v="29.1"/>
    <n v="65.3"/>
    <s v="Clear"/>
    <n v="19"/>
    <n v="432"/>
    <n v="3"/>
    <s v="Weather"/>
    <n v="92.7"/>
    <n v="214"/>
    <n v="1"/>
    <x v="1"/>
  </r>
  <r>
    <d v="2024-03-21T14:56:42"/>
    <s v="Truck_8"/>
    <s v="-13.4690"/>
    <s v="75.3408"/>
    <n v="390"/>
    <s v="Delayed"/>
    <n v="19.5"/>
    <n v="79.2"/>
    <s v="Heavy"/>
    <n v="26"/>
    <n v="366"/>
    <n v="4"/>
    <s v="Mechanical Failure"/>
    <n v="69.400000000000006"/>
    <n v="217"/>
    <n v="1"/>
    <x v="1"/>
  </r>
  <r>
    <d v="2024-09-27T18:08:16"/>
    <s v="Truck_4"/>
    <s v="-11.2424"/>
    <s v="-4.5638"/>
    <n v="203"/>
    <s v="Delivered"/>
    <n v="20.399999999999999"/>
    <n v="78.3"/>
    <s v="Detour"/>
    <n v="21"/>
    <n v="187"/>
    <n v="5"/>
    <s v="None"/>
    <n v="87.9"/>
    <n v="262"/>
    <n v="0"/>
    <x v="1"/>
  </r>
  <r>
    <d v="2024-11-17T08:35:02"/>
    <s v="Truck_6"/>
    <s v="62.6559"/>
    <s v="18.8474"/>
    <n v="297"/>
    <s v="Delayed"/>
    <n v="23.1"/>
    <n v="59.4"/>
    <s v="Detour"/>
    <n v="29"/>
    <n v="268"/>
    <n v="10"/>
    <s v="Traffic"/>
    <n v="71.2"/>
    <n v="151"/>
    <n v="1"/>
    <x v="1"/>
  </r>
  <r>
    <d v="2024-05-03T03:34:28"/>
    <s v="Truck_9"/>
    <s v="60.8032"/>
    <s v="-179.5906"/>
    <n v="238"/>
    <s v="In Transit"/>
    <n v="25"/>
    <n v="75.8"/>
    <s v="Heavy"/>
    <n v="26"/>
    <n v="330"/>
    <n v="9"/>
    <s v="Weather"/>
    <n v="99.2"/>
    <n v="165"/>
    <n v="1"/>
    <x v="1"/>
  </r>
  <r>
    <d v="2024-03-05T00:54:47"/>
    <s v="Truck_4"/>
    <s v="-10.0451"/>
    <s v="79.8956"/>
    <n v="126"/>
    <s v="Delivered"/>
    <n v="28.2"/>
    <n v="54.5"/>
    <s v="Detour"/>
    <n v="35"/>
    <n v="320"/>
    <n v="4"/>
    <s v="Mechanical Failure"/>
    <n v="93.7"/>
    <n v="136"/>
    <n v="0"/>
    <x v="1"/>
  </r>
  <r>
    <d v="2024-01-14T09:22:40"/>
    <s v="Truck_2"/>
    <s v="17.6483"/>
    <s v="114.2638"/>
    <n v="455"/>
    <s v="Delivered"/>
    <n v="22.9"/>
    <n v="79.599999999999994"/>
    <s v="Detour"/>
    <n v="51"/>
    <n v="410"/>
    <n v="9"/>
    <s v="Weather"/>
    <n v="84.9"/>
    <n v="233"/>
    <n v="0"/>
    <x v="1"/>
  </r>
  <r>
    <d v="2024-02-17T21:06:05"/>
    <s v="Truck_4"/>
    <s v="-51.9233"/>
    <s v="-57.5858"/>
    <n v="220"/>
    <s v="Delayed"/>
    <n v="29.4"/>
    <n v="52.4"/>
    <s v="Clear"/>
    <n v="18"/>
    <n v="468"/>
    <n v="9"/>
    <s v="Mechanical Failure"/>
    <n v="63.1"/>
    <n v="137"/>
    <n v="1"/>
    <x v="1"/>
  </r>
  <r>
    <d v="2024-07-06T11:17:28"/>
    <s v="Truck_5"/>
    <s v="22.3898"/>
    <s v="3.8948"/>
    <n v="403"/>
    <s v="In Transit"/>
    <n v="22.5"/>
    <n v="62.5"/>
    <s v="Clear"/>
    <n v="38"/>
    <n v="225"/>
    <n v="3"/>
    <s v="Weather"/>
    <n v="81.400000000000006"/>
    <n v="169"/>
    <n v="0"/>
    <x v="1"/>
  </r>
  <r>
    <d v="2024-05-10T22:14:19"/>
    <s v="Truck_10"/>
    <s v="86.3368"/>
    <s v="29.4478"/>
    <n v="448"/>
    <s v="Delayed"/>
    <n v="23.4"/>
    <n v="59.9"/>
    <s v="Detour"/>
    <n v="41"/>
    <n v="120"/>
    <n v="10"/>
    <s v="Weather"/>
    <n v="70.8"/>
    <n v="150"/>
    <n v="1"/>
    <x v="1"/>
  </r>
  <r>
    <d v="2024-12-23T18:56:11"/>
    <s v="Truck_5"/>
    <s v="-14.6662"/>
    <s v="-88.3674"/>
    <n v="168"/>
    <s v="In Transit"/>
    <n v="22.4"/>
    <n v="57.9"/>
    <s v="Heavy"/>
    <n v="43"/>
    <n v="377"/>
    <n v="4"/>
    <s v="Mechanical Failure"/>
    <n v="71.099999999999994"/>
    <n v="140"/>
    <n v="1"/>
    <x v="1"/>
  </r>
  <r>
    <d v="2024-02-06T08:28:02"/>
    <s v="Truck_7"/>
    <s v="-71.9057"/>
    <s v="-41.4314"/>
    <n v="409"/>
    <s v="Delivered"/>
    <n v="18"/>
    <n v="53.5"/>
    <s v="Heavy"/>
    <n v="47"/>
    <n v="153"/>
    <n v="9"/>
    <s v="None"/>
    <n v="74.099999999999994"/>
    <n v="117"/>
    <n v="1"/>
    <x v="2"/>
  </r>
  <r>
    <d v="2024-09-16T10:08:52"/>
    <s v="Truck_2"/>
    <s v="54.8888"/>
    <s v="7.4287"/>
    <n v="469"/>
    <s v="In Transit"/>
    <n v="20.7"/>
    <n v="70.400000000000006"/>
    <s v="Clear"/>
    <n v="31"/>
    <n v="335"/>
    <n v="7"/>
    <s v="Traffic"/>
    <n v="86.1"/>
    <n v="298"/>
    <n v="0"/>
    <x v="0"/>
  </r>
  <r>
    <d v="2024-01-26T12:56:30"/>
    <s v="Truck_5"/>
    <s v="-89.7915"/>
    <s v="85.8036"/>
    <n v="305"/>
    <s v="In Transit"/>
    <n v="20.5"/>
    <n v="71.2"/>
    <s v="Detour"/>
    <n v="44"/>
    <n v="302"/>
    <n v="10"/>
    <s v="Weather"/>
    <n v="71.900000000000006"/>
    <n v="141"/>
    <n v="0"/>
    <x v="1"/>
  </r>
  <r>
    <d v="2024-11-29T06:34:32"/>
    <s v="Truck_5"/>
    <s v="39.9088"/>
    <s v="71.9595"/>
    <n v="219"/>
    <s v="Delayed"/>
    <n v="26.6"/>
    <n v="79.8"/>
    <s v="Heavy"/>
    <n v="46"/>
    <n v="245"/>
    <n v="1"/>
    <s v="None"/>
    <n v="70.5"/>
    <n v="202"/>
    <n v="1"/>
    <x v="1"/>
  </r>
  <r>
    <d v="2024-06-02T19:16:49"/>
    <s v="Truck_8"/>
    <s v="30.7119"/>
    <s v="111.5767"/>
    <n v="167"/>
    <s v="Delayed"/>
    <n v="23.8"/>
    <n v="71.599999999999994"/>
    <s v="Clear"/>
    <n v="55"/>
    <n v="416"/>
    <n v="8"/>
    <s v="Traffic"/>
    <n v="60.7"/>
    <n v="263"/>
    <n v="1"/>
    <x v="1"/>
  </r>
  <r>
    <d v="2024-02-08T10:07:24"/>
    <s v="Truck_4"/>
    <s v="5.7076"/>
    <s v="-79.9256"/>
    <n v="100"/>
    <s v="Delayed"/>
    <n v="24.1"/>
    <n v="50.9"/>
    <s v="Detour"/>
    <n v="39"/>
    <n v="340"/>
    <n v="4"/>
    <s v="None"/>
    <n v="96.9"/>
    <n v="274"/>
    <n v="1"/>
    <x v="1"/>
  </r>
  <r>
    <d v="2024-08-17T07:05:15"/>
    <s v="Truck_9"/>
    <s v="69.0509"/>
    <s v="91.8480"/>
    <n v="321"/>
    <s v="In Transit"/>
    <n v="25.4"/>
    <n v="53.8"/>
    <s v="Clear"/>
    <n v="24"/>
    <n v="340"/>
    <n v="5"/>
    <s v="Traffic"/>
    <n v="84.6"/>
    <n v="223"/>
    <n v="0"/>
    <x v="1"/>
  </r>
  <r>
    <d v="2024-01-27T04:09:11"/>
    <s v="Truck_7"/>
    <s v="52.7828"/>
    <s v="176.0671"/>
    <n v="244"/>
    <s v="Delivered"/>
    <n v="23.6"/>
    <n v="64.900000000000006"/>
    <s v="Clear"/>
    <n v="24"/>
    <n v="145"/>
    <n v="4"/>
    <s v="Mechanical Failure"/>
    <n v="67.599999999999994"/>
    <n v="285"/>
    <n v="0"/>
    <x v="0"/>
  </r>
  <r>
    <d v="2024-12-13T00:55:11"/>
    <s v="Truck_9"/>
    <s v="42.9670"/>
    <s v="146.1358"/>
    <n v="281"/>
    <s v="Delivered"/>
    <n v="18.399999999999999"/>
    <n v="74.599999999999994"/>
    <s v="Detour"/>
    <n v="41"/>
    <n v="419"/>
    <n v="6"/>
    <s v="None"/>
    <n v="69.099999999999994"/>
    <n v="242"/>
    <n v="0"/>
    <x v="1"/>
  </r>
  <r>
    <d v="2024-10-26T21:55:21"/>
    <s v="Truck_7"/>
    <s v="-11.9943"/>
    <s v="-126.8743"/>
    <n v="301"/>
    <s v="Delivered"/>
    <n v="18.3"/>
    <n v="60"/>
    <s v="Detour"/>
    <n v="42"/>
    <n v="243"/>
    <n v="3"/>
    <s v="Mechanical Failure"/>
    <n v="99"/>
    <n v="273"/>
    <n v="0"/>
    <x v="1"/>
  </r>
  <r>
    <d v="2024-03-19T05:42:50"/>
    <s v="Truck_8"/>
    <s v="60.5903"/>
    <s v="-90.0415"/>
    <n v="437"/>
    <s v="In Transit"/>
    <n v="25.5"/>
    <n v="73.2"/>
    <s v="Clear"/>
    <n v="59"/>
    <n v="310"/>
    <n v="2"/>
    <s v="None"/>
    <n v="83.9"/>
    <n v="228"/>
    <n v="0"/>
    <x v="1"/>
  </r>
  <r>
    <d v="2024-10-23T14:15:25"/>
    <s v="Truck_7"/>
    <s v="-23.2982"/>
    <s v="143.8634"/>
    <n v="253"/>
    <s v="In Transit"/>
    <n v="22.8"/>
    <n v="78.7"/>
    <s v="Clear"/>
    <n v="49"/>
    <n v="180"/>
    <n v="3"/>
    <s v="Weather"/>
    <n v="74"/>
    <n v="296"/>
    <n v="0"/>
    <x v="0"/>
  </r>
  <r>
    <d v="2024-01-18T08:34:25"/>
    <s v="Truck_2"/>
    <s v="-34.2189"/>
    <s v="-36.6288"/>
    <n v="491"/>
    <s v="Delivered"/>
    <n v="25.5"/>
    <n v="50.3"/>
    <s v="Heavy"/>
    <n v="18"/>
    <n v="111"/>
    <n v="1"/>
    <s v="Weather"/>
    <n v="97.1"/>
    <n v="100"/>
    <n v="1"/>
    <x v="2"/>
  </r>
  <r>
    <d v="2024-11-15T11:42:39"/>
    <s v="Truck_3"/>
    <s v="19.5450"/>
    <s v="73.0968"/>
    <n v="172"/>
    <s v="Delayed"/>
    <n v="22.8"/>
    <n v="60.4"/>
    <s v="Detour"/>
    <n v="38"/>
    <n v="187"/>
    <n v="9"/>
    <s v="Weather"/>
    <n v="83.3"/>
    <n v="106"/>
    <n v="1"/>
    <x v="2"/>
  </r>
  <r>
    <d v="2024-07-01T16:37:53"/>
    <s v="Truck_7"/>
    <s v="33.3351"/>
    <s v="-103.9260"/>
    <n v="252"/>
    <s v="Delayed"/>
    <n v="24.4"/>
    <n v="72.3"/>
    <s v="Detour"/>
    <n v="54"/>
    <n v="156"/>
    <n v="6"/>
    <s v="Mechanical Failure"/>
    <n v="86.8"/>
    <n v="225"/>
    <n v="1"/>
    <x v="1"/>
  </r>
  <r>
    <d v="2024-06-11T08:04:09"/>
    <s v="Truck_4"/>
    <s v="-63.2064"/>
    <s v="30.0818"/>
    <n v="118"/>
    <s v="Delayed"/>
    <n v="21.8"/>
    <n v="52.1"/>
    <s v="Clear"/>
    <n v="19"/>
    <n v="421"/>
    <n v="8"/>
    <s v="Mechanical Failure"/>
    <n v="99.1"/>
    <n v="284"/>
    <n v="1"/>
    <x v="1"/>
  </r>
  <r>
    <d v="2024-07-03T15:08:44"/>
    <s v="Truck_4"/>
    <s v="83.2858"/>
    <s v="-66.1069"/>
    <n v="179"/>
    <s v="Delayed"/>
    <n v="25"/>
    <n v="71.099999999999994"/>
    <s v="Detour"/>
    <n v="60"/>
    <n v="325"/>
    <n v="1"/>
    <s v="Weather"/>
    <n v="66.8"/>
    <n v="226"/>
    <n v="1"/>
    <x v="1"/>
  </r>
  <r>
    <d v="2024-02-05T00:41:30"/>
    <s v="Truck_6"/>
    <s v="-23.2424"/>
    <s v="18.6206"/>
    <n v="119"/>
    <s v="Delivered"/>
    <n v="25.9"/>
    <n v="77.7"/>
    <s v="Clear"/>
    <n v="38"/>
    <n v="189"/>
    <n v="7"/>
    <s v="Weather"/>
    <n v="79.3"/>
    <n v="149"/>
    <n v="0"/>
    <x v="1"/>
  </r>
  <r>
    <d v="2024-03-12T03:54:06"/>
    <s v="Truck_5"/>
    <s v="-89.0793"/>
    <s v="130.3362"/>
    <n v="221"/>
    <s v="Delayed"/>
    <n v="22.8"/>
    <n v="76.099999999999994"/>
    <s v="Detour"/>
    <n v="35"/>
    <n v="233"/>
    <n v="4"/>
    <s v="None"/>
    <n v="61.5"/>
    <n v="281"/>
    <n v="1"/>
    <x v="1"/>
  </r>
  <r>
    <d v="2024-11-17T06:38:26"/>
    <s v="Truck_7"/>
    <s v="-11.2908"/>
    <s v="-105.2515"/>
    <n v="261"/>
    <s v="Delayed"/>
    <n v="24.5"/>
    <n v="74.2"/>
    <s v="Detour"/>
    <n v="36"/>
    <n v="201"/>
    <n v="10"/>
    <s v="Mechanical Failure"/>
    <n v="67"/>
    <n v="226"/>
    <n v="1"/>
    <x v="1"/>
  </r>
  <r>
    <d v="2024-07-30T10:23:03"/>
    <s v="Truck_5"/>
    <s v="0.3773"/>
    <s v="-13.6838"/>
    <n v="226"/>
    <s v="Delivered"/>
    <n v="25.4"/>
    <n v="73.7"/>
    <s v="Detour"/>
    <n v="46"/>
    <n v="138"/>
    <n v="8"/>
    <s v="Traffic"/>
    <n v="75.5"/>
    <n v="298"/>
    <n v="0"/>
    <x v="0"/>
  </r>
  <r>
    <d v="2024-12-07T16:11:00"/>
    <s v="Truck_10"/>
    <s v="-7.7700"/>
    <s v="163.5958"/>
    <n v="226"/>
    <s v="In Transit"/>
    <n v="21.1"/>
    <n v="56.1"/>
    <s v="Heavy"/>
    <n v="50"/>
    <n v="160"/>
    <n v="5"/>
    <s v="None"/>
    <n v="77.3"/>
    <n v="174"/>
    <n v="1"/>
    <x v="1"/>
  </r>
  <r>
    <d v="2024-03-15T17:54:08"/>
    <s v="Truck_7"/>
    <s v="-80.1222"/>
    <s v="-56.1497"/>
    <n v="415"/>
    <s v="In Transit"/>
    <n v="25.3"/>
    <n v="54.4"/>
    <s v="Heavy"/>
    <n v="53"/>
    <n v="345"/>
    <n v="2"/>
    <s v="Mechanical Failure"/>
    <n v="87.4"/>
    <n v="181"/>
    <n v="1"/>
    <x v="1"/>
  </r>
  <r>
    <d v="2024-10-15T06:49:32"/>
    <s v="Truck_3"/>
    <s v="-84.8041"/>
    <s v="57.1680"/>
    <n v="422"/>
    <s v="Delivered"/>
    <n v="29.7"/>
    <n v="68.3"/>
    <s v="Heavy"/>
    <n v="45"/>
    <n v="246"/>
    <n v="1"/>
    <s v="Weather"/>
    <n v="85.6"/>
    <n v="136"/>
    <n v="1"/>
    <x v="1"/>
  </r>
  <r>
    <d v="2024-08-27T06:52:35"/>
    <s v="Truck_8"/>
    <s v="-13.1475"/>
    <s v="-1.0702"/>
    <n v="413"/>
    <s v="Delayed"/>
    <n v="23.4"/>
    <n v="67.099999999999994"/>
    <s v="Heavy"/>
    <n v="32"/>
    <n v="325"/>
    <n v="3"/>
    <s v="Mechanical Failure"/>
    <n v="93.3"/>
    <n v="109"/>
    <n v="1"/>
    <x v="2"/>
  </r>
  <r>
    <d v="2024-08-02T02:01:25"/>
    <s v="Truck_1"/>
    <s v="-87.5547"/>
    <s v="113.4629"/>
    <n v="269"/>
    <s v="In Transit"/>
    <n v="25.2"/>
    <n v="57.7"/>
    <s v="Detour"/>
    <n v="20"/>
    <n v="247"/>
    <n v="2"/>
    <s v="Weather"/>
    <n v="60.9"/>
    <n v="177"/>
    <n v="0"/>
    <x v="1"/>
  </r>
  <r>
    <d v="2024-11-27T18:48:54"/>
    <s v="Truck_4"/>
    <s v="72.9066"/>
    <s v="36.1965"/>
    <n v="489"/>
    <s v="Delivered"/>
    <n v="25.7"/>
    <n v="50.1"/>
    <s v="Heavy"/>
    <n v="51"/>
    <n v="204"/>
    <n v="1"/>
    <s v="Weather"/>
    <n v="65.099999999999994"/>
    <n v="184"/>
    <n v="1"/>
    <x v="1"/>
  </r>
  <r>
    <d v="2024-12-03T05:26:24"/>
    <s v="Truck_6"/>
    <s v="16.1951"/>
    <s v="-119.4492"/>
    <n v="426"/>
    <s v="In Transit"/>
    <n v="28.8"/>
    <n v="56.2"/>
    <s v="Clear"/>
    <n v="30"/>
    <n v="145"/>
    <n v="3"/>
    <s v="Traffic"/>
    <n v="81.2"/>
    <n v="220"/>
    <n v="0"/>
    <x v="1"/>
  </r>
  <r>
    <d v="2024-02-05T03:19:43"/>
    <s v="Truck_5"/>
    <s v="28.3461"/>
    <s v="-1.5547"/>
    <n v="457"/>
    <s v="Delivered"/>
    <n v="27.9"/>
    <n v="78.599999999999994"/>
    <s v="Heavy"/>
    <n v="18"/>
    <n v="461"/>
    <n v="6"/>
    <s v="Weather"/>
    <n v="69.099999999999994"/>
    <n v="137"/>
    <n v="1"/>
    <x v="1"/>
  </r>
  <r>
    <d v="2024-12-19T22:58:09"/>
    <s v="Truck_1"/>
    <s v="-35.5663"/>
    <s v="47.4028"/>
    <n v="270"/>
    <s v="Delivered"/>
    <n v="21.7"/>
    <n v="53.6"/>
    <s v="Clear"/>
    <n v="15"/>
    <n v="499"/>
    <n v="8"/>
    <s v="Mechanical Failure"/>
    <n v="94.9"/>
    <n v="111"/>
    <n v="0"/>
    <x v="2"/>
  </r>
  <r>
    <d v="2024-11-23T08:44:11"/>
    <s v="Truck_7"/>
    <s v="-33.2460"/>
    <s v="106.3248"/>
    <n v="267"/>
    <s v="In Transit"/>
    <n v="29.8"/>
    <n v="79.8"/>
    <s v="Heavy"/>
    <n v="55"/>
    <n v="282"/>
    <n v="5"/>
    <s v="None"/>
    <n v="90.5"/>
    <n v="173"/>
    <n v="1"/>
    <x v="1"/>
  </r>
  <r>
    <d v="2024-04-30T14:49:18"/>
    <s v="Truck_5"/>
    <s v="10.2059"/>
    <s v="98.6180"/>
    <n v="381"/>
    <s v="Delivered"/>
    <n v="24.4"/>
    <n v="50.1"/>
    <s v="Heavy"/>
    <n v="54"/>
    <n v="243"/>
    <n v="6"/>
    <s v="None"/>
    <n v="61.5"/>
    <n v="278"/>
    <n v="1"/>
    <x v="1"/>
  </r>
  <r>
    <d v="2024-06-07T06:45:59"/>
    <s v="Truck_3"/>
    <s v="-6.2311"/>
    <s v="173.6264"/>
    <n v="402"/>
    <s v="Delivered"/>
    <n v="27"/>
    <n v="74.2"/>
    <s v="Heavy"/>
    <n v="17"/>
    <n v="155"/>
    <n v="10"/>
    <s v="Traffic"/>
    <n v="73.400000000000006"/>
    <n v="281"/>
    <n v="1"/>
    <x v="1"/>
  </r>
  <r>
    <d v="2024-11-24T04:49:31"/>
    <s v="Truck_4"/>
    <s v="-78.1094"/>
    <s v="-52.5435"/>
    <n v="331"/>
    <s v="Delivered"/>
    <n v="20.399999999999999"/>
    <n v="66.099999999999994"/>
    <s v="Heavy"/>
    <n v="25"/>
    <n v="261"/>
    <n v="6"/>
    <s v="Mechanical Failure"/>
    <n v="77.7"/>
    <n v="264"/>
    <n v="1"/>
    <x v="1"/>
  </r>
  <r>
    <d v="2024-07-29T00:56:10"/>
    <s v="Truck_5"/>
    <s v="-70.3645"/>
    <s v="-128.8622"/>
    <n v="167"/>
    <s v="Delivered"/>
    <n v="25.6"/>
    <n v="62.5"/>
    <s v="Detour"/>
    <n v="40"/>
    <n v="246"/>
    <n v="9"/>
    <s v="Traffic"/>
    <n v="63.8"/>
    <n v="126"/>
    <n v="0"/>
    <x v="1"/>
  </r>
  <r>
    <d v="2024-06-01T20:00:16"/>
    <s v="Truck_4"/>
    <s v="18.1183"/>
    <s v="116.4939"/>
    <n v="187"/>
    <s v="Delayed"/>
    <n v="23.3"/>
    <n v="71.7"/>
    <s v="Heavy"/>
    <n v="10"/>
    <n v="209"/>
    <n v="10"/>
    <s v="Traffic"/>
    <n v="97.2"/>
    <n v="151"/>
    <n v="1"/>
    <x v="1"/>
  </r>
  <r>
    <d v="2024-07-18T12:19:20"/>
    <s v="Truck_10"/>
    <s v="20.2969"/>
    <s v="124.1885"/>
    <n v="298"/>
    <s v="In Transit"/>
    <n v="18.600000000000001"/>
    <n v="74.400000000000006"/>
    <s v="Detour"/>
    <n v="41"/>
    <n v="248"/>
    <n v="1"/>
    <s v="None"/>
    <n v="86.3"/>
    <n v="283"/>
    <n v="0"/>
    <x v="1"/>
  </r>
  <r>
    <d v="2024-12-16T11:48:34"/>
    <s v="Truck_6"/>
    <s v="-27.7387"/>
    <s v="19.6189"/>
    <n v="331"/>
    <s v="Delayed"/>
    <n v="21.4"/>
    <n v="62.9"/>
    <s v="Detour"/>
    <n v="46"/>
    <n v="235"/>
    <n v="8"/>
    <s v="Mechanical Failure"/>
    <n v="62.6"/>
    <n v="298"/>
    <n v="1"/>
    <x v="0"/>
  </r>
  <r>
    <d v="2024-04-15T22:37:19"/>
    <s v="Truck_2"/>
    <s v="-31.1328"/>
    <s v="175.8453"/>
    <n v="180"/>
    <s v="Delivered"/>
    <n v="27.2"/>
    <n v="52.9"/>
    <s v="Clear"/>
    <n v="29"/>
    <n v="390"/>
    <n v="8"/>
    <s v="Mechanical Failure"/>
    <n v="68.400000000000006"/>
    <n v="110"/>
    <n v="0"/>
    <x v="2"/>
  </r>
  <r>
    <d v="2024-04-05T10:29:17"/>
    <s v="Truck_10"/>
    <s v="24.8353"/>
    <s v="-83.7173"/>
    <n v="282"/>
    <s v="In Transit"/>
    <n v="19.399999999999999"/>
    <n v="71.900000000000006"/>
    <s v="Clear"/>
    <n v="43"/>
    <n v="464"/>
    <n v="10"/>
    <s v="Traffic"/>
    <n v="90"/>
    <n v="107"/>
    <n v="0"/>
    <x v="2"/>
  </r>
  <r>
    <d v="2024-12-20T12:26:19"/>
    <s v="Truck_4"/>
    <s v="-32.7240"/>
    <s v="82.9577"/>
    <n v="363"/>
    <s v="Delayed"/>
    <n v="27"/>
    <n v="70.900000000000006"/>
    <s v="Detour"/>
    <n v="52"/>
    <n v="482"/>
    <n v="6"/>
    <s v="Weather"/>
    <n v="62.9"/>
    <n v="248"/>
    <n v="1"/>
    <x v="1"/>
  </r>
  <r>
    <d v="2024-07-02T03:07:27"/>
    <s v="Truck_3"/>
    <s v="72.1220"/>
    <s v="89.9728"/>
    <n v="212"/>
    <s v="Delivered"/>
    <n v="25.9"/>
    <n v="68"/>
    <s v="Heavy"/>
    <n v="32"/>
    <n v="312"/>
    <n v="6"/>
    <s v="Mechanical Failure"/>
    <n v="87.6"/>
    <n v="296"/>
    <n v="1"/>
    <x v="0"/>
  </r>
  <r>
    <d v="2024-01-28T04:43:23"/>
    <s v="Truck_1"/>
    <s v="-7.6360"/>
    <s v="51.0615"/>
    <n v="317"/>
    <s v="In Transit"/>
    <n v="23.9"/>
    <n v="69.5"/>
    <s v="Clear"/>
    <n v="59"/>
    <n v="447"/>
    <n v="1"/>
    <s v="Weather"/>
    <n v="97.1"/>
    <n v="294"/>
    <n v="0"/>
    <x v="0"/>
  </r>
  <r>
    <d v="2024-01-14T20:39:14"/>
    <s v="Truck_2"/>
    <s v="-24.0118"/>
    <s v="111.4726"/>
    <n v="240"/>
    <s v="Delivered"/>
    <n v="18.8"/>
    <n v="63.9"/>
    <s v="Detour"/>
    <n v="23"/>
    <n v="462"/>
    <n v="1"/>
    <s v="None"/>
    <n v="61.2"/>
    <n v="276"/>
    <n v="0"/>
    <x v="1"/>
  </r>
  <r>
    <d v="2024-08-06T11:35:04"/>
    <s v="Truck_10"/>
    <s v="77.0042"/>
    <s v="-12.2919"/>
    <n v="427"/>
    <s v="Delayed"/>
    <n v="20.3"/>
    <n v="57.3"/>
    <s v="Heavy"/>
    <n v="18"/>
    <n v="341"/>
    <n v="3"/>
    <s v="Weather"/>
    <n v="85.7"/>
    <n v="189"/>
    <n v="1"/>
    <x v="1"/>
  </r>
  <r>
    <d v="2024-12-08T01:10:23"/>
    <s v="Truck_10"/>
    <s v="-38.6867"/>
    <s v="-19.9939"/>
    <n v="144"/>
    <s v="Delayed"/>
    <n v="18.2"/>
    <n v="53.1"/>
    <s v="Clear"/>
    <n v="16"/>
    <n v="106"/>
    <n v="5"/>
    <s v="Weather"/>
    <n v="69.400000000000006"/>
    <n v="214"/>
    <n v="1"/>
    <x v="1"/>
  </r>
  <r>
    <d v="2024-02-27T01:51:59"/>
    <s v="Truck_8"/>
    <s v="41.3750"/>
    <s v="77.2949"/>
    <n v="280"/>
    <s v="In Transit"/>
    <n v="25.5"/>
    <n v="74.2"/>
    <s v="Clear"/>
    <n v="46"/>
    <n v="447"/>
    <n v="2"/>
    <s v="Traffic"/>
    <n v="65.3"/>
    <n v="236"/>
    <n v="0"/>
    <x v="1"/>
  </r>
  <r>
    <d v="2024-02-14T21:28:31"/>
    <s v="Truck_2"/>
    <s v="-68.4651"/>
    <s v="179.4433"/>
    <n v="182"/>
    <s v="Delayed"/>
    <n v="20.3"/>
    <n v="59.8"/>
    <s v="Detour"/>
    <n v="30"/>
    <n v="288"/>
    <n v="7"/>
    <s v="None"/>
    <n v="83.3"/>
    <n v="107"/>
    <n v="1"/>
    <x v="2"/>
  </r>
  <r>
    <d v="2024-03-21T11:48:25"/>
    <s v="Truck_3"/>
    <s v="-13.0063"/>
    <s v="0.5345"/>
    <n v="439"/>
    <s v="Delayed"/>
    <n v="21.5"/>
    <n v="72.8"/>
    <s v="Heavy"/>
    <n v="30"/>
    <n v="101"/>
    <n v="10"/>
    <s v="Mechanical Failure"/>
    <n v="90.4"/>
    <n v="114"/>
    <n v="1"/>
    <x v="2"/>
  </r>
  <r>
    <d v="2024-10-16T22:56:13"/>
    <s v="Truck_2"/>
    <s v="41.3066"/>
    <s v="161.1462"/>
    <n v="174"/>
    <s v="Delayed"/>
    <n v="27.2"/>
    <n v="77.900000000000006"/>
    <s v="Heavy"/>
    <n v="39"/>
    <n v="173"/>
    <n v="5"/>
    <s v="Mechanical Failure"/>
    <n v="91.1"/>
    <n v="262"/>
    <n v="1"/>
    <x v="1"/>
  </r>
  <r>
    <d v="2024-02-21T23:20:41"/>
    <s v="Truck_6"/>
    <s v="-23.1011"/>
    <s v="-54.5176"/>
    <n v="186"/>
    <s v="Delayed"/>
    <n v="24"/>
    <n v="67.3"/>
    <s v="Detour"/>
    <n v="44"/>
    <n v="352"/>
    <n v="9"/>
    <s v="None"/>
    <n v="85.7"/>
    <n v="262"/>
    <n v="1"/>
    <x v="1"/>
  </r>
  <r>
    <d v="2024-09-24T22:17:10"/>
    <s v="Truck_10"/>
    <s v="-17.6088"/>
    <s v="-41.4304"/>
    <n v="109"/>
    <s v="Delivered"/>
    <n v="26.9"/>
    <n v="75.3"/>
    <s v="Detour"/>
    <n v="26"/>
    <n v="314"/>
    <n v="7"/>
    <s v="None"/>
    <n v="93.3"/>
    <n v="176"/>
    <n v="0"/>
    <x v="1"/>
  </r>
  <r>
    <d v="2024-03-30T10:22:10"/>
    <s v="Truck_4"/>
    <s v="-72.4492"/>
    <s v="131.8524"/>
    <n v="483"/>
    <s v="In Transit"/>
    <n v="21.9"/>
    <n v="71.900000000000006"/>
    <s v="Detour"/>
    <n v="59"/>
    <n v="226"/>
    <n v="10"/>
    <s v="Mechanical Failure"/>
    <n v="69.2"/>
    <n v="152"/>
    <n v="0"/>
    <x v="1"/>
  </r>
  <r>
    <d v="2024-12-15T07:37:03"/>
    <s v="Truck_2"/>
    <s v="27.3601"/>
    <s v="-105.0457"/>
    <n v="100"/>
    <s v="Delayed"/>
    <n v="27.5"/>
    <n v="68.599999999999994"/>
    <s v="Clear"/>
    <n v="49"/>
    <n v="464"/>
    <n v="3"/>
    <s v="None"/>
    <n v="61.7"/>
    <n v="149"/>
    <n v="1"/>
    <x v="1"/>
  </r>
  <r>
    <d v="2024-03-26T22:29:16"/>
    <s v="Truck_1"/>
    <s v="-86.5291"/>
    <s v="-36.5789"/>
    <n v="128"/>
    <s v="Delivered"/>
    <n v="28.9"/>
    <n v="63.7"/>
    <s v="Clear"/>
    <n v="56"/>
    <n v="140"/>
    <n v="1"/>
    <s v="Weather"/>
    <n v="72.8"/>
    <n v="127"/>
    <n v="0"/>
    <x v="1"/>
  </r>
  <r>
    <d v="2024-05-09T18:49:33"/>
    <s v="Truck_10"/>
    <s v="10.2078"/>
    <s v="36.8570"/>
    <n v="100"/>
    <s v="In Transit"/>
    <n v="21.9"/>
    <n v="72.099999999999994"/>
    <s v="Detour"/>
    <n v="22"/>
    <n v="413"/>
    <n v="1"/>
    <s v="Weather"/>
    <n v="67.5"/>
    <n v="145"/>
    <n v="0"/>
    <x v="1"/>
  </r>
  <r>
    <d v="2024-11-19T09:57:01"/>
    <s v="Truck_6"/>
    <s v="-42.6759"/>
    <s v="-7.9818"/>
    <n v="468"/>
    <s v="Delayed"/>
    <n v="28.6"/>
    <n v="65.099999999999994"/>
    <s v="Heavy"/>
    <n v="45"/>
    <n v="419"/>
    <n v="8"/>
    <s v="None"/>
    <n v="76.099999999999994"/>
    <n v="119"/>
    <n v="1"/>
    <x v="2"/>
  </r>
  <r>
    <d v="2024-11-26T17:09:09"/>
    <s v="Truck_8"/>
    <s v="36.2494"/>
    <s v="143.1951"/>
    <n v="243"/>
    <s v="In Transit"/>
    <n v="27.7"/>
    <n v="74.8"/>
    <s v="Detour"/>
    <n v="28"/>
    <n v="311"/>
    <n v="9"/>
    <s v="None"/>
    <n v="97.5"/>
    <n v="272"/>
    <n v="0"/>
    <x v="1"/>
  </r>
  <r>
    <d v="2024-04-20T09:54:18"/>
    <s v="Truck_2"/>
    <s v="28.9964"/>
    <s v="151.6114"/>
    <n v="134"/>
    <s v="Delayed"/>
    <n v="29.2"/>
    <n v="55.5"/>
    <s v="Detour"/>
    <n v="34"/>
    <n v="189"/>
    <n v="1"/>
    <s v="Weather"/>
    <n v="87.8"/>
    <n v="270"/>
    <n v="1"/>
    <x v="1"/>
  </r>
  <r>
    <d v="2024-06-05T19:19:16"/>
    <s v="Truck_3"/>
    <s v="-22.1005"/>
    <s v="-38.8449"/>
    <n v="484"/>
    <s v="Delivered"/>
    <n v="29.1"/>
    <n v="54.7"/>
    <s v="Detour"/>
    <n v="48"/>
    <n v="320"/>
    <n v="7"/>
    <s v="Weather"/>
    <n v="84.6"/>
    <n v="118"/>
    <n v="0"/>
    <x v="2"/>
  </r>
  <r>
    <d v="2024-07-08T04:26:39"/>
    <s v="Truck_6"/>
    <s v="47.2803"/>
    <s v="32.1356"/>
    <n v="300"/>
    <s v="Delivered"/>
    <n v="22.4"/>
    <n v="54.3"/>
    <s v="Heavy"/>
    <n v="23"/>
    <n v="323"/>
    <n v="5"/>
    <s v="Weather"/>
    <n v="65.5"/>
    <n v="230"/>
    <n v="1"/>
    <x v="1"/>
  </r>
  <r>
    <d v="2024-04-01T03:56:41"/>
    <s v="Truck_10"/>
    <s v="-25.4692"/>
    <s v="-70.7603"/>
    <n v="396"/>
    <s v="Delivered"/>
    <n v="21.9"/>
    <n v="67.400000000000006"/>
    <s v="Detour"/>
    <n v="24"/>
    <n v="238"/>
    <n v="3"/>
    <s v="Weather"/>
    <n v="60.4"/>
    <n v="117"/>
    <n v="0"/>
    <x v="2"/>
  </r>
  <r>
    <d v="2024-02-11T04:52:58"/>
    <s v="Truck_4"/>
    <s v="20.1451"/>
    <s v="158.7402"/>
    <n v="135"/>
    <s v="Delivered"/>
    <n v="26.8"/>
    <n v="79.099999999999994"/>
    <s v="Detour"/>
    <n v="57"/>
    <n v="173"/>
    <n v="7"/>
    <s v="Mechanical Failure"/>
    <n v="81.3"/>
    <n v="115"/>
    <n v="0"/>
    <x v="2"/>
  </r>
  <r>
    <d v="2024-08-23T00:05:52"/>
    <s v="Truck_8"/>
    <s v="-29.2726"/>
    <s v="149.6329"/>
    <n v="236"/>
    <s v="Delivered"/>
    <n v="21.9"/>
    <n v="51.9"/>
    <s v="Detour"/>
    <n v="21"/>
    <n v="233"/>
    <n v="6"/>
    <s v="Mechanical Failure"/>
    <n v="72"/>
    <n v="115"/>
    <n v="0"/>
    <x v="2"/>
  </r>
  <r>
    <d v="2024-11-04T00:29:20"/>
    <s v="Truck_1"/>
    <s v="-82.3942"/>
    <s v="179.9237"/>
    <n v="294"/>
    <s v="Delivered"/>
    <n v="27.6"/>
    <n v="79.7"/>
    <s v="Heavy"/>
    <n v="24"/>
    <n v="181"/>
    <n v="5"/>
    <s v="Weather"/>
    <n v="88.2"/>
    <n v="191"/>
    <n v="1"/>
    <x v="1"/>
  </r>
  <r>
    <d v="2024-05-04T19:24:30"/>
    <s v="Truck_4"/>
    <s v="37.3932"/>
    <s v="53.4470"/>
    <n v="209"/>
    <s v="Delayed"/>
    <n v="29.4"/>
    <n v="57.8"/>
    <s v="Detour"/>
    <n v="34"/>
    <n v="319"/>
    <n v="4"/>
    <s v="Mechanical Failure"/>
    <n v="85"/>
    <n v="208"/>
    <n v="1"/>
    <x v="1"/>
  </r>
  <r>
    <d v="2024-11-13T04:19:12"/>
    <s v="Truck_4"/>
    <s v="-3.4094"/>
    <s v="-85.8774"/>
    <n v="378"/>
    <s v="Delayed"/>
    <n v="28.2"/>
    <n v="70.2"/>
    <s v="Clear"/>
    <n v="60"/>
    <n v="490"/>
    <n v="9"/>
    <s v="Traffic"/>
    <n v="66.8"/>
    <n v="166"/>
    <n v="1"/>
    <x v="1"/>
  </r>
  <r>
    <d v="2024-02-13T19:17:18"/>
    <s v="Truck_1"/>
    <s v="-60.2782"/>
    <s v="-7.5464"/>
    <n v="355"/>
    <s v="Delayed"/>
    <n v="22.5"/>
    <n v="74"/>
    <s v="Clear"/>
    <n v="20"/>
    <n v="321"/>
    <n v="3"/>
    <s v="Weather"/>
    <n v="90.6"/>
    <n v="252"/>
    <n v="1"/>
    <x v="1"/>
  </r>
  <r>
    <d v="2024-06-28T07:17:35"/>
    <s v="Truck_9"/>
    <s v="-1.8123"/>
    <s v="-156.2070"/>
    <n v="474"/>
    <s v="Delayed"/>
    <n v="29.2"/>
    <n v="66.099999999999994"/>
    <s v="Heavy"/>
    <n v="26"/>
    <n v="318"/>
    <n v="5"/>
    <s v="Weather"/>
    <n v="96.2"/>
    <n v="110"/>
    <n v="1"/>
    <x v="2"/>
  </r>
  <r>
    <d v="2024-12-15T22:06:59"/>
    <s v="Truck_6"/>
    <s v="45.5530"/>
    <s v="20.9015"/>
    <n v="218"/>
    <s v="Delivered"/>
    <n v="19.5"/>
    <n v="67.900000000000006"/>
    <s v="Detour"/>
    <n v="27"/>
    <n v="257"/>
    <n v="10"/>
    <s v="Mechanical Failure"/>
    <n v="62.2"/>
    <n v="150"/>
    <n v="0"/>
    <x v="1"/>
  </r>
  <r>
    <d v="2024-06-30T14:22:40"/>
    <s v="Truck_2"/>
    <s v="-28.3820"/>
    <s v="-47.8231"/>
    <n v="357"/>
    <s v="In Transit"/>
    <n v="29.3"/>
    <n v="73.2"/>
    <s v="Clear"/>
    <n v="22"/>
    <n v="229"/>
    <n v="7"/>
    <s v="Mechanical Failure"/>
    <n v="94.3"/>
    <n v="131"/>
    <n v="0"/>
    <x v="1"/>
  </r>
  <r>
    <d v="2024-12-05T16:36:07"/>
    <s v="Truck_5"/>
    <s v="-71.0852"/>
    <s v="-12.9187"/>
    <n v="255"/>
    <s v="Delayed"/>
    <n v="27.4"/>
    <n v="59.6"/>
    <s v="Clear"/>
    <n v="20"/>
    <n v="497"/>
    <n v="3"/>
    <s v="Traffic"/>
    <n v="98.4"/>
    <n v="277"/>
    <n v="1"/>
    <x v="1"/>
  </r>
  <r>
    <d v="2024-06-13T13:04:28"/>
    <s v="Truck_2"/>
    <s v="-35.6424"/>
    <s v="-106.7595"/>
    <n v="415"/>
    <s v="Delayed"/>
    <n v="22.2"/>
    <n v="65.8"/>
    <s v="Heavy"/>
    <n v="18"/>
    <n v="287"/>
    <n v="2"/>
    <s v="Traffic"/>
    <n v="61.1"/>
    <n v="256"/>
    <n v="1"/>
    <x v="1"/>
  </r>
  <r>
    <d v="2024-03-17T08:20:11"/>
    <s v="Truck_9"/>
    <s v="-81.6220"/>
    <s v="-152.0754"/>
    <n v="353"/>
    <s v="Delivered"/>
    <n v="29.5"/>
    <n v="76.8"/>
    <s v="Heavy"/>
    <n v="41"/>
    <n v="421"/>
    <n v="8"/>
    <s v="None"/>
    <n v="97.7"/>
    <n v="212"/>
    <n v="1"/>
    <x v="1"/>
  </r>
  <r>
    <d v="2024-09-21T03:09:39"/>
    <s v="Truck_8"/>
    <s v="-22.9111"/>
    <s v="-154.3594"/>
    <n v="260"/>
    <s v="In Transit"/>
    <n v="23.8"/>
    <n v="58.4"/>
    <s v="Clear"/>
    <n v="49"/>
    <n v="266"/>
    <n v="7"/>
    <s v="Mechanical Failure"/>
    <n v="77.8"/>
    <n v="131"/>
    <n v="0"/>
    <x v="1"/>
  </r>
  <r>
    <d v="2024-02-20T20:52:03"/>
    <s v="Truck_4"/>
    <s v="-68.7937"/>
    <s v="-164.3866"/>
    <n v="447"/>
    <s v="Delivered"/>
    <n v="21.1"/>
    <n v="75.599999999999994"/>
    <s v="Heavy"/>
    <n v="51"/>
    <n v="315"/>
    <n v="1"/>
    <s v="Mechanical Failure"/>
    <n v="64.7"/>
    <n v="186"/>
    <n v="1"/>
    <x v="1"/>
  </r>
  <r>
    <d v="2024-11-19T18:03:38"/>
    <s v="Truck_5"/>
    <s v="-25.5794"/>
    <s v="132.2662"/>
    <n v="483"/>
    <s v="Delayed"/>
    <n v="26.6"/>
    <n v="50"/>
    <s v="Clear"/>
    <n v="51"/>
    <n v="466"/>
    <n v="6"/>
    <s v="Mechanical Failure"/>
    <n v="87.9"/>
    <n v="272"/>
    <n v="1"/>
    <x v="1"/>
  </r>
  <r>
    <d v="2024-11-07T16:16:40"/>
    <s v="Truck_10"/>
    <s v="49.0465"/>
    <s v="41.3428"/>
    <n v="363"/>
    <s v="Delivered"/>
    <n v="28.6"/>
    <n v="75.2"/>
    <s v="Heavy"/>
    <n v="19"/>
    <n v="358"/>
    <n v="1"/>
    <s v="Weather"/>
    <n v="77.400000000000006"/>
    <n v="272"/>
    <n v="1"/>
    <x v="1"/>
  </r>
  <r>
    <d v="2024-02-18T14:10:22"/>
    <s v="Truck_8"/>
    <s v="-81.6677"/>
    <s v="-40.8327"/>
    <n v="313"/>
    <s v="Delayed"/>
    <n v="20.5"/>
    <n v="79.3"/>
    <s v="Detour"/>
    <n v="49"/>
    <n v="229"/>
    <n v="7"/>
    <s v="None"/>
    <n v="98.5"/>
    <n v="126"/>
    <n v="1"/>
    <x v="1"/>
  </r>
  <r>
    <d v="2024-03-03T00:53:07"/>
    <s v="Truck_10"/>
    <s v="-69.6887"/>
    <s v="-34.4563"/>
    <n v="289"/>
    <s v="Delivered"/>
    <n v="19.3"/>
    <n v="68.599999999999994"/>
    <s v="Clear"/>
    <n v="33"/>
    <n v="149"/>
    <n v="4"/>
    <s v="None"/>
    <n v="74.3"/>
    <n v="220"/>
    <n v="0"/>
    <x v="1"/>
  </r>
  <r>
    <d v="2024-06-02T09:09:21"/>
    <s v="Truck_4"/>
    <s v="-49.1811"/>
    <s v="-94.1515"/>
    <n v="171"/>
    <s v="Delivered"/>
    <n v="21.3"/>
    <n v="66.099999999999994"/>
    <s v="Clear"/>
    <n v="57"/>
    <n v="125"/>
    <n v="8"/>
    <s v="None"/>
    <n v="98.9"/>
    <n v="249"/>
    <n v="0"/>
    <x v="1"/>
  </r>
  <r>
    <d v="2024-01-25T12:09:42"/>
    <s v="Truck_6"/>
    <s v="12.8172"/>
    <s v="76.1408"/>
    <n v="401"/>
    <s v="In Transit"/>
    <n v="25.7"/>
    <n v="71.400000000000006"/>
    <s v="Clear"/>
    <n v="30"/>
    <n v="494"/>
    <n v="4"/>
    <s v="Weather"/>
    <n v="81.099999999999994"/>
    <n v="175"/>
    <n v="0"/>
    <x v="1"/>
  </r>
  <r>
    <d v="2024-10-04T16:19:17"/>
    <s v="Truck_9"/>
    <s v="20.1146"/>
    <s v="19.7583"/>
    <n v="376"/>
    <s v="Delivered"/>
    <n v="25.1"/>
    <n v="54.1"/>
    <s v="Clear"/>
    <n v="55"/>
    <n v="305"/>
    <n v="5"/>
    <s v="Mechanical Failure"/>
    <n v="83.2"/>
    <n v="158"/>
    <n v="0"/>
    <x v="1"/>
  </r>
  <r>
    <d v="2024-11-02T12:07:34"/>
    <s v="Truck_3"/>
    <s v="84.1317"/>
    <s v="-144.7840"/>
    <n v="371"/>
    <s v="Delayed"/>
    <n v="26.2"/>
    <n v="58.5"/>
    <s v="Heavy"/>
    <n v="46"/>
    <n v="168"/>
    <n v="10"/>
    <s v="Traffic"/>
    <n v="69.5"/>
    <n v="162"/>
    <n v="1"/>
    <x v="1"/>
  </r>
  <r>
    <d v="2024-04-22T01:56:59"/>
    <s v="Truck_4"/>
    <s v="-53.9329"/>
    <s v="30.3236"/>
    <n v="496"/>
    <s v="In Transit"/>
    <n v="23.4"/>
    <n v="71.599999999999994"/>
    <s v="Clear"/>
    <n v="15"/>
    <n v="451"/>
    <n v="3"/>
    <s v="Weather"/>
    <n v="76.3"/>
    <n v="235"/>
    <n v="0"/>
    <x v="1"/>
  </r>
  <r>
    <d v="2024-04-15T22:28:46"/>
    <s v="Truck_2"/>
    <s v="31.8571"/>
    <s v="-83.1698"/>
    <n v="149"/>
    <s v="In Transit"/>
    <n v="20.9"/>
    <n v="68.099999999999994"/>
    <s v="Detour"/>
    <n v="39"/>
    <n v="274"/>
    <n v="9"/>
    <s v="Traffic"/>
    <n v="71.8"/>
    <n v="138"/>
    <n v="0"/>
    <x v="1"/>
  </r>
  <r>
    <d v="2024-01-19T14:28:30"/>
    <s v="Truck_6"/>
    <s v="67.7302"/>
    <s v="-70.1861"/>
    <n v="166"/>
    <s v="In Transit"/>
    <n v="29.4"/>
    <n v="59.5"/>
    <s v="Heavy"/>
    <n v="40"/>
    <n v="210"/>
    <n v="4"/>
    <s v="Traffic"/>
    <n v="82.9"/>
    <n v="246"/>
    <n v="1"/>
    <x v="1"/>
  </r>
  <r>
    <d v="2024-09-22T12:19:08"/>
    <s v="Truck_9"/>
    <s v="73.3723"/>
    <s v="93.2464"/>
    <n v="369"/>
    <s v="Delayed"/>
    <n v="28"/>
    <n v="52.3"/>
    <s v="Detour"/>
    <n v="35"/>
    <n v="481"/>
    <n v="5"/>
    <s v="Mechanical Failure"/>
    <n v="73.400000000000006"/>
    <n v="179"/>
    <n v="1"/>
    <x v="1"/>
  </r>
  <r>
    <d v="2024-11-01T23:47:02"/>
    <s v="Truck_5"/>
    <s v="68.2361"/>
    <s v="-85.9216"/>
    <n v="409"/>
    <s v="In Transit"/>
    <n v="22"/>
    <n v="68.099999999999994"/>
    <s v="Clear"/>
    <n v="18"/>
    <n v="423"/>
    <n v="10"/>
    <s v="Weather"/>
    <n v="62.8"/>
    <n v="282"/>
    <n v="0"/>
    <x v="1"/>
  </r>
  <r>
    <d v="2024-05-13T14:10:55"/>
    <s v="Truck_8"/>
    <s v="40.5478"/>
    <s v="147.0261"/>
    <n v="494"/>
    <s v="Delayed"/>
    <n v="19.2"/>
    <n v="58.4"/>
    <s v="Clear"/>
    <n v="52"/>
    <n v="231"/>
    <n v="10"/>
    <s v="Weather"/>
    <n v="89.5"/>
    <n v="201"/>
    <n v="1"/>
    <x v="1"/>
  </r>
  <r>
    <d v="2024-02-17T07:36:46"/>
    <s v="Truck_6"/>
    <s v="-36.4299"/>
    <s v="58.0595"/>
    <n v="238"/>
    <s v="Delayed"/>
    <n v="23.8"/>
    <n v="79.400000000000006"/>
    <s v="Detour"/>
    <n v="33"/>
    <n v="416"/>
    <n v="5"/>
    <s v="Weather"/>
    <n v="88.2"/>
    <n v="102"/>
    <n v="1"/>
    <x v="2"/>
  </r>
  <r>
    <d v="2024-11-23T19:33:59"/>
    <s v="Truck_8"/>
    <s v="83.2003"/>
    <s v="-119.0412"/>
    <n v="422"/>
    <s v="In Transit"/>
    <n v="19.2"/>
    <n v="54.5"/>
    <s v="Clear"/>
    <n v="18"/>
    <n v="437"/>
    <n v="3"/>
    <s v="None"/>
    <n v="73.5"/>
    <n v="103"/>
    <n v="0"/>
    <x v="2"/>
  </r>
  <r>
    <d v="2024-09-23T10:32:15"/>
    <s v="Truck_9"/>
    <s v="74.5816"/>
    <s v="-19.6986"/>
    <n v="132"/>
    <s v="In Transit"/>
    <n v="28.2"/>
    <n v="57.2"/>
    <s v="Clear"/>
    <n v="23"/>
    <n v="401"/>
    <n v="6"/>
    <s v="None"/>
    <n v="93.6"/>
    <n v="154"/>
    <n v="0"/>
    <x v="1"/>
  </r>
  <r>
    <d v="2024-08-25T22:32:25"/>
    <s v="Truck_1"/>
    <s v="-64.7094"/>
    <s v="137.7910"/>
    <n v="189"/>
    <s v="Delayed"/>
    <n v="25.2"/>
    <n v="70"/>
    <s v="Clear"/>
    <n v="10"/>
    <n v="360"/>
    <n v="6"/>
    <s v="Mechanical Failure"/>
    <n v="81.900000000000006"/>
    <n v="191"/>
    <n v="1"/>
    <x v="1"/>
  </r>
  <r>
    <d v="2024-09-27T06:23:53"/>
    <s v="Truck_1"/>
    <s v="-59.6020"/>
    <s v="62.7120"/>
    <n v="255"/>
    <s v="Delivered"/>
    <n v="28.5"/>
    <n v="72.2"/>
    <s v="Clear"/>
    <n v="60"/>
    <n v="419"/>
    <n v="2"/>
    <s v="Traffic"/>
    <n v="68.400000000000006"/>
    <n v="246"/>
    <n v="0"/>
    <x v="1"/>
  </r>
  <r>
    <d v="2024-05-09T04:02:20"/>
    <s v="Truck_7"/>
    <s v="-68.3712"/>
    <s v="-65.9802"/>
    <n v="107"/>
    <s v="Delayed"/>
    <n v="21.9"/>
    <n v="74.099999999999994"/>
    <s v="Heavy"/>
    <n v="51"/>
    <n v="413"/>
    <n v="1"/>
    <s v="Weather"/>
    <n v="84.9"/>
    <n v="257"/>
    <n v="1"/>
    <x v="1"/>
  </r>
  <r>
    <d v="2024-05-27T10:59:49"/>
    <s v="Truck_6"/>
    <s v="3.8431"/>
    <s v="91.0078"/>
    <n v="274"/>
    <s v="Delayed"/>
    <n v="19.3"/>
    <n v="51.4"/>
    <s v="Heavy"/>
    <n v="57"/>
    <n v="279"/>
    <n v="10"/>
    <s v="None"/>
    <n v="75.3"/>
    <n v="127"/>
    <n v="1"/>
    <x v="1"/>
  </r>
  <r>
    <d v="2024-02-23T18:39:32"/>
    <s v="Truck_4"/>
    <s v="76.3946"/>
    <s v="105.7941"/>
    <n v="206"/>
    <s v="Delayed"/>
    <n v="21.9"/>
    <n v="68.599999999999994"/>
    <s v="Heavy"/>
    <n v="42"/>
    <n v="100"/>
    <n v="7"/>
    <s v="Traffic"/>
    <n v="63.3"/>
    <n v="116"/>
    <n v="1"/>
    <x v="2"/>
  </r>
  <r>
    <d v="2024-07-28T22:29:33"/>
    <s v="Truck_5"/>
    <s v="-46.1871"/>
    <s v="9.4679"/>
    <n v="270"/>
    <s v="In Transit"/>
    <n v="26.7"/>
    <n v="72.2"/>
    <s v="Heavy"/>
    <n v="35"/>
    <n v="107"/>
    <n v="10"/>
    <s v="Traffic"/>
    <n v="90.8"/>
    <n v="158"/>
    <n v="1"/>
    <x v="1"/>
  </r>
  <r>
    <d v="2024-03-05T10:30:30"/>
    <s v="Truck_10"/>
    <s v="-10.8849"/>
    <s v="86.0812"/>
    <n v="277"/>
    <s v="In Transit"/>
    <n v="23.7"/>
    <n v="72.099999999999994"/>
    <s v="Clear"/>
    <n v="12"/>
    <n v="195"/>
    <n v="5"/>
    <s v="Traffic"/>
    <n v="64.5"/>
    <n v="130"/>
    <n v="0"/>
    <x v="1"/>
  </r>
  <r>
    <d v="2024-01-06T21:16:03"/>
    <s v="Truck_4"/>
    <s v="-67.7619"/>
    <s v="176.4012"/>
    <n v="454"/>
    <s v="Delayed"/>
    <n v="21"/>
    <n v="77.3"/>
    <s v="Clear"/>
    <n v="15"/>
    <n v="112"/>
    <n v="10"/>
    <s v="Weather"/>
    <n v="73.2"/>
    <n v="237"/>
    <n v="1"/>
    <x v="1"/>
  </r>
  <r>
    <d v="2024-09-14T16:45:31"/>
    <s v="Truck_2"/>
    <s v="-22.1101"/>
    <s v="-65.1350"/>
    <n v="197"/>
    <s v="In Transit"/>
    <n v="27.3"/>
    <n v="71.3"/>
    <s v="Detour"/>
    <n v="24"/>
    <n v="460"/>
    <n v="9"/>
    <s v="None"/>
    <n v="64.7"/>
    <n v="162"/>
    <n v="0"/>
    <x v="1"/>
  </r>
  <r>
    <d v="2024-11-03T23:16:49"/>
    <s v="Truck_5"/>
    <s v="75.1113"/>
    <s v="-136.4800"/>
    <n v="182"/>
    <s v="Delivered"/>
    <n v="19.7"/>
    <n v="72.3"/>
    <s v="Clear"/>
    <n v="50"/>
    <n v="428"/>
    <n v="3"/>
    <s v="None"/>
    <n v="63.3"/>
    <n v="280"/>
    <n v="0"/>
    <x v="1"/>
  </r>
  <r>
    <d v="2024-03-19T21:36:22"/>
    <s v="Truck_6"/>
    <s v="-69.3430"/>
    <s v="131.9033"/>
    <n v="171"/>
    <s v="Delivered"/>
    <n v="25.1"/>
    <n v="76.5"/>
    <s v="Heavy"/>
    <n v="55"/>
    <n v="309"/>
    <n v="3"/>
    <s v="Traffic"/>
    <n v="94.6"/>
    <n v="112"/>
    <n v="1"/>
    <x v="2"/>
  </r>
  <r>
    <d v="2024-02-01T18:55:10"/>
    <s v="Truck_3"/>
    <s v="35.6522"/>
    <s v="-84.7025"/>
    <n v="159"/>
    <s v="Delivered"/>
    <n v="26.9"/>
    <n v="69.5"/>
    <s v="Clear"/>
    <n v="32"/>
    <n v="272"/>
    <n v="7"/>
    <s v="None"/>
    <n v="69.7"/>
    <n v="278"/>
    <n v="0"/>
    <x v="1"/>
  </r>
  <r>
    <d v="2024-04-18T12:04:40"/>
    <s v="Truck_8"/>
    <s v="-86.1570"/>
    <s v="-92.4652"/>
    <n v="378"/>
    <s v="Delayed"/>
    <n v="29.5"/>
    <n v="61.7"/>
    <s v="Detour"/>
    <n v="13"/>
    <n v="305"/>
    <n v="8"/>
    <s v="Mechanical Failure"/>
    <n v="98.5"/>
    <n v="211"/>
    <n v="1"/>
    <x v="1"/>
  </r>
  <r>
    <d v="2024-05-26T14:30:07"/>
    <s v="Truck_1"/>
    <s v="25.1355"/>
    <s v="-2.6802"/>
    <n v="469"/>
    <s v="In Transit"/>
    <n v="26.2"/>
    <n v="65"/>
    <s v="Clear"/>
    <n v="19"/>
    <n v="477"/>
    <n v="2"/>
    <s v="Mechanical Failure"/>
    <n v="96.9"/>
    <n v="206"/>
    <n v="0"/>
    <x v="1"/>
  </r>
  <r>
    <d v="2024-07-29T16:54:53"/>
    <s v="Truck_8"/>
    <s v="12.0938"/>
    <s v="96.8996"/>
    <n v="106"/>
    <s v="In Transit"/>
    <n v="27"/>
    <n v="56.8"/>
    <s v="Detour"/>
    <n v="31"/>
    <n v="120"/>
    <n v="4"/>
    <s v="Weather"/>
    <n v="95.7"/>
    <n v="286"/>
    <n v="0"/>
    <x v="0"/>
  </r>
  <r>
    <d v="2024-12-09T13:41:26"/>
    <s v="Truck_3"/>
    <s v="-77.0862"/>
    <s v="137.9042"/>
    <n v="486"/>
    <s v="In Transit"/>
    <n v="21.7"/>
    <n v="76"/>
    <s v="Clear"/>
    <n v="42"/>
    <n v="282"/>
    <n v="9"/>
    <s v="Mechanical Failure"/>
    <n v="80.5"/>
    <n v="139"/>
    <n v="0"/>
    <x v="1"/>
  </r>
  <r>
    <d v="2024-09-14T09:03:54"/>
    <s v="Truck_2"/>
    <s v="-17.1205"/>
    <s v="-47.0657"/>
    <n v="248"/>
    <s v="In Transit"/>
    <n v="26.3"/>
    <n v="53.7"/>
    <s v="Detour"/>
    <n v="40"/>
    <n v="146"/>
    <n v="10"/>
    <s v="Weather"/>
    <n v="71.7"/>
    <n v="246"/>
    <n v="0"/>
    <x v="1"/>
  </r>
  <r>
    <d v="2024-12-01T01:52:30"/>
    <s v="Truck_3"/>
    <s v="-52.8874"/>
    <s v="162.7464"/>
    <n v="157"/>
    <s v="In Transit"/>
    <n v="25.4"/>
    <n v="79.099999999999994"/>
    <s v="Detour"/>
    <n v="17"/>
    <n v="311"/>
    <n v="9"/>
    <s v="Weather"/>
    <n v="69.900000000000006"/>
    <n v="233"/>
    <n v="0"/>
    <x v="1"/>
  </r>
  <r>
    <d v="2024-08-19T17:09:24"/>
    <s v="Truck_6"/>
    <s v="-3.6578"/>
    <s v="176.2990"/>
    <n v="235"/>
    <s v="In Transit"/>
    <n v="23.2"/>
    <n v="54.6"/>
    <s v="Clear"/>
    <n v="28"/>
    <n v="467"/>
    <n v="9"/>
    <s v="Mechanical Failure"/>
    <n v="68.2"/>
    <n v="206"/>
    <n v="0"/>
    <x v="1"/>
  </r>
  <r>
    <d v="2024-04-15T18:58:09"/>
    <s v="Truck_7"/>
    <s v="-7.6641"/>
    <s v="-25.3717"/>
    <n v="170"/>
    <s v="Delayed"/>
    <n v="25.4"/>
    <n v="55.8"/>
    <s v="Heavy"/>
    <n v="55"/>
    <n v="463"/>
    <n v="10"/>
    <s v="Weather"/>
    <n v="60.1"/>
    <n v="112"/>
    <n v="1"/>
    <x v="2"/>
  </r>
  <r>
    <d v="2024-04-12T10:58:21"/>
    <s v="Truck_6"/>
    <s v="-82.1416"/>
    <s v="-91.8925"/>
    <n v="342"/>
    <s v="Delivered"/>
    <n v="25.1"/>
    <n v="52.4"/>
    <s v="Clear"/>
    <n v="24"/>
    <n v="103"/>
    <n v="2"/>
    <s v="Mechanical Failure"/>
    <n v="88"/>
    <n v="209"/>
    <n v="0"/>
    <x v="1"/>
  </r>
  <r>
    <d v="2024-02-23T09:29:19"/>
    <s v="Truck_3"/>
    <s v="87.5079"/>
    <s v="-125.5319"/>
    <n v="290"/>
    <s v="In Transit"/>
    <n v="20.5"/>
    <n v="51.4"/>
    <s v="Clear"/>
    <n v="22"/>
    <n v="170"/>
    <n v="4"/>
    <s v="Mechanical Failure"/>
    <n v="74.7"/>
    <n v="147"/>
    <n v="0"/>
    <x v="1"/>
  </r>
  <r>
    <d v="2024-02-27T05:17:36"/>
    <s v="Truck_1"/>
    <s v="-76.8771"/>
    <s v="94.6166"/>
    <n v="260"/>
    <s v="Delayed"/>
    <n v="22.8"/>
    <n v="71.7"/>
    <s v="Heavy"/>
    <n v="44"/>
    <n v="393"/>
    <n v="5"/>
    <s v="Mechanical Failure"/>
    <n v="94.1"/>
    <n v="154"/>
    <n v="1"/>
    <x v="1"/>
  </r>
  <r>
    <d v="2024-07-26T19:10:43"/>
    <s v="Truck_5"/>
    <s v="89.2765"/>
    <s v="166.6548"/>
    <n v="378"/>
    <s v="Delayed"/>
    <n v="18.899999999999999"/>
    <n v="55.5"/>
    <s v="Heavy"/>
    <n v="35"/>
    <n v="367"/>
    <n v="4"/>
    <s v="Weather"/>
    <n v="74.400000000000006"/>
    <n v="229"/>
    <n v="1"/>
    <x v="1"/>
  </r>
  <r>
    <d v="2024-06-29T05:20:24"/>
    <s v="Truck_2"/>
    <s v="-82.8546"/>
    <s v="7.8760"/>
    <n v="177"/>
    <s v="Delayed"/>
    <n v="19.2"/>
    <n v="70.099999999999994"/>
    <s v="Clear"/>
    <n v="57"/>
    <n v="141"/>
    <n v="4"/>
    <s v="Weather"/>
    <n v="86.6"/>
    <n v="249"/>
    <n v="1"/>
    <x v="1"/>
  </r>
  <r>
    <d v="2024-04-15T04:40:07"/>
    <s v="Truck_2"/>
    <s v="-40.2840"/>
    <s v="-86.8089"/>
    <n v="310"/>
    <s v="In Transit"/>
    <n v="22.8"/>
    <n v="64.400000000000006"/>
    <s v="Heavy"/>
    <n v="33"/>
    <n v="104"/>
    <n v="2"/>
    <s v="Mechanical Failure"/>
    <n v="98.9"/>
    <n v="110"/>
    <n v="1"/>
    <x v="2"/>
  </r>
  <r>
    <d v="2024-07-24T04:09:02"/>
    <s v="Truck_3"/>
    <s v="2.2208"/>
    <s v="-170.2641"/>
    <n v="132"/>
    <s v="Delivered"/>
    <n v="27.5"/>
    <n v="57.2"/>
    <s v="Heavy"/>
    <n v="36"/>
    <n v="481"/>
    <n v="5"/>
    <s v="Traffic"/>
    <n v="65.2"/>
    <n v="140"/>
    <n v="1"/>
    <x v="1"/>
  </r>
  <r>
    <d v="2024-07-19T01:06:21"/>
    <s v="Truck_8"/>
    <s v="54.8423"/>
    <s v="175.5701"/>
    <n v="331"/>
    <s v="Delayed"/>
    <n v="25.6"/>
    <n v="77.8"/>
    <s v="Heavy"/>
    <n v="26"/>
    <n v="213"/>
    <n v="9"/>
    <s v="Traffic"/>
    <n v="90.7"/>
    <n v="269"/>
    <n v="1"/>
    <x v="1"/>
  </r>
  <r>
    <d v="2024-04-23T16:50:45"/>
    <s v="Truck_1"/>
    <s v="-78.4723"/>
    <s v="-82.6150"/>
    <n v="294"/>
    <s v="Delivered"/>
    <n v="24.4"/>
    <n v="65.2"/>
    <s v="Detour"/>
    <n v="23"/>
    <n v="439"/>
    <n v="8"/>
    <s v="Traffic"/>
    <n v="65"/>
    <n v="213"/>
    <n v="0"/>
    <x v="1"/>
  </r>
  <r>
    <d v="2024-06-18T12:57:05"/>
    <s v="Truck_6"/>
    <s v="4.8496"/>
    <s v="-60.7988"/>
    <n v="277"/>
    <s v="Delivered"/>
    <n v="29.3"/>
    <n v="50.7"/>
    <s v="Heavy"/>
    <n v="24"/>
    <n v="242"/>
    <n v="2"/>
    <s v="Mechanical Failure"/>
    <n v="93.4"/>
    <n v="271"/>
    <n v="1"/>
    <x v="1"/>
  </r>
  <r>
    <d v="2024-12-17T04:11:19"/>
    <s v="Truck_5"/>
    <s v="54.0342"/>
    <s v="-98.3083"/>
    <n v="329"/>
    <s v="Delayed"/>
    <n v="29.7"/>
    <n v="77.900000000000006"/>
    <s v="Heavy"/>
    <n v="33"/>
    <n v="232"/>
    <n v="5"/>
    <s v="Weather"/>
    <n v="91.9"/>
    <n v="124"/>
    <n v="1"/>
    <x v="2"/>
  </r>
  <r>
    <d v="2024-11-17T04:41:18"/>
    <s v="Truck_8"/>
    <s v="41.4300"/>
    <s v="-128.1678"/>
    <n v="204"/>
    <s v="Delivered"/>
    <n v="18.7"/>
    <n v="68.5"/>
    <s v="Heavy"/>
    <n v="27"/>
    <n v="473"/>
    <n v="2"/>
    <s v="Traffic"/>
    <n v="76.900000000000006"/>
    <n v="217"/>
    <n v="1"/>
    <x v="1"/>
  </r>
  <r>
    <d v="2024-06-20T11:18:46"/>
    <s v="Truck_1"/>
    <s v="-56.0674"/>
    <s v="82.9431"/>
    <n v="410"/>
    <s v="Delivered"/>
    <n v="28.9"/>
    <n v="60.3"/>
    <s v="Clear"/>
    <n v="32"/>
    <n v="436"/>
    <n v="1"/>
    <s v="None"/>
    <n v="77.2"/>
    <n v="272"/>
    <n v="0"/>
    <x v="1"/>
  </r>
  <r>
    <d v="2024-06-29T11:16:26"/>
    <s v="Truck_7"/>
    <s v="-0.8539"/>
    <s v="-177.5496"/>
    <n v="417"/>
    <s v="Delayed"/>
    <n v="26.9"/>
    <n v="70.8"/>
    <s v="Clear"/>
    <n v="44"/>
    <n v="103"/>
    <n v="7"/>
    <s v="Mechanical Failure"/>
    <n v="94.7"/>
    <n v="181"/>
    <n v="1"/>
    <x v="1"/>
  </r>
  <r>
    <d v="2024-07-05T09:14:48"/>
    <s v="Truck_6"/>
    <s v="54.5973"/>
    <s v="-128.4974"/>
    <n v="324"/>
    <s v="Delivered"/>
    <n v="20.7"/>
    <n v="72.400000000000006"/>
    <s v="Clear"/>
    <n v="12"/>
    <n v="173"/>
    <n v="7"/>
    <s v="None"/>
    <n v="95.1"/>
    <n v="243"/>
    <n v="0"/>
    <x v="1"/>
  </r>
  <r>
    <d v="2024-07-19T20:10:54"/>
    <s v="Truck_8"/>
    <s v="-46.1457"/>
    <s v="161.0254"/>
    <n v="218"/>
    <s v="Delayed"/>
    <n v="23.8"/>
    <n v="52.3"/>
    <s v="Detour"/>
    <n v="52"/>
    <n v="389"/>
    <n v="2"/>
    <s v="Traffic"/>
    <n v="79.5"/>
    <n v="231"/>
    <n v="1"/>
    <x v="1"/>
  </r>
  <r>
    <d v="2024-08-27T22:26:18"/>
    <s v="Truck_5"/>
    <s v="76.8391"/>
    <s v="140.3011"/>
    <n v="137"/>
    <s v="Delayed"/>
    <n v="23.6"/>
    <n v="51.7"/>
    <s v="Detour"/>
    <n v="24"/>
    <n v="124"/>
    <n v="6"/>
    <s v="Traffic"/>
    <n v="70.599999999999994"/>
    <n v="279"/>
    <n v="1"/>
    <x v="1"/>
  </r>
  <r>
    <d v="2024-06-17T02:43:31"/>
    <s v="Truck_4"/>
    <s v="-59.1914"/>
    <s v="-125.4515"/>
    <n v="414"/>
    <s v="Delayed"/>
    <n v="18.3"/>
    <n v="76.400000000000006"/>
    <s v="Detour"/>
    <n v="42"/>
    <n v="332"/>
    <n v="10"/>
    <s v="Traffic"/>
    <n v="66.3"/>
    <n v="249"/>
    <n v="1"/>
    <x v="1"/>
  </r>
  <r>
    <d v="2024-05-21T02:30:18"/>
    <s v="Truck_1"/>
    <s v="-75.6177"/>
    <s v="-156.9760"/>
    <n v="216"/>
    <s v="In Transit"/>
    <n v="26.9"/>
    <n v="67.2"/>
    <s v="Detour"/>
    <n v="35"/>
    <n v="181"/>
    <n v="10"/>
    <s v="Weather"/>
    <n v="86.2"/>
    <n v="185"/>
    <n v="0"/>
    <x v="1"/>
  </r>
  <r>
    <d v="2024-05-08T02:13:49"/>
    <s v="Truck_8"/>
    <s v="-24.1694"/>
    <s v="30.0335"/>
    <n v="170"/>
    <s v="Delayed"/>
    <n v="26.4"/>
    <n v="51.6"/>
    <s v="Detour"/>
    <n v="47"/>
    <n v="278"/>
    <n v="3"/>
    <s v="None"/>
    <n v="96.4"/>
    <n v="105"/>
    <n v="1"/>
    <x v="2"/>
  </r>
  <r>
    <d v="2024-05-02T09:49:37"/>
    <s v="Truck_2"/>
    <s v="-6.8584"/>
    <s v="150.6127"/>
    <n v="154"/>
    <s v="Delivered"/>
    <n v="28.6"/>
    <n v="66.8"/>
    <s v="Clear"/>
    <n v="18"/>
    <n v="384"/>
    <n v="9"/>
    <s v="Weather"/>
    <n v="60.4"/>
    <n v="263"/>
    <n v="0"/>
    <x v="1"/>
  </r>
  <r>
    <d v="2024-01-25T20:15:13"/>
    <s v="Truck_2"/>
    <s v="-32.2146"/>
    <s v="166.7941"/>
    <n v="213"/>
    <s v="Delivered"/>
    <n v="25"/>
    <n v="72.7"/>
    <s v="Detour"/>
    <n v="51"/>
    <n v="353"/>
    <n v="8"/>
    <s v="None"/>
    <n v="82.6"/>
    <n v="227"/>
    <n v="0"/>
    <x v="1"/>
  </r>
  <r>
    <d v="2024-01-07T12:49:12"/>
    <s v="Truck_4"/>
    <s v="-46.3051"/>
    <s v="-93.1541"/>
    <n v="276"/>
    <s v="Delivered"/>
    <n v="24.9"/>
    <n v="77"/>
    <s v="Detour"/>
    <n v="60"/>
    <n v="467"/>
    <n v="4"/>
    <s v="Weather"/>
    <n v="84.6"/>
    <n v="292"/>
    <n v="0"/>
    <x v="0"/>
  </r>
  <r>
    <d v="2024-03-08T10:09:37"/>
    <s v="Truck_10"/>
    <s v="-85.0859"/>
    <s v="41.1380"/>
    <n v="382"/>
    <s v="In Transit"/>
    <n v="22"/>
    <n v="77.8"/>
    <s v="Clear"/>
    <n v="47"/>
    <n v="448"/>
    <n v="5"/>
    <s v="Weather"/>
    <n v="81.400000000000006"/>
    <n v="246"/>
    <n v="0"/>
    <x v="1"/>
  </r>
  <r>
    <d v="2024-12-22T15:01:19"/>
    <s v="Truck_8"/>
    <s v="89.1858"/>
    <s v="-159.3242"/>
    <n v="383"/>
    <s v="In Transit"/>
    <n v="19.100000000000001"/>
    <n v="69"/>
    <s v="Detour"/>
    <n v="16"/>
    <n v="238"/>
    <n v="3"/>
    <s v="Weather"/>
    <n v="90.7"/>
    <n v="290"/>
    <n v="0"/>
    <x v="0"/>
  </r>
  <r>
    <d v="2024-01-21T13:17:03"/>
    <s v="Truck_1"/>
    <s v="1.4290"/>
    <s v="-119.0925"/>
    <n v="334"/>
    <s v="Delayed"/>
    <n v="26.6"/>
    <n v="74.099999999999994"/>
    <s v="Detour"/>
    <n v="10"/>
    <n v="317"/>
    <n v="3"/>
    <s v="Traffic"/>
    <n v="73"/>
    <n v="184"/>
    <n v="1"/>
    <x v="1"/>
  </r>
  <r>
    <d v="2024-06-25T02:35:14"/>
    <s v="Truck_9"/>
    <s v="78.3252"/>
    <s v="15.2758"/>
    <n v="421"/>
    <s v="Delayed"/>
    <n v="26.3"/>
    <n v="68.8"/>
    <s v="Heavy"/>
    <n v="53"/>
    <n v="128"/>
    <n v="6"/>
    <s v="None"/>
    <n v="76.599999999999994"/>
    <n v="100"/>
    <n v="1"/>
    <x v="2"/>
  </r>
  <r>
    <d v="2024-05-27T05:13:33"/>
    <s v="Truck_2"/>
    <s v="-9.2287"/>
    <s v="107.9306"/>
    <n v="329"/>
    <s v="Delivered"/>
    <n v="25"/>
    <n v="51.2"/>
    <s v="Detour"/>
    <n v="53"/>
    <n v="233"/>
    <n v="5"/>
    <s v="Mechanical Failure"/>
    <n v="67.2"/>
    <n v="188"/>
    <n v="0"/>
    <x v="1"/>
  </r>
  <r>
    <d v="2024-01-27T01:05:38"/>
    <s v="Truck_10"/>
    <s v="71.4327"/>
    <s v="127.3664"/>
    <n v="284"/>
    <s v="In Transit"/>
    <n v="22.1"/>
    <n v="77.2"/>
    <s v="Heavy"/>
    <n v="16"/>
    <n v="226"/>
    <n v="4"/>
    <s v="None"/>
    <n v="95.8"/>
    <n v="206"/>
    <n v="1"/>
    <x v="1"/>
  </r>
  <r>
    <d v="2024-01-21T03:11:55"/>
    <s v="Truck_2"/>
    <s v="-84.0049"/>
    <s v="111.8327"/>
    <n v="184"/>
    <s v="Delayed"/>
    <n v="19.2"/>
    <n v="59.8"/>
    <s v="Heavy"/>
    <n v="23"/>
    <n v="126"/>
    <n v="4"/>
    <s v="Mechanical Failure"/>
    <n v="90.4"/>
    <n v="200"/>
    <n v="1"/>
    <x v="1"/>
  </r>
  <r>
    <d v="2024-08-03T13:26:27"/>
    <s v="Truck_5"/>
    <s v="7.0779"/>
    <s v="-165.1360"/>
    <n v="403"/>
    <s v="Delivered"/>
    <n v="20.6"/>
    <n v="66.099999999999994"/>
    <s v="Clear"/>
    <n v="15"/>
    <n v="461"/>
    <n v="4"/>
    <s v="None"/>
    <n v="77.099999999999994"/>
    <n v="263"/>
    <n v="0"/>
    <x v="1"/>
  </r>
  <r>
    <d v="2024-06-05T18:09:34"/>
    <s v="Truck_6"/>
    <s v="-86.0858"/>
    <s v="117.8697"/>
    <n v="100"/>
    <s v="In Transit"/>
    <n v="22.3"/>
    <n v="72.3"/>
    <s v="Detour"/>
    <n v="43"/>
    <n v="256"/>
    <n v="5"/>
    <s v="None"/>
    <n v="92.8"/>
    <n v="101"/>
    <n v="0"/>
    <x v="2"/>
  </r>
  <r>
    <d v="2024-10-27T12:09:17"/>
    <s v="Truck_3"/>
    <s v="59.2432"/>
    <s v="175.9873"/>
    <n v="135"/>
    <s v="Delayed"/>
    <n v="18.899999999999999"/>
    <n v="55.5"/>
    <s v="Heavy"/>
    <n v="57"/>
    <n v="162"/>
    <n v="9"/>
    <s v="None"/>
    <n v="75.3"/>
    <n v="127"/>
    <n v="1"/>
    <x v="1"/>
  </r>
  <r>
    <d v="2024-10-22T14:28:47"/>
    <s v="Truck_1"/>
    <s v="-39.3003"/>
    <s v="-121.6771"/>
    <n v="220"/>
    <s v="In Transit"/>
    <n v="25"/>
    <n v="79"/>
    <s v="Heavy"/>
    <n v="51"/>
    <n v="481"/>
    <n v="2"/>
    <s v="Weather"/>
    <n v="64.3"/>
    <n v="268"/>
    <n v="1"/>
    <x v="1"/>
  </r>
  <r>
    <d v="2024-09-03T09:41:58"/>
    <s v="Truck_8"/>
    <s v="-83.6720"/>
    <s v="164.2522"/>
    <n v="318"/>
    <s v="In Transit"/>
    <n v="29.8"/>
    <n v="51.4"/>
    <s v="Clear"/>
    <n v="24"/>
    <n v="216"/>
    <n v="3"/>
    <s v="Weather"/>
    <n v="83.8"/>
    <n v="221"/>
    <n v="0"/>
    <x v="1"/>
  </r>
  <r>
    <d v="2024-01-03T11:20:33"/>
    <s v="Truck_7"/>
    <s v="5.9541"/>
    <s v="-156.4873"/>
    <n v="237"/>
    <s v="Delivered"/>
    <n v="29.2"/>
    <n v="56.2"/>
    <s v="Detour"/>
    <n v="15"/>
    <n v="251"/>
    <n v="3"/>
    <s v="Weather"/>
    <n v="76.3"/>
    <n v="198"/>
    <n v="0"/>
    <x v="1"/>
  </r>
  <r>
    <d v="2024-06-11T23:38:53"/>
    <s v="Truck_2"/>
    <s v="-16.3804"/>
    <s v="-119.0546"/>
    <n v="459"/>
    <s v="In Transit"/>
    <n v="27.2"/>
    <n v="78.5"/>
    <s v="Heavy"/>
    <n v="22"/>
    <n v="323"/>
    <n v="7"/>
    <s v="None"/>
    <n v="87.3"/>
    <n v="271"/>
    <n v="1"/>
    <x v="1"/>
  </r>
  <r>
    <d v="2024-01-04T23:32:40"/>
    <s v="Truck_6"/>
    <s v="-27.4913"/>
    <s v="-1.8571"/>
    <n v="332"/>
    <s v="In Transit"/>
    <n v="21.7"/>
    <n v="58.9"/>
    <s v="Heavy"/>
    <n v="33"/>
    <n v="363"/>
    <n v="6"/>
    <s v="Weather"/>
    <n v="90.1"/>
    <n v="131"/>
    <n v="1"/>
    <x v="1"/>
  </r>
  <r>
    <d v="2024-08-02T06:58:21"/>
    <s v="Truck_8"/>
    <s v="67.7002"/>
    <s v="43.8530"/>
    <n v="133"/>
    <s v="In Transit"/>
    <n v="28.7"/>
    <n v="69.5"/>
    <s v="Detour"/>
    <n v="57"/>
    <n v="342"/>
    <n v="6"/>
    <s v="Traffic"/>
    <n v="99.9"/>
    <n v="261"/>
    <n v="0"/>
    <x v="1"/>
  </r>
  <r>
    <d v="2024-08-29T02:07:16"/>
    <s v="Truck_8"/>
    <s v="30.5045"/>
    <s v="52.2559"/>
    <n v="499"/>
    <s v="Delayed"/>
    <n v="18.3"/>
    <n v="75.099999999999994"/>
    <s v="Clear"/>
    <n v="22"/>
    <n v="251"/>
    <n v="1"/>
    <s v="Mechanical Failure"/>
    <n v="79.2"/>
    <n v="139"/>
    <n v="1"/>
    <x v="1"/>
  </r>
  <r>
    <d v="2024-02-22T18:02:00"/>
    <s v="Truck_10"/>
    <s v="4.8619"/>
    <s v="61.4224"/>
    <n v="350"/>
    <s v="Delivered"/>
    <n v="25.3"/>
    <n v="71.2"/>
    <s v="Detour"/>
    <n v="19"/>
    <n v="177"/>
    <n v="1"/>
    <s v="None"/>
    <n v="67"/>
    <n v="209"/>
    <n v="0"/>
    <x v="1"/>
  </r>
  <r>
    <d v="2024-06-21T20:31:34"/>
    <s v="Truck_7"/>
    <s v="84.0872"/>
    <s v="85.2383"/>
    <n v="186"/>
    <s v="Delayed"/>
    <n v="24.1"/>
    <n v="72"/>
    <s v="Detour"/>
    <n v="26"/>
    <n v="131"/>
    <n v="4"/>
    <s v="None"/>
    <n v="68.2"/>
    <n v="189"/>
    <n v="1"/>
    <x v="1"/>
  </r>
  <r>
    <d v="2024-01-27T15:36:15"/>
    <s v="Truck_8"/>
    <s v="11.5213"/>
    <s v="-168.4741"/>
    <n v="403"/>
    <s v="Delivered"/>
    <n v="23.1"/>
    <n v="69.3"/>
    <s v="Detour"/>
    <n v="24"/>
    <n v="487"/>
    <n v="10"/>
    <s v="Mechanical Failure"/>
    <n v="69.599999999999994"/>
    <n v="104"/>
    <n v="0"/>
    <x v="2"/>
  </r>
  <r>
    <d v="2024-06-17T12:40:13"/>
    <s v="Truck_6"/>
    <s v="63.7701"/>
    <s v="163.2651"/>
    <n v="193"/>
    <s v="Delayed"/>
    <n v="22.1"/>
    <n v="68.2"/>
    <s v="Heavy"/>
    <n v="29"/>
    <n v="231"/>
    <n v="3"/>
    <s v="Weather"/>
    <n v="69.7"/>
    <n v="198"/>
    <n v="1"/>
    <x v="1"/>
  </r>
  <r>
    <d v="2024-03-31T14:30:18"/>
    <s v="Truck_2"/>
    <s v="57.5757"/>
    <s v="-35.0439"/>
    <n v="254"/>
    <s v="Delivered"/>
    <n v="24"/>
    <n v="78.599999999999994"/>
    <s v="Heavy"/>
    <n v="24"/>
    <n v="108"/>
    <n v="3"/>
    <s v="Weather"/>
    <n v="66.599999999999994"/>
    <n v="219"/>
    <n v="1"/>
    <x v="1"/>
  </r>
  <r>
    <d v="2024-03-23T08:10:19"/>
    <s v="Truck_9"/>
    <s v="-66.6009"/>
    <s v="-11.7155"/>
    <n v="368"/>
    <s v="Delivered"/>
    <n v="26.1"/>
    <n v="71"/>
    <s v="Clear"/>
    <n v="58"/>
    <n v="336"/>
    <n v="2"/>
    <s v="Mechanical Failure"/>
    <n v="86.5"/>
    <n v="259"/>
    <n v="0"/>
    <x v="1"/>
  </r>
  <r>
    <d v="2024-10-02T15:12:00"/>
    <s v="Truck_6"/>
    <s v="18.7550"/>
    <s v="-46.8871"/>
    <n v="283"/>
    <s v="Delayed"/>
    <n v="28.5"/>
    <n v="50.7"/>
    <s v="Detour"/>
    <n v="11"/>
    <n v="495"/>
    <n v="10"/>
    <s v="Weather"/>
    <n v="88.1"/>
    <n v="200"/>
    <n v="1"/>
    <x v="1"/>
  </r>
  <r>
    <d v="2024-07-28T18:36:05"/>
    <s v="Truck_10"/>
    <s v="50.3574"/>
    <s v="128.5618"/>
    <n v="164"/>
    <s v="Delivered"/>
    <n v="25.5"/>
    <n v="67.599999999999994"/>
    <s v="Heavy"/>
    <n v="20"/>
    <n v="188"/>
    <n v="7"/>
    <s v="Mechanical Failure"/>
    <n v="60.1"/>
    <n v="268"/>
    <n v="1"/>
    <x v="1"/>
  </r>
  <r>
    <d v="2024-01-11T15:19:53"/>
    <s v="Truck_5"/>
    <s v="46.9009"/>
    <s v="3.7490"/>
    <n v="419"/>
    <s v="Delivered"/>
    <n v="22.1"/>
    <n v="74.7"/>
    <s v="Detour"/>
    <n v="31"/>
    <n v="236"/>
    <n v="10"/>
    <s v="Traffic"/>
    <n v="95.9"/>
    <n v="182"/>
    <n v="0"/>
    <x v="1"/>
  </r>
  <r>
    <d v="2024-12-28T18:53:31"/>
    <s v="Truck_9"/>
    <s v="17.5319"/>
    <s v="-65.0765"/>
    <n v="489"/>
    <s v="Delivered"/>
    <n v="25"/>
    <n v="69.400000000000006"/>
    <s v="Clear"/>
    <n v="30"/>
    <n v="345"/>
    <n v="8"/>
    <s v="None"/>
    <n v="66.099999999999994"/>
    <n v="128"/>
    <n v="0"/>
    <x v="1"/>
  </r>
  <r>
    <d v="2024-09-07T12:50:16"/>
    <s v="Truck_2"/>
    <s v="4.8305"/>
    <s v="-6.5757"/>
    <n v="498"/>
    <s v="Delayed"/>
    <n v="20.2"/>
    <n v="55"/>
    <s v="Clear"/>
    <n v="51"/>
    <n v="147"/>
    <n v="8"/>
    <s v="Weather"/>
    <n v="97.7"/>
    <n v="247"/>
    <n v="1"/>
    <x v="1"/>
  </r>
  <r>
    <d v="2024-12-09T11:15:02"/>
    <s v="Truck_10"/>
    <s v="38.8917"/>
    <s v="-38.8032"/>
    <n v="244"/>
    <s v="Delayed"/>
    <n v="21.2"/>
    <n v="61.8"/>
    <s v="Detour"/>
    <n v="24"/>
    <n v="181"/>
    <n v="2"/>
    <s v="Traffic"/>
    <n v="70.099999999999994"/>
    <n v="238"/>
    <n v="1"/>
    <x v="1"/>
  </r>
  <r>
    <d v="2024-10-05T18:34:00"/>
    <s v="Truck_4"/>
    <s v="-20.0482"/>
    <s v="-83.6915"/>
    <n v="488"/>
    <s v="Delivered"/>
    <n v="21.5"/>
    <n v="50.3"/>
    <s v="Heavy"/>
    <n v="32"/>
    <n v="120"/>
    <n v="1"/>
    <s v="Mechanical Failure"/>
    <n v="79.099999999999994"/>
    <n v="111"/>
    <n v="1"/>
    <x v="2"/>
  </r>
  <r>
    <d v="2024-04-22T10:55:19"/>
    <s v="Truck_9"/>
    <s v="-83.2534"/>
    <s v="-166.3309"/>
    <n v="152"/>
    <s v="Delayed"/>
    <n v="21.2"/>
    <n v="70.3"/>
    <s v="Clear"/>
    <n v="10"/>
    <n v="467"/>
    <n v="10"/>
    <s v="None"/>
    <n v="61.5"/>
    <n v="269"/>
    <n v="1"/>
    <x v="1"/>
  </r>
  <r>
    <d v="2024-02-27T21:45:48"/>
    <s v="Truck_10"/>
    <s v="-4.8643"/>
    <s v="75.4304"/>
    <n v="168"/>
    <s v="Delayed"/>
    <n v="23.2"/>
    <n v="71.5"/>
    <s v="Clear"/>
    <n v="23"/>
    <n v="292"/>
    <n v="3"/>
    <s v="Traffic"/>
    <n v="98.8"/>
    <n v="102"/>
    <n v="1"/>
    <x v="2"/>
  </r>
  <r>
    <d v="2024-05-23T22:03:43"/>
    <s v="Truck_5"/>
    <s v="46.7637"/>
    <s v="-146.4348"/>
    <n v="268"/>
    <s v="Delivered"/>
    <n v="23.9"/>
    <n v="79.2"/>
    <s v="Clear"/>
    <n v="41"/>
    <n v="295"/>
    <n v="9"/>
    <s v="Mechanical Failure"/>
    <n v="69.5"/>
    <n v="146"/>
    <n v="0"/>
    <x v="1"/>
  </r>
  <r>
    <d v="2024-01-02T22:19:42"/>
    <s v="Truck_7"/>
    <s v="-68.3909"/>
    <s v="-122.5570"/>
    <n v="341"/>
    <s v="In Transit"/>
    <n v="21.3"/>
    <n v="76.2"/>
    <s v="Heavy"/>
    <n v="58"/>
    <n v="429"/>
    <n v="3"/>
    <s v="None"/>
    <n v="78.599999999999994"/>
    <n v="178"/>
    <n v="1"/>
    <x v="1"/>
  </r>
  <r>
    <d v="2024-09-29T06:31:55"/>
    <s v="Truck_7"/>
    <s v="62.3457"/>
    <s v="-54.2033"/>
    <n v="166"/>
    <s v="Delivered"/>
    <n v="28.9"/>
    <n v="50.6"/>
    <s v="Heavy"/>
    <n v="58"/>
    <n v="197"/>
    <n v="3"/>
    <s v="Traffic"/>
    <n v="88.8"/>
    <n v="282"/>
    <n v="1"/>
    <x v="1"/>
  </r>
  <r>
    <d v="2024-12-18T08:33:58"/>
    <s v="Truck_7"/>
    <s v="72.8857"/>
    <s v="135.9494"/>
    <n v="483"/>
    <s v="Delayed"/>
    <n v="21.4"/>
    <n v="51.2"/>
    <s v="Heavy"/>
    <n v="33"/>
    <n v="249"/>
    <n v="2"/>
    <s v="None"/>
    <n v="67.599999999999994"/>
    <n v="165"/>
    <n v="1"/>
    <x v="1"/>
  </r>
  <r>
    <d v="2024-08-11T10:28:58"/>
    <s v="Truck_10"/>
    <s v="2.2782"/>
    <s v="-158.4628"/>
    <n v="232"/>
    <s v="Delivered"/>
    <n v="22.3"/>
    <n v="73.3"/>
    <s v="Heavy"/>
    <n v="19"/>
    <n v="332"/>
    <n v="4"/>
    <s v="None"/>
    <n v="78.599999999999994"/>
    <n v="135"/>
    <n v="1"/>
    <x v="1"/>
  </r>
  <r>
    <d v="2024-03-24T22:56:32"/>
    <s v="Truck_3"/>
    <s v="11.7686"/>
    <s v="154.6043"/>
    <n v="392"/>
    <s v="In Transit"/>
    <n v="20.7"/>
    <n v="62.8"/>
    <s v="Detour"/>
    <n v="12"/>
    <n v="417"/>
    <n v="2"/>
    <s v="Weather"/>
    <n v="69.3"/>
    <n v="109"/>
    <n v="0"/>
    <x v="2"/>
  </r>
  <r>
    <d v="2024-06-02T00:24:04"/>
    <s v="Truck_8"/>
    <s v="-75.5980"/>
    <s v="11.1340"/>
    <n v="480"/>
    <s v="In Transit"/>
    <n v="24.9"/>
    <n v="77.8"/>
    <s v="Heavy"/>
    <n v="53"/>
    <n v="318"/>
    <n v="3"/>
    <s v="Mechanical Failure"/>
    <n v="69.5"/>
    <n v="181"/>
    <n v="1"/>
    <x v="1"/>
  </r>
  <r>
    <d v="2024-02-02T03:46:54"/>
    <s v="Truck_3"/>
    <s v="23.2931"/>
    <s v="106.0267"/>
    <n v="368"/>
    <s v="Delivered"/>
    <n v="28"/>
    <n v="53.4"/>
    <s v="Detour"/>
    <n v="42"/>
    <n v="182"/>
    <n v="5"/>
    <s v="None"/>
    <n v="77.5"/>
    <n v="205"/>
    <n v="0"/>
    <x v="1"/>
  </r>
  <r>
    <d v="2024-10-02T12:56:46"/>
    <s v="Truck_6"/>
    <s v="-11.3114"/>
    <s v="-139.8110"/>
    <n v="373"/>
    <s v="In Transit"/>
    <n v="25"/>
    <n v="62.4"/>
    <s v="Clear"/>
    <n v="20"/>
    <n v="125"/>
    <n v="1"/>
    <s v="Mechanical Failure"/>
    <n v="91.2"/>
    <n v="160"/>
    <n v="0"/>
    <x v="1"/>
  </r>
  <r>
    <d v="2024-09-25T12:20:07"/>
    <s v="Truck_2"/>
    <s v="9.6491"/>
    <s v="47.3499"/>
    <n v="154"/>
    <s v="Delivered"/>
    <n v="22"/>
    <n v="53.3"/>
    <s v="Heavy"/>
    <n v="50"/>
    <n v="208"/>
    <n v="4"/>
    <s v="None"/>
    <n v="85"/>
    <n v="231"/>
    <n v="1"/>
    <x v="1"/>
  </r>
  <r>
    <d v="2024-02-24T08:11:09"/>
    <s v="Truck_3"/>
    <s v="10.9354"/>
    <s v="-27.3551"/>
    <n v="184"/>
    <s v="Delivered"/>
    <n v="19.2"/>
    <n v="55.3"/>
    <s v="Heavy"/>
    <n v="14"/>
    <n v="450"/>
    <n v="3"/>
    <s v="None"/>
    <n v="86.7"/>
    <n v="247"/>
    <n v="1"/>
    <x v="1"/>
  </r>
  <r>
    <d v="2024-10-28T10:00:20"/>
    <s v="Truck_9"/>
    <s v="84.9482"/>
    <s v="59.5314"/>
    <n v="204"/>
    <s v="Delivered"/>
    <n v="21.4"/>
    <n v="61.5"/>
    <s v="Clear"/>
    <n v="51"/>
    <n v="490"/>
    <n v="5"/>
    <s v="Mechanical Failure"/>
    <n v="68"/>
    <n v="288"/>
    <n v="0"/>
    <x v="0"/>
  </r>
  <r>
    <d v="2024-05-31T23:20:31"/>
    <s v="Truck_2"/>
    <s v="49.7212"/>
    <s v="179.2025"/>
    <n v="227"/>
    <s v="Delivered"/>
    <n v="26.1"/>
    <n v="65.7"/>
    <s v="Detour"/>
    <n v="47"/>
    <n v="247"/>
    <n v="8"/>
    <s v="Traffic"/>
    <n v="77.8"/>
    <n v="135"/>
    <n v="0"/>
    <x v="1"/>
  </r>
  <r>
    <d v="2024-01-22T00:34:19"/>
    <s v="Truck_5"/>
    <s v="-28.8968"/>
    <s v="-117.9471"/>
    <n v="405"/>
    <s v="In Transit"/>
    <n v="28"/>
    <n v="67.7"/>
    <s v="Clear"/>
    <n v="48"/>
    <n v="348"/>
    <n v="3"/>
    <s v="Mechanical Failure"/>
    <n v="78.3"/>
    <n v="213"/>
    <n v="0"/>
    <x v="1"/>
  </r>
  <r>
    <d v="2024-12-19T11:06:09"/>
    <s v="Truck_7"/>
    <s v="-55.5154"/>
    <s v="-163.6943"/>
    <n v="392"/>
    <s v="Delivered"/>
    <n v="27.4"/>
    <n v="69"/>
    <s v="Detour"/>
    <n v="31"/>
    <n v="347"/>
    <n v="9"/>
    <s v="Weather"/>
    <n v="98"/>
    <n v="133"/>
    <n v="0"/>
    <x v="1"/>
  </r>
  <r>
    <d v="2024-01-05T22:46:26"/>
    <s v="Truck_3"/>
    <s v="16.7636"/>
    <s v="29.2783"/>
    <n v="429"/>
    <s v="In Transit"/>
    <n v="27.7"/>
    <n v="75"/>
    <s v="Heavy"/>
    <n v="12"/>
    <n v="446"/>
    <n v="4"/>
    <s v="None"/>
    <n v="65.7"/>
    <n v="203"/>
    <n v="1"/>
    <x v="1"/>
  </r>
  <r>
    <d v="2024-06-26T08:09:13"/>
    <s v="Truck_7"/>
    <s v="-76.3070"/>
    <s v="5.0298"/>
    <n v="488"/>
    <s v="Delivered"/>
    <n v="25.2"/>
    <n v="63.9"/>
    <s v="Heavy"/>
    <n v="19"/>
    <n v="219"/>
    <n v="4"/>
    <s v="Weather"/>
    <n v="100"/>
    <n v="184"/>
    <n v="1"/>
    <x v="1"/>
  </r>
  <r>
    <d v="2024-07-31T02:07:09"/>
    <s v="Truck_6"/>
    <s v="-22.4693"/>
    <s v="149.9634"/>
    <n v="444"/>
    <s v="Delayed"/>
    <n v="29.8"/>
    <n v="67.5"/>
    <s v="Clear"/>
    <n v="41"/>
    <n v="125"/>
    <n v="5"/>
    <s v="Weather"/>
    <n v="63.3"/>
    <n v="152"/>
    <n v="1"/>
    <x v="1"/>
  </r>
  <r>
    <d v="2024-11-27T04:21:18"/>
    <s v="Truck_1"/>
    <s v="71.8859"/>
    <s v="93.4464"/>
    <n v="420"/>
    <s v="Delayed"/>
    <n v="18.399999999999999"/>
    <n v="68.5"/>
    <s v="Heavy"/>
    <n v="50"/>
    <n v="340"/>
    <n v="10"/>
    <s v="Weather"/>
    <n v="76.8"/>
    <n v="212"/>
    <n v="1"/>
    <x v="1"/>
  </r>
  <r>
    <d v="2024-06-06T04:02:08"/>
    <s v="Truck_1"/>
    <s v="-9.7179"/>
    <s v="-117.0145"/>
    <n v="391"/>
    <s v="In Transit"/>
    <n v="25.5"/>
    <n v="73.7"/>
    <s v="Detour"/>
    <n v="31"/>
    <n v="472"/>
    <n v="10"/>
    <s v="Weather"/>
    <n v="77.2"/>
    <n v="109"/>
    <n v="0"/>
    <x v="2"/>
  </r>
  <r>
    <d v="2024-05-16T20:34:06"/>
    <s v="Truck_9"/>
    <s v="-12.2288"/>
    <s v="-74.7801"/>
    <n v="212"/>
    <s v="Delivered"/>
    <n v="20.6"/>
    <n v="50.5"/>
    <s v="Clear"/>
    <n v="41"/>
    <n v="498"/>
    <n v="5"/>
    <s v="Mechanical Failure"/>
    <n v="94.1"/>
    <n v="162"/>
    <n v="0"/>
    <x v="1"/>
  </r>
  <r>
    <d v="2024-07-14T21:14:08"/>
    <s v="Truck_4"/>
    <s v="5.4618"/>
    <s v="-179.8202"/>
    <n v="157"/>
    <s v="Delivered"/>
    <n v="20.9"/>
    <n v="77.099999999999994"/>
    <s v="Clear"/>
    <n v="26"/>
    <n v="499"/>
    <n v="4"/>
    <s v="Traffic"/>
    <n v="91.4"/>
    <n v="214"/>
    <n v="0"/>
    <x v="1"/>
  </r>
  <r>
    <d v="2024-11-22T11:31:54"/>
    <s v="Truck_8"/>
    <s v="-54.8317"/>
    <s v="66.4706"/>
    <n v="399"/>
    <s v="Delivered"/>
    <n v="26.3"/>
    <n v="79.400000000000006"/>
    <s v="Detour"/>
    <n v="25"/>
    <n v="476"/>
    <n v="4"/>
    <s v="Mechanical Failure"/>
    <n v="95.6"/>
    <n v="256"/>
    <n v="0"/>
    <x v="1"/>
  </r>
  <r>
    <d v="2024-11-01T21:31:14"/>
    <s v="Truck_2"/>
    <s v="-80.0522"/>
    <s v="-102.2508"/>
    <n v="103"/>
    <s v="Delivered"/>
    <n v="27.9"/>
    <n v="53.1"/>
    <s v="Detour"/>
    <n v="52"/>
    <n v="386"/>
    <n v="1"/>
    <s v="None"/>
    <n v="97.7"/>
    <n v="141"/>
    <n v="0"/>
    <x v="1"/>
  </r>
  <r>
    <d v="2024-10-27T15:39:37"/>
    <s v="Truck_9"/>
    <s v="-13.0527"/>
    <s v="-122.0924"/>
    <n v="333"/>
    <s v="Delayed"/>
    <n v="22.1"/>
    <n v="65"/>
    <s v="Detour"/>
    <n v="22"/>
    <n v="243"/>
    <n v="5"/>
    <s v="Mechanical Failure"/>
    <n v="83.2"/>
    <n v="176"/>
    <n v="1"/>
    <x v="1"/>
  </r>
  <r>
    <d v="2024-02-14T12:20:37"/>
    <s v="Truck_6"/>
    <s v="6.3666"/>
    <s v="136.0794"/>
    <n v="234"/>
    <s v="Delivered"/>
    <n v="27.3"/>
    <n v="70.099999999999994"/>
    <s v="Detour"/>
    <n v="45"/>
    <n v="416"/>
    <n v="8"/>
    <s v="None"/>
    <n v="86.9"/>
    <n v="165"/>
    <n v="0"/>
    <x v="1"/>
  </r>
  <r>
    <d v="2024-05-02T11:14:44"/>
    <s v="Truck_9"/>
    <s v="83.1243"/>
    <s v="48.4325"/>
    <n v="146"/>
    <s v="Delayed"/>
    <n v="29"/>
    <n v="55.5"/>
    <s v="Detour"/>
    <n v="52"/>
    <n v="414"/>
    <n v="10"/>
    <s v="Mechanical Failure"/>
    <n v="82.3"/>
    <n v="228"/>
    <n v="1"/>
    <x v="1"/>
  </r>
  <r>
    <d v="2024-09-02T05:03:25"/>
    <s v="Truck_7"/>
    <s v="51.1898"/>
    <s v="25.5964"/>
    <n v="109"/>
    <s v="Delayed"/>
    <n v="20.7"/>
    <n v="60.9"/>
    <s v="Heavy"/>
    <n v="39"/>
    <n v="147"/>
    <n v="9"/>
    <s v="Traffic"/>
    <n v="75"/>
    <n v="116"/>
    <n v="1"/>
    <x v="2"/>
  </r>
  <r>
    <d v="2024-12-08T04:35:38"/>
    <s v="Truck_8"/>
    <s v="-76.3987"/>
    <s v="-68.1922"/>
    <n v="357"/>
    <s v="Delayed"/>
    <n v="24.6"/>
    <n v="73.5"/>
    <s v="Clear"/>
    <n v="48"/>
    <n v="266"/>
    <n v="10"/>
    <s v="Traffic"/>
    <n v="74.400000000000006"/>
    <n v="226"/>
    <n v="1"/>
    <x v="1"/>
  </r>
  <r>
    <d v="2024-01-23T05:35:54"/>
    <s v="Truck_9"/>
    <s v="70.5541"/>
    <s v="-150.1626"/>
    <n v="356"/>
    <s v="Delivered"/>
    <n v="19.5"/>
    <n v="63.1"/>
    <s v="Clear"/>
    <n v="16"/>
    <n v="118"/>
    <n v="3"/>
    <s v="None"/>
    <n v="77.8"/>
    <n v="230"/>
    <n v="0"/>
    <x v="1"/>
  </r>
  <r>
    <d v="2024-01-25T11:27:54"/>
    <s v="Truck_2"/>
    <s v="-38.2185"/>
    <s v="104.1667"/>
    <n v="349"/>
    <s v="Delivered"/>
    <n v="19.399999999999999"/>
    <n v="62.7"/>
    <s v="Detour"/>
    <n v="19"/>
    <n v="296"/>
    <n v="3"/>
    <s v="None"/>
    <n v="72.3"/>
    <n v="177"/>
    <n v="0"/>
    <x v="1"/>
  </r>
  <r>
    <d v="2024-11-08T13:31:56"/>
    <s v="Truck_1"/>
    <s v="39.1411"/>
    <s v="138.1786"/>
    <n v="159"/>
    <s v="Delivered"/>
    <n v="27.1"/>
    <n v="77.5"/>
    <s v="Heavy"/>
    <n v="33"/>
    <n v="429"/>
    <n v="9"/>
    <s v="None"/>
    <n v="77.900000000000006"/>
    <n v="200"/>
    <n v="1"/>
    <x v="1"/>
  </r>
  <r>
    <d v="2024-05-30T01:04:50"/>
    <s v="Truck_4"/>
    <s v="-68.8006"/>
    <s v="159.0040"/>
    <n v="148"/>
    <s v="Delivered"/>
    <n v="25"/>
    <n v="60.7"/>
    <s v="Clear"/>
    <n v="43"/>
    <n v="196"/>
    <n v="4"/>
    <s v="Mechanical Failure"/>
    <n v="64.599999999999994"/>
    <n v="240"/>
    <n v="0"/>
    <x v="1"/>
  </r>
  <r>
    <d v="2024-05-30T11:30:34"/>
    <s v="Truck_3"/>
    <s v="51.1598"/>
    <s v="-170.9311"/>
    <n v="354"/>
    <s v="Delivered"/>
    <n v="26.9"/>
    <n v="65.5"/>
    <s v="Heavy"/>
    <n v="14"/>
    <n v="245"/>
    <n v="4"/>
    <s v="None"/>
    <n v="73.400000000000006"/>
    <n v="151"/>
    <n v="1"/>
    <x v="1"/>
  </r>
  <r>
    <d v="2024-03-02T23:49:21"/>
    <s v="Truck_8"/>
    <s v="-29.5867"/>
    <s v="41.0612"/>
    <n v="214"/>
    <s v="Delivered"/>
    <n v="21.5"/>
    <n v="69.099999999999994"/>
    <s v="Heavy"/>
    <n v="49"/>
    <n v="417"/>
    <n v="10"/>
    <s v="Traffic"/>
    <n v="76.7"/>
    <n v="249"/>
    <n v="1"/>
    <x v="1"/>
  </r>
  <r>
    <d v="2024-08-29T11:52:35"/>
    <s v="Truck_8"/>
    <s v="-51.3412"/>
    <s v="-112.1636"/>
    <n v="307"/>
    <s v="Delayed"/>
    <n v="21"/>
    <n v="52.8"/>
    <s v="Clear"/>
    <n v="21"/>
    <n v="475"/>
    <n v="4"/>
    <s v="None"/>
    <n v="82.8"/>
    <n v="107"/>
    <n v="1"/>
    <x v="2"/>
  </r>
  <r>
    <d v="2024-05-26T01:53:03"/>
    <s v="Truck_1"/>
    <s v="-49.5057"/>
    <s v="174.3533"/>
    <n v="385"/>
    <s v="In Transit"/>
    <n v="24.3"/>
    <n v="59.4"/>
    <s v="Clear"/>
    <n v="37"/>
    <n v="239"/>
    <n v="3"/>
    <s v="None"/>
    <n v="88.3"/>
    <n v="148"/>
    <n v="0"/>
    <x v="1"/>
  </r>
  <r>
    <d v="2024-07-24T01:20:43"/>
    <s v="Truck_8"/>
    <s v="0.7577"/>
    <s v="120.0181"/>
    <n v="490"/>
    <s v="Delayed"/>
    <n v="24"/>
    <n v="56.1"/>
    <s v="Heavy"/>
    <n v="29"/>
    <n v="463"/>
    <n v="6"/>
    <s v="Mechanical Failure"/>
    <n v="81.099999999999994"/>
    <n v="134"/>
    <n v="1"/>
    <x v="1"/>
  </r>
  <r>
    <d v="2024-12-24T10:20:56"/>
    <s v="Truck_4"/>
    <s v="-2.2911"/>
    <s v="64.2731"/>
    <n v="133"/>
    <s v="Delayed"/>
    <n v="19.399999999999999"/>
    <n v="76"/>
    <s v="Detour"/>
    <n v="36"/>
    <n v="182"/>
    <n v="3"/>
    <s v="None"/>
    <n v="70.5"/>
    <n v="249"/>
    <n v="1"/>
    <x v="1"/>
  </r>
  <r>
    <d v="2024-02-11T14:40:04"/>
    <s v="Truck_2"/>
    <s v="78.4324"/>
    <s v="125.0181"/>
    <n v="472"/>
    <s v="Delivered"/>
    <n v="24.9"/>
    <n v="63.2"/>
    <s v="Detour"/>
    <n v="36"/>
    <n v="485"/>
    <n v="9"/>
    <s v="None"/>
    <n v="78.900000000000006"/>
    <n v="271"/>
    <n v="0"/>
    <x v="1"/>
  </r>
  <r>
    <d v="2024-04-24T00:54:49"/>
    <s v="Truck_7"/>
    <s v="-2.8329"/>
    <s v="-29.9102"/>
    <n v="338"/>
    <s v="In Transit"/>
    <n v="28.9"/>
    <n v="55.5"/>
    <s v="Detour"/>
    <n v="39"/>
    <n v="181"/>
    <n v="2"/>
    <s v="Mechanical Failure"/>
    <n v="88.6"/>
    <n v="143"/>
    <n v="0"/>
    <x v="1"/>
  </r>
  <r>
    <d v="2024-01-08T10:20:44"/>
    <s v="Truck_2"/>
    <s v="70.0103"/>
    <s v="-164.1914"/>
    <n v="172"/>
    <s v="Delivered"/>
    <n v="25.5"/>
    <n v="55.7"/>
    <s v="Detour"/>
    <n v="25"/>
    <n v="259"/>
    <n v="1"/>
    <s v="Traffic"/>
    <n v="65.2"/>
    <n v="255"/>
    <n v="0"/>
    <x v="1"/>
  </r>
  <r>
    <d v="2024-10-25T03:01:44"/>
    <s v="Truck_2"/>
    <s v="11.4885"/>
    <s v="-172.5690"/>
    <n v="187"/>
    <s v="Delayed"/>
    <n v="24.8"/>
    <n v="52"/>
    <s v="Detour"/>
    <n v="31"/>
    <n v="231"/>
    <n v="5"/>
    <s v="Weather"/>
    <n v="91.6"/>
    <n v="234"/>
    <n v="1"/>
    <x v="1"/>
  </r>
  <r>
    <d v="2024-12-12T15:03:51"/>
    <s v="Truck_8"/>
    <s v="74.5261"/>
    <s v="123.6828"/>
    <n v="439"/>
    <s v="In Transit"/>
    <n v="23.5"/>
    <n v="55.1"/>
    <s v="Detour"/>
    <n v="47"/>
    <n v="454"/>
    <n v="3"/>
    <s v="Weather"/>
    <n v="75.5"/>
    <n v="196"/>
    <n v="0"/>
    <x v="1"/>
  </r>
  <r>
    <d v="2024-11-30T09:16:40"/>
    <s v="Truck_7"/>
    <s v="-12.9509"/>
    <s v="132.4986"/>
    <n v="159"/>
    <s v="In Transit"/>
    <n v="18.100000000000001"/>
    <n v="76"/>
    <s v="Detour"/>
    <n v="18"/>
    <n v="202"/>
    <n v="2"/>
    <s v="Weather"/>
    <n v="94.4"/>
    <n v="197"/>
    <n v="0"/>
    <x v="1"/>
  </r>
  <r>
    <d v="2024-05-13T09:05:25"/>
    <s v="Truck_7"/>
    <s v="81.7900"/>
    <s v="-52.7516"/>
    <n v="362"/>
    <s v="Delivered"/>
    <n v="18.3"/>
    <n v="57.6"/>
    <s v="Heavy"/>
    <n v="58"/>
    <n v="437"/>
    <n v="8"/>
    <s v="Mechanical Failure"/>
    <n v="66.8"/>
    <n v="123"/>
    <n v="1"/>
    <x v="2"/>
  </r>
  <r>
    <d v="2024-12-16T06:06:57"/>
    <s v="Truck_4"/>
    <s v="47.7175"/>
    <s v="72.5310"/>
    <n v="163"/>
    <s v="Delivered"/>
    <n v="24.6"/>
    <n v="53.2"/>
    <s v="Detour"/>
    <n v="34"/>
    <n v="473"/>
    <n v="9"/>
    <s v="Traffic"/>
    <n v="72.400000000000006"/>
    <n v="263"/>
    <n v="0"/>
    <x v="1"/>
  </r>
  <r>
    <d v="2024-02-14T07:54:59"/>
    <s v="Truck_7"/>
    <s v="-21.5329"/>
    <s v="-145.2581"/>
    <n v="258"/>
    <s v="Delayed"/>
    <n v="19.899999999999999"/>
    <n v="51.9"/>
    <s v="Heavy"/>
    <n v="54"/>
    <n v="237"/>
    <n v="10"/>
    <s v="None"/>
    <n v="92.7"/>
    <n v="271"/>
    <n v="1"/>
    <x v="1"/>
  </r>
  <r>
    <d v="2024-06-25T12:15:28"/>
    <s v="Truck_9"/>
    <s v="-4.5863"/>
    <s v="71.7337"/>
    <n v="319"/>
    <s v="Delayed"/>
    <n v="18"/>
    <n v="63.6"/>
    <s v="Detour"/>
    <n v="23"/>
    <n v="473"/>
    <n v="7"/>
    <s v="Weather"/>
    <n v="83"/>
    <n v="187"/>
    <n v="1"/>
    <x v="1"/>
  </r>
  <r>
    <d v="2024-08-14T03:59:00"/>
    <s v="Truck_9"/>
    <s v="-26.6775"/>
    <s v="-77.2847"/>
    <n v="247"/>
    <s v="Delivered"/>
    <n v="28.9"/>
    <n v="60.7"/>
    <s v="Clear"/>
    <n v="56"/>
    <n v="115"/>
    <n v="10"/>
    <s v="Mechanical Failure"/>
    <n v="61.6"/>
    <n v="270"/>
    <n v="0"/>
    <x v="1"/>
  </r>
  <r>
    <d v="2024-04-08T19:43:53"/>
    <s v="Truck_8"/>
    <s v="-30.6957"/>
    <s v="29.2550"/>
    <n v="134"/>
    <s v="In Transit"/>
    <n v="19.899999999999999"/>
    <n v="67.5"/>
    <s v="Detour"/>
    <n v="42"/>
    <n v="421"/>
    <n v="5"/>
    <s v="Mechanical Failure"/>
    <n v="77.599999999999994"/>
    <n v="183"/>
    <n v="0"/>
    <x v="1"/>
  </r>
  <r>
    <d v="2024-11-07T14:21:51"/>
    <s v="Truck_4"/>
    <s v="64.5212"/>
    <s v="-83.2639"/>
    <n v="175"/>
    <s v="In Transit"/>
    <n v="20.9"/>
    <n v="58.7"/>
    <s v="Detour"/>
    <n v="35"/>
    <n v="274"/>
    <n v="9"/>
    <s v="Mechanical Failure"/>
    <n v="61.1"/>
    <n v="240"/>
    <n v="0"/>
    <x v="1"/>
  </r>
  <r>
    <d v="2024-01-12T17:01:33"/>
    <s v="Truck_9"/>
    <s v="68.1810"/>
    <s v="-84.9051"/>
    <n v="179"/>
    <s v="Delayed"/>
    <n v="24.2"/>
    <n v="50.2"/>
    <s v="Clear"/>
    <n v="31"/>
    <n v="485"/>
    <n v="10"/>
    <s v="None"/>
    <n v="75.8"/>
    <n v="255"/>
    <n v="1"/>
    <x v="1"/>
  </r>
  <r>
    <d v="2024-05-30T08:29:11"/>
    <s v="Truck_10"/>
    <s v="-81.2116"/>
    <s v="13.9727"/>
    <n v="105"/>
    <s v="Delayed"/>
    <n v="27.1"/>
    <n v="59.8"/>
    <s v="Clear"/>
    <n v="36"/>
    <n v="409"/>
    <n v="7"/>
    <s v="Traffic"/>
    <n v="75.7"/>
    <n v="290"/>
    <n v="1"/>
    <x v="0"/>
  </r>
  <r>
    <d v="2024-05-16T07:34:11"/>
    <s v="Truck_2"/>
    <s v="-21.3080"/>
    <s v="-14.9017"/>
    <n v="277"/>
    <s v="In Transit"/>
    <n v="23.5"/>
    <n v="63.9"/>
    <s v="Heavy"/>
    <n v="11"/>
    <n v="292"/>
    <n v="8"/>
    <s v="Weather"/>
    <n v="67.5"/>
    <n v="234"/>
    <n v="1"/>
    <x v="1"/>
  </r>
  <r>
    <d v="2024-12-08T12:26:38"/>
    <s v="Truck_5"/>
    <s v="77.2059"/>
    <s v="-132.0473"/>
    <n v="427"/>
    <s v="Delayed"/>
    <n v="26.7"/>
    <n v="63.8"/>
    <s v="Detour"/>
    <n v="54"/>
    <n v="453"/>
    <n v="6"/>
    <s v="Weather"/>
    <n v="86.7"/>
    <n v="101"/>
    <n v="1"/>
    <x v="2"/>
  </r>
  <r>
    <d v="2024-03-28T08:34:01"/>
    <s v="Truck_3"/>
    <s v="21.4872"/>
    <s v="-123.6879"/>
    <n v="348"/>
    <s v="Delayed"/>
    <n v="22.7"/>
    <n v="63.3"/>
    <s v="Detour"/>
    <n v="23"/>
    <n v="134"/>
    <n v="4"/>
    <s v="Mechanical Failure"/>
    <n v="99.6"/>
    <n v="251"/>
    <n v="1"/>
    <x v="1"/>
  </r>
  <r>
    <d v="2024-04-16T21:31:53"/>
    <s v="Truck_3"/>
    <s v="47.7603"/>
    <s v="-137.0932"/>
    <n v="300"/>
    <s v="Delayed"/>
    <n v="23.1"/>
    <n v="78.099999999999994"/>
    <s v="Detour"/>
    <n v="53"/>
    <n v="146"/>
    <n v="4"/>
    <s v="Weather"/>
    <n v="73.3"/>
    <n v="280"/>
    <n v="1"/>
    <x v="1"/>
  </r>
  <r>
    <d v="2024-11-20T14:44:30"/>
    <s v="Truck_1"/>
    <s v="-4.7971"/>
    <s v="56.4110"/>
    <n v="457"/>
    <s v="Delivered"/>
    <n v="27.2"/>
    <n v="69.099999999999994"/>
    <s v="Heavy"/>
    <n v="55"/>
    <n v="319"/>
    <n v="2"/>
    <s v="Traffic"/>
    <n v="67.7"/>
    <n v="132"/>
    <n v="1"/>
    <x v="1"/>
  </r>
  <r>
    <d v="2024-06-20T08:17:55"/>
    <s v="Truck_1"/>
    <s v="-11.1333"/>
    <s v="-40.0454"/>
    <n v="316"/>
    <s v="Delayed"/>
    <n v="26.8"/>
    <n v="53.5"/>
    <s v="Clear"/>
    <n v="35"/>
    <n v="402"/>
    <n v="10"/>
    <s v="Mechanical Failure"/>
    <n v="93.6"/>
    <n v="206"/>
    <n v="1"/>
    <x v="1"/>
  </r>
  <r>
    <d v="2024-08-11T15:40:34"/>
    <s v="Truck_9"/>
    <s v="15.5083"/>
    <s v="115.4388"/>
    <n v="207"/>
    <s v="In Transit"/>
    <n v="19.2"/>
    <n v="59.7"/>
    <s v="Detour"/>
    <n v="56"/>
    <n v="484"/>
    <n v="7"/>
    <s v="Traffic"/>
    <n v="72.599999999999994"/>
    <n v="285"/>
    <n v="0"/>
    <x v="0"/>
  </r>
  <r>
    <d v="2024-10-30T12:44:31"/>
    <s v="Truck_10"/>
    <s v="-70.6858"/>
    <s v="54.4683"/>
    <n v="333"/>
    <s v="Delivered"/>
    <n v="27.5"/>
    <n v="55.8"/>
    <s v="Heavy"/>
    <n v="36"/>
    <n v="141"/>
    <n v="2"/>
    <s v="Traffic"/>
    <n v="67"/>
    <n v="264"/>
    <n v="1"/>
    <x v="1"/>
  </r>
  <r>
    <d v="2024-03-22T11:00:20"/>
    <s v="Truck_10"/>
    <s v="-18.4278"/>
    <s v="101.4997"/>
    <n v="327"/>
    <s v="Delayed"/>
    <n v="22.6"/>
    <n v="57.4"/>
    <s v="Detour"/>
    <n v="38"/>
    <n v="432"/>
    <n v="4"/>
    <s v="Traffic"/>
    <n v="68.400000000000006"/>
    <n v="171"/>
    <n v="1"/>
    <x v="1"/>
  </r>
  <r>
    <d v="2024-05-12T13:40:05"/>
    <s v="Truck_3"/>
    <s v="43.7523"/>
    <s v="149.8334"/>
    <n v="197"/>
    <s v="In Transit"/>
    <n v="20"/>
    <n v="69.599999999999994"/>
    <s v="Detour"/>
    <n v="42"/>
    <n v="314"/>
    <n v="3"/>
    <s v="Traffic"/>
    <n v="87.2"/>
    <n v="201"/>
    <n v="0"/>
    <x v="1"/>
  </r>
  <r>
    <d v="2024-11-15T08:08:17"/>
    <s v="Truck_7"/>
    <s v="18.5151"/>
    <s v="24.3559"/>
    <n v="356"/>
    <s v="Delayed"/>
    <n v="23.4"/>
    <n v="72.8"/>
    <s v="Detour"/>
    <n v="39"/>
    <n v="486"/>
    <n v="9"/>
    <s v="Mechanical Failure"/>
    <n v="99.2"/>
    <n v="282"/>
    <n v="1"/>
    <x v="1"/>
  </r>
  <r>
    <d v="2024-10-07T06:11:39"/>
    <s v="Truck_9"/>
    <s v="84.6774"/>
    <s v="61.0153"/>
    <n v="359"/>
    <s v="Delayed"/>
    <n v="29.2"/>
    <n v="54.5"/>
    <s v="Detour"/>
    <n v="50"/>
    <n v="268"/>
    <n v="1"/>
    <s v="None"/>
    <n v="67.400000000000006"/>
    <n v="249"/>
    <n v="1"/>
    <x v="1"/>
  </r>
  <r>
    <d v="2024-09-09T03:30:12"/>
    <s v="Truck_3"/>
    <s v="49.5864"/>
    <s v="-154.4224"/>
    <n v="377"/>
    <s v="Delivered"/>
    <n v="18.100000000000001"/>
    <n v="55"/>
    <s v="Detour"/>
    <n v="59"/>
    <n v="476"/>
    <n v="6"/>
    <s v="Weather"/>
    <n v="70.2"/>
    <n v="268"/>
    <n v="0"/>
    <x v="1"/>
  </r>
  <r>
    <d v="2024-08-21T20:07:08"/>
    <s v="Truck_6"/>
    <s v="-51.3190"/>
    <s v="-46.5841"/>
    <n v="228"/>
    <s v="Delayed"/>
    <n v="24.2"/>
    <n v="59.2"/>
    <s v="Heavy"/>
    <n v="26"/>
    <n v="321"/>
    <n v="5"/>
    <s v="Traffic"/>
    <n v="96.3"/>
    <n v="132"/>
    <n v="1"/>
    <x v="1"/>
  </r>
  <r>
    <d v="2024-01-17T03:33:56"/>
    <s v="Truck_10"/>
    <s v="-12.9902"/>
    <s v="176.1206"/>
    <n v="399"/>
    <s v="Delivered"/>
    <n v="23.4"/>
    <n v="71.7"/>
    <s v="Heavy"/>
    <n v="12"/>
    <n v="239"/>
    <n v="1"/>
    <s v="None"/>
    <n v="67.599999999999994"/>
    <n v="156"/>
    <n v="1"/>
    <x v="1"/>
  </r>
  <r>
    <d v="2024-12-02T12:07:59"/>
    <s v="Truck_3"/>
    <s v="6.8181"/>
    <s v="52.3685"/>
    <n v="157"/>
    <s v="In Transit"/>
    <n v="29.8"/>
    <n v="54"/>
    <s v="Clear"/>
    <n v="33"/>
    <n v="151"/>
    <n v="10"/>
    <s v="Weather"/>
    <n v="81.2"/>
    <n v="192"/>
    <n v="0"/>
    <x v="1"/>
  </r>
  <r>
    <d v="2024-11-18T07:52:13"/>
    <s v="Truck_10"/>
    <s v="-3.0380"/>
    <s v="106.5694"/>
    <n v="327"/>
    <s v="In Transit"/>
    <n v="21.2"/>
    <n v="52.6"/>
    <s v="Clear"/>
    <n v="48"/>
    <n v="209"/>
    <n v="8"/>
    <s v="Mechanical Failure"/>
    <n v="98.6"/>
    <n v="104"/>
    <n v="0"/>
    <x v="2"/>
  </r>
  <r>
    <d v="2024-04-29T11:54:26"/>
    <s v="Truck_2"/>
    <s v="35.5141"/>
    <s v="90.8087"/>
    <n v="215"/>
    <s v="Delayed"/>
    <n v="21.7"/>
    <n v="73.400000000000006"/>
    <s v="Detour"/>
    <n v="17"/>
    <n v="146"/>
    <n v="9"/>
    <s v="None"/>
    <n v="70.400000000000006"/>
    <n v="296"/>
    <n v="1"/>
    <x v="0"/>
  </r>
  <r>
    <d v="2024-05-29T06:49:50"/>
    <s v="Truck_9"/>
    <s v="-40.8724"/>
    <s v="-42.3243"/>
    <n v="213"/>
    <s v="Delayed"/>
    <n v="20.2"/>
    <n v="63.7"/>
    <s v="Clear"/>
    <n v="16"/>
    <n v="248"/>
    <n v="10"/>
    <s v="None"/>
    <n v="68.8"/>
    <n v="136"/>
    <n v="1"/>
    <x v="1"/>
  </r>
  <r>
    <d v="2024-11-10T05:49:21"/>
    <s v="Truck_7"/>
    <s v="44.6347"/>
    <s v="-110.6304"/>
    <n v="226"/>
    <s v="In Transit"/>
    <n v="21.4"/>
    <n v="58"/>
    <s v="Detour"/>
    <n v="47"/>
    <n v="348"/>
    <n v="7"/>
    <s v="Mechanical Failure"/>
    <n v="85.7"/>
    <n v="136"/>
    <n v="0"/>
    <x v="1"/>
  </r>
  <r>
    <d v="2024-11-03T20:21:38"/>
    <s v="Truck_1"/>
    <s v="76.5468"/>
    <s v="-13.5249"/>
    <n v="334"/>
    <s v="Delivered"/>
    <n v="24.2"/>
    <n v="76.2"/>
    <s v="Clear"/>
    <n v="24"/>
    <n v="402"/>
    <n v="7"/>
    <s v="Traffic"/>
    <n v="71.5"/>
    <n v="105"/>
    <n v="0"/>
    <x v="2"/>
  </r>
  <r>
    <d v="2024-09-04T10:45:13"/>
    <s v="Truck_2"/>
    <s v="72.8206"/>
    <s v="90.5169"/>
    <n v="319"/>
    <s v="In Transit"/>
    <n v="25.5"/>
    <n v="51.7"/>
    <s v="Detour"/>
    <n v="32"/>
    <n v="350"/>
    <n v="2"/>
    <s v="None"/>
    <n v="69.7"/>
    <n v="254"/>
    <n v="0"/>
    <x v="1"/>
  </r>
  <r>
    <d v="2024-09-25T21:53:09"/>
    <s v="Truck_8"/>
    <s v="81.2554"/>
    <s v="4.8416"/>
    <n v="411"/>
    <s v="In Transit"/>
    <n v="20.5"/>
    <n v="77.400000000000006"/>
    <s v="Heavy"/>
    <n v="51"/>
    <n v="211"/>
    <n v="5"/>
    <s v="Mechanical Failure"/>
    <n v="76.900000000000006"/>
    <n v="244"/>
    <n v="1"/>
    <x v="1"/>
  </r>
  <r>
    <d v="2024-07-24T06:30:18"/>
    <s v="Truck_6"/>
    <s v="74.9107"/>
    <s v="17.8019"/>
    <n v="208"/>
    <s v="Delayed"/>
    <n v="28.8"/>
    <n v="64.900000000000006"/>
    <s v="Clear"/>
    <n v="40"/>
    <n v="437"/>
    <n v="6"/>
    <s v="Weather"/>
    <n v="64.599999999999994"/>
    <n v="185"/>
    <n v="1"/>
    <x v="1"/>
  </r>
  <r>
    <d v="2024-04-02T13:43:06"/>
    <s v="Truck_5"/>
    <s v="20.4460"/>
    <s v="149.3776"/>
    <n v="328"/>
    <s v="Delivered"/>
    <n v="22.8"/>
    <n v="73.599999999999994"/>
    <s v="Clear"/>
    <n v="12"/>
    <n v="349"/>
    <n v="9"/>
    <s v="Mechanical Failure"/>
    <n v="93.3"/>
    <n v="162"/>
    <n v="0"/>
    <x v="1"/>
  </r>
  <r>
    <d v="2024-03-04T06:43:40"/>
    <s v="Truck_3"/>
    <s v="-60.7101"/>
    <s v="-29.4842"/>
    <n v="219"/>
    <s v="Delayed"/>
    <n v="22.9"/>
    <n v="56.6"/>
    <s v="Heavy"/>
    <n v="49"/>
    <n v="372"/>
    <n v="6"/>
    <s v="Mechanical Failure"/>
    <n v="64.400000000000006"/>
    <n v="300"/>
    <n v="1"/>
    <x v="0"/>
  </r>
  <r>
    <d v="2024-12-10T12:39:50"/>
    <s v="Truck_8"/>
    <s v="74.2314"/>
    <s v="-113.7355"/>
    <n v="438"/>
    <s v="In Transit"/>
    <n v="25.7"/>
    <n v="71.2"/>
    <s v="Detour"/>
    <n v="21"/>
    <n v="445"/>
    <n v="5"/>
    <s v="Weather"/>
    <n v="90.4"/>
    <n v="154"/>
    <n v="0"/>
    <x v="1"/>
  </r>
  <r>
    <d v="2024-01-05T03:23:06"/>
    <s v="Truck_9"/>
    <s v="16.9737"/>
    <s v="-7.8198"/>
    <n v="145"/>
    <s v="In Transit"/>
    <n v="23.3"/>
    <n v="70.3"/>
    <s v="Detour"/>
    <n v="44"/>
    <n v="421"/>
    <n v="2"/>
    <s v="None"/>
    <n v="93.9"/>
    <n v="286"/>
    <n v="0"/>
    <x v="0"/>
  </r>
  <r>
    <d v="2024-01-18T17:13:48"/>
    <s v="Truck_1"/>
    <s v="35.8055"/>
    <s v="-41.1532"/>
    <n v="299"/>
    <s v="Delivered"/>
    <n v="22.4"/>
    <n v="64.2"/>
    <s v="Clear"/>
    <n v="54"/>
    <n v="303"/>
    <n v="1"/>
    <s v="Traffic"/>
    <n v="88.1"/>
    <n v="125"/>
    <n v="0"/>
    <x v="2"/>
  </r>
  <r>
    <d v="2024-05-10T06:01:32"/>
    <s v="Truck_5"/>
    <s v="6.7867"/>
    <s v="-133.6343"/>
    <n v="356"/>
    <s v="Delivered"/>
    <n v="18.899999999999999"/>
    <n v="71.7"/>
    <s v="Clear"/>
    <n v="25"/>
    <n v="368"/>
    <n v="1"/>
    <s v="Traffic"/>
    <n v="66.099999999999994"/>
    <n v="228"/>
    <n v="0"/>
    <x v="1"/>
  </r>
  <r>
    <d v="2024-10-26T05:59:54"/>
    <s v="Truck_3"/>
    <s v="6.1840"/>
    <s v="36.1898"/>
    <n v="137"/>
    <s v="Delivered"/>
    <n v="22.8"/>
    <n v="50.6"/>
    <s v="Detour"/>
    <n v="24"/>
    <n v="465"/>
    <n v="6"/>
    <s v="Weather"/>
    <n v="61.3"/>
    <n v="226"/>
    <n v="0"/>
    <x v="1"/>
  </r>
  <r>
    <d v="2024-04-21T16:13:53"/>
    <s v="Truck_8"/>
    <s v="-75.0605"/>
    <s v="-52.5256"/>
    <n v="231"/>
    <s v="Delivered"/>
    <n v="24.3"/>
    <n v="57.8"/>
    <s v="Clear"/>
    <n v="56"/>
    <n v="368"/>
    <n v="7"/>
    <s v="Weather"/>
    <n v="87.2"/>
    <n v="203"/>
    <n v="0"/>
    <x v="1"/>
  </r>
  <r>
    <d v="2024-09-14T01:51:27"/>
    <s v="Truck_2"/>
    <s v="-77.8910"/>
    <s v="-96.7804"/>
    <n v="336"/>
    <s v="Delivered"/>
    <n v="19.7"/>
    <n v="66.7"/>
    <s v="Clear"/>
    <n v="54"/>
    <n v="163"/>
    <n v="7"/>
    <s v="Mechanical Failure"/>
    <n v="71.400000000000006"/>
    <n v="122"/>
    <n v="0"/>
    <x v="2"/>
  </r>
  <r>
    <d v="2024-05-12T17:51:01"/>
    <s v="Truck_9"/>
    <s v="-47.1540"/>
    <s v="6.9021"/>
    <n v="290"/>
    <s v="In Transit"/>
    <n v="27.6"/>
    <n v="71.8"/>
    <s v="Heavy"/>
    <n v="50"/>
    <n v="460"/>
    <n v="7"/>
    <s v="Mechanical Failure"/>
    <n v="95.9"/>
    <n v="118"/>
    <n v="1"/>
    <x v="2"/>
  </r>
  <r>
    <d v="2024-09-03T09:06:58"/>
    <s v="Truck_1"/>
    <s v="76.1715"/>
    <s v="-0.0071"/>
    <n v="427"/>
    <s v="Delayed"/>
    <n v="23.2"/>
    <n v="70.099999999999994"/>
    <s v="Heavy"/>
    <n v="17"/>
    <n v="320"/>
    <n v="4"/>
    <s v="Weather"/>
    <n v="73"/>
    <n v="162"/>
    <n v="1"/>
    <x v="1"/>
  </r>
  <r>
    <d v="2024-05-06T09:16:38"/>
    <s v="Truck_9"/>
    <s v="-85.8283"/>
    <s v="163.4575"/>
    <n v="439"/>
    <s v="Delivered"/>
    <n v="26.4"/>
    <n v="71.3"/>
    <s v="Clear"/>
    <n v="41"/>
    <n v="491"/>
    <n v="7"/>
    <s v="Traffic"/>
    <n v="67.400000000000006"/>
    <n v="273"/>
    <n v="0"/>
    <x v="1"/>
  </r>
  <r>
    <d v="2024-01-09T08:52:44"/>
    <s v="Truck_7"/>
    <s v="6.0090"/>
    <s v="-33.8380"/>
    <n v="461"/>
    <s v="Delivered"/>
    <n v="18.600000000000001"/>
    <n v="74.599999999999994"/>
    <s v="Heavy"/>
    <n v="23"/>
    <n v="185"/>
    <n v="4"/>
    <s v="Traffic"/>
    <n v="77.8"/>
    <n v="215"/>
    <n v="1"/>
    <x v="1"/>
  </r>
  <r>
    <d v="2024-09-06T03:02:40"/>
    <s v="Truck_9"/>
    <s v="3.8184"/>
    <s v="139.4876"/>
    <n v="414"/>
    <s v="Delivered"/>
    <n v="29"/>
    <n v="70.599999999999994"/>
    <s v="Heavy"/>
    <n v="25"/>
    <n v="291"/>
    <n v="4"/>
    <s v="Traffic"/>
    <n v="92.9"/>
    <n v="154"/>
    <n v="1"/>
    <x v="1"/>
  </r>
  <r>
    <d v="2024-08-05T16:44:46"/>
    <s v="Truck_6"/>
    <s v="66.3417"/>
    <s v="-154.1243"/>
    <n v="498"/>
    <s v="Delayed"/>
    <n v="23.8"/>
    <n v="55.9"/>
    <s v="Detour"/>
    <n v="16"/>
    <n v="381"/>
    <n v="7"/>
    <s v="None"/>
    <n v="67.2"/>
    <n v="131"/>
    <n v="1"/>
    <x v="1"/>
  </r>
  <r>
    <d v="2024-08-16T10:45:59"/>
    <s v="Truck_4"/>
    <s v="-61.8623"/>
    <s v="113.6304"/>
    <n v="334"/>
    <s v="Delivered"/>
    <n v="22.5"/>
    <n v="57.1"/>
    <s v="Clear"/>
    <n v="43"/>
    <n v="381"/>
    <n v="6"/>
    <s v="None"/>
    <n v="73.8"/>
    <n v="157"/>
    <n v="0"/>
    <x v="1"/>
  </r>
  <r>
    <d v="2024-07-12T02:46:57"/>
    <s v="Truck_2"/>
    <s v="44.5020"/>
    <s v="66.5819"/>
    <n v="144"/>
    <s v="Delayed"/>
    <n v="23"/>
    <n v="70.3"/>
    <s v="Heavy"/>
    <n v="54"/>
    <n v="152"/>
    <n v="1"/>
    <s v="Mechanical Failure"/>
    <n v="84.3"/>
    <n v="242"/>
    <n v="1"/>
    <x v="1"/>
  </r>
  <r>
    <d v="2024-01-24T08:44:24"/>
    <s v="Truck_3"/>
    <s v="-12.2885"/>
    <s v="38.4287"/>
    <n v="231"/>
    <s v="Delivered"/>
    <n v="28.2"/>
    <n v="67.2"/>
    <s v="Clear"/>
    <n v="50"/>
    <n v="221"/>
    <n v="1"/>
    <s v="None"/>
    <n v="84.8"/>
    <n v="270"/>
    <n v="0"/>
    <x v="1"/>
  </r>
  <r>
    <d v="2024-01-13T21:47:31"/>
    <s v="Truck_5"/>
    <s v="-40.8275"/>
    <s v="-46.7423"/>
    <n v="324"/>
    <s v="Delayed"/>
    <n v="25.5"/>
    <n v="65.2"/>
    <s v="Clear"/>
    <n v="51"/>
    <n v="233"/>
    <n v="9"/>
    <s v="Traffic"/>
    <n v="90.2"/>
    <n v="145"/>
    <n v="1"/>
    <x v="1"/>
  </r>
  <r>
    <d v="2024-04-16T08:03:32"/>
    <s v="Truck_6"/>
    <s v="-76.5757"/>
    <s v="-52.2690"/>
    <n v="246"/>
    <s v="Delivered"/>
    <n v="19.399999999999999"/>
    <n v="56.3"/>
    <s v="Clear"/>
    <n v="16"/>
    <n v="406"/>
    <n v="9"/>
    <s v="Weather"/>
    <n v="65.7"/>
    <n v="140"/>
    <n v="0"/>
    <x v="1"/>
  </r>
  <r>
    <d v="2024-02-12T03:22:04"/>
    <s v="Truck_2"/>
    <s v="-79.2790"/>
    <s v="69.5680"/>
    <n v="283"/>
    <s v="Delayed"/>
    <n v="27.7"/>
    <n v="52.4"/>
    <s v="Heavy"/>
    <n v="16"/>
    <n v="280"/>
    <n v="8"/>
    <s v="Traffic"/>
    <n v="96"/>
    <n v="297"/>
    <n v="1"/>
    <x v="0"/>
  </r>
  <r>
    <d v="2024-05-08T03:54:27"/>
    <s v="Truck_10"/>
    <s v="84.3451"/>
    <s v="-106.8770"/>
    <n v="453"/>
    <s v="Delayed"/>
    <n v="21.8"/>
    <n v="66.400000000000006"/>
    <s v="Clear"/>
    <n v="48"/>
    <n v="305"/>
    <n v="2"/>
    <s v="Mechanical Failure"/>
    <n v="68.900000000000006"/>
    <n v="212"/>
    <n v="1"/>
    <x v="1"/>
  </r>
  <r>
    <d v="2024-12-07T12:50:56"/>
    <s v="Truck_10"/>
    <s v="-19.0721"/>
    <s v="161.7246"/>
    <n v="392"/>
    <s v="Delivered"/>
    <n v="30"/>
    <n v="72.099999999999994"/>
    <s v="Detour"/>
    <n v="52"/>
    <n v="329"/>
    <n v="4"/>
    <s v="Traffic"/>
    <n v="66.599999999999994"/>
    <n v="174"/>
    <n v="0"/>
    <x v="1"/>
  </r>
  <r>
    <d v="2024-11-26T00:36:15"/>
    <s v="Truck_6"/>
    <s v="-69.0311"/>
    <s v="-32.9575"/>
    <n v="343"/>
    <s v="In Transit"/>
    <n v="25.2"/>
    <n v="72.599999999999994"/>
    <s v="Clear"/>
    <n v="21"/>
    <n v="400"/>
    <n v="9"/>
    <s v="Weather"/>
    <n v="87.7"/>
    <n v="300"/>
    <n v="0"/>
    <x v="0"/>
  </r>
  <r>
    <d v="2024-05-07T08:15:24"/>
    <s v="Truck_4"/>
    <s v="87.7793"/>
    <s v="-108.9268"/>
    <n v="144"/>
    <s v="Delayed"/>
    <n v="25.8"/>
    <n v="65.599999999999994"/>
    <s v="Detour"/>
    <n v="23"/>
    <n v="362"/>
    <n v="10"/>
    <s v="Traffic"/>
    <n v="88.9"/>
    <n v="199"/>
    <n v="1"/>
    <x v="1"/>
  </r>
  <r>
    <d v="2024-11-05T21:58:32"/>
    <s v="Truck_9"/>
    <s v="-48.3633"/>
    <s v="-36.2936"/>
    <n v="151"/>
    <s v="Delayed"/>
    <n v="22.1"/>
    <n v="59.7"/>
    <s v="Clear"/>
    <n v="58"/>
    <n v="338"/>
    <n v="1"/>
    <s v="Traffic"/>
    <n v="81.5"/>
    <n v="248"/>
    <n v="1"/>
    <x v="1"/>
  </r>
  <r>
    <d v="2024-02-28T11:48:48"/>
    <s v="Truck_7"/>
    <s v="-36.4104"/>
    <s v="-4.3350"/>
    <n v="389"/>
    <s v="In Transit"/>
    <n v="27.2"/>
    <n v="59.8"/>
    <s v="Heavy"/>
    <n v="20"/>
    <n v="129"/>
    <n v="8"/>
    <s v="Traffic"/>
    <n v="80.8"/>
    <n v="164"/>
    <n v="1"/>
    <x v="1"/>
  </r>
  <r>
    <d v="2024-04-16T23:04:14"/>
    <s v="Truck_2"/>
    <s v="-39.2250"/>
    <s v="-156.4228"/>
    <n v="355"/>
    <s v="Delayed"/>
    <n v="19.2"/>
    <n v="62.2"/>
    <s v="Clear"/>
    <n v="10"/>
    <n v="137"/>
    <n v="2"/>
    <s v="Traffic"/>
    <n v="67"/>
    <n v="269"/>
    <n v="1"/>
    <x v="1"/>
  </r>
  <r>
    <d v="2024-11-28T00:36:34"/>
    <s v="Truck_10"/>
    <s v="84.0407"/>
    <s v="-74.7098"/>
    <n v="493"/>
    <s v="Delayed"/>
    <n v="20.7"/>
    <n v="70.900000000000006"/>
    <s v="Clear"/>
    <n v="52"/>
    <n v="478"/>
    <n v="1"/>
    <s v="Traffic"/>
    <n v="62.5"/>
    <n v="103"/>
    <n v="1"/>
    <x v="2"/>
  </r>
  <r>
    <d v="2024-02-09T06:40:41"/>
    <s v="Truck_9"/>
    <s v="-68.5324"/>
    <s v="127.5394"/>
    <n v="181"/>
    <s v="Delivered"/>
    <n v="22.9"/>
    <n v="70.3"/>
    <s v="Detour"/>
    <n v="49"/>
    <n v="441"/>
    <n v="7"/>
    <s v="None"/>
    <n v="94.7"/>
    <n v="168"/>
    <n v="0"/>
    <x v="1"/>
  </r>
  <r>
    <d v="2024-05-14T13:25:22"/>
    <s v="Truck_6"/>
    <s v="-8.4586"/>
    <s v="44.4779"/>
    <n v="342"/>
    <s v="In Transit"/>
    <n v="22.6"/>
    <n v="55.5"/>
    <s v="Detour"/>
    <n v="35"/>
    <n v="119"/>
    <n v="3"/>
    <s v="None"/>
    <n v="73.900000000000006"/>
    <n v="199"/>
    <n v="0"/>
    <x v="1"/>
  </r>
  <r>
    <d v="2024-08-28T13:33:22"/>
    <s v="Truck_9"/>
    <s v="14.0092"/>
    <s v="-131.9758"/>
    <n v="376"/>
    <s v="Delayed"/>
    <n v="20.5"/>
    <n v="55.5"/>
    <s v="Clear"/>
    <n v="34"/>
    <n v="315"/>
    <n v="9"/>
    <s v="None"/>
    <n v="70.7"/>
    <n v="297"/>
    <n v="1"/>
    <x v="0"/>
  </r>
  <r>
    <d v="2024-02-21T02:51:08"/>
    <s v="Truck_4"/>
    <s v="3.6602"/>
    <s v="107.7790"/>
    <n v="464"/>
    <s v="In Transit"/>
    <n v="20.8"/>
    <n v="50.1"/>
    <s v="Heavy"/>
    <n v="16"/>
    <n v="441"/>
    <n v="7"/>
    <s v="None"/>
    <n v="91.1"/>
    <n v="240"/>
    <n v="1"/>
    <x v="1"/>
  </r>
  <r>
    <d v="2024-10-25T05:54:37"/>
    <s v="Truck_3"/>
    <s v="29.3420"/>
    <s v="-68.5682"/>
    <n v="452"/>
    <s v="In Transit"/>
    <n v="26.7"/>
    <n v="64.099999999999994"/>
    <s v="Clear"/>
    <n v="36"/>
    <n v="152"/>
    <n v="1"/>
    <s v="None"/>
    <n v="90.1"/>
    <n v="231"/>
    <n v="0"/>
    <x v="1"/>
  </r>
  <r>
    <d v="2024-07-18T23:30:52"/>
    <s v="Truck_9"/>
    <s v="-20.6524"/>
    <s v="-102.5762"/>
    <n v="228"/>
    <s v="Delivered"/>
    <n v="28.7"/>
    <n v="65"/>
    <s v="Heavy"/>
    <n v="26"/>
    <n v="271"/>
    <n v="3"/>
    <s v="Traffic"/>
    <n v="66"/>
    <n v="290"/>
    <n v="1"/>
    <x v="0"/>
  </r>
  <r>
    <d v="2024-02-28T23:27:53"/>
    <s v="Truck_10"/>
    <s v="-88.6960"/>
    <s v="117.3902"/>
    <n v="288"/>
    <s v="Delivered"/>
    <n v="27.1"/>
    <n v="69.400000000000006"/>
    <s v="Heavy"/>
    <n v="37"/>
    <n v="144"/>
    <n v="2"/>
    <s v="None"/>
    <n v="63.6"/>
    <n v="126"/>
    <n v="1"/>
    <x v="1"/>
  </r>
  <r>
    <d v="2024-07-13T15:41:00"/>
    <s v="Truck_10"/>
    <s v="-27.0315"/>
    <s v="40.2451"/>
    <n v="133"/>
    <s v="Delayed"/>
    <n v="18.600000000000001"/>
    <n v="79.400000000000006"/>
    <s v="Clear"/>
    <n v="14"/>
    <n v="314"/>
    <n v="10"/>
    <s v="Mechanical Failure"/>
    <n v="98.8"/>
    <n v="109"/>
    <n v="1"/>
    <x v="2"/>
  </r>
  <r>
    <d v="2024-06-21T04:12:55"/>
    <s v="Truck_6"/>
    <s v="25.5135"/>
    <s v="-147.3897"/>
    <n v="117"/>
    <s v="In Transit"/>
    <n v="29.7"/>
    <n v="63.7"/>
    <s v="Clear"/>
    <n v="17"/>
    <n v="159"/>
    <n v="8"/>
    <s v="None"/>
    <n v="77"/>
    <n v="106"/>
    <n v="0"/>
    <x v="2"/>
  </r>
  <r>
    <d v="2024-09-29T17:58:30"/>
    <s v="Truck_2"/>
    <s v="68.4014"/>
    <s v="-52.0862"/>
    <n v="428"/>
    <s v="Delayed"/>
    <n v="28.4"/>
    <n v="74.2"/>
    <s v="Clear"/>
    <n v="54"/>
    <n v="492"/>
    <n v="1"/>
    <s v="None"/>
    <n v="86.2"/>
    <n v="286"/>
    <n v="1"/>
    <x v="0"/>
  </r>
  <r>
    <d v="2024-06-05T07:32:41"/>
    <s v="Truck_8"/>
    <s v="-7.1543"/>
    <s v="-132.8372"/>
    <n v="381"/>
    <s v="Delivered"/>
    <n v="18"/>
    <n v="53"/>
    <s v="Clear"/>
    <n v="25"/>
    <n v="398"/>
    <n v="9"/>
    <s v="Weather"/>
    <n v="94.6"/>
    <n v="100"/>
    <n v="0"/>
    <x v="2"/>
  </r>
  <r>
    <d v="2024-12-19T21:28:31"/>
    <s v="Truck_9"/>
    <s v="-78.2763"/>
    <s v="151.3943"/>
    <n v="166"/>
    <s v="Delayed"/>
    <n v="22.5"/>
    <n v="53.8"/>
    <s v="Clear"/>
    <n v="57"/>
    <n v="442"/>
    <n v="6"/>
    <s v="Weather"/>
    <n v="72.099999999999994"/>
    <n v="284"/>
    <n v="1"/>
    <x v="1"/>
  </r>
  <r>
    <d v="2024-04-23T18:51:26"/>
    <s v="Truck_2"/>
    <s v="33.9665"/>
    <s v="-46.5423"/>
    <n v="225"/>
    <s v="In Transit"/>
    <n v="26.1"/>
    <n v="75.8"/>
    <s v="Heavy"/>
    <n v="41"/>
    <n v="286"/>
    <n v="3"/>
    <s v="Mechanical Failure"/>
    <n v="72.900000000000006"/>
    <n v="224"/>
    <n v="1"/>
    <x v="1"/>
  </r>
  <r>
    <d v="2024-02-17T20:09:25"/>
    <s v="Truck_2"/>
    <s v="-59.6899"/>
    <s v="143.0428"/>
    <n v="364"/>
    <s v="Delayed"/>
    <n v="18.8"/>
    <n v="68.2"/>
    <s v="Detour"/>
    <n v="41"/>
    <n v="373"/>
    <n v="1"/>
    <s v="Weather"/>
    <n v="88.7"/>
    <n v="215"/>
    <n v="1"/>
    <x v="1"/>
  </r>
  <r>
    <d v="2024-07-21T06:13:04"/>
    <s v="Truck_7"/>
    <s v="25.7047"/>
    <s v="150.6302"/>
    <n v="318"/>
    <s v="In Transit"/>
    <n v="25.3"/>
    <n v="74.599999999999994"/>
    <s v="Clear"/>
    <n v="32"/>
    <n v="486"/>
    <n v="9"/>
    <s v="Weather"/>
    <n v="68.099999999999994"/>
    <n v="277"/>
    <n v="0"/>
    <x v="1"/>
  </r>
  <r>
    <d v="2024-04-03T05:24:14"/>
    <s v="Truck_2"/>
    <s v="15.4009"/>
    <s v="52.3537"/>
    <n v="417"/>
    <s v="In Transit"/>
    <n v="20"/>
    <n v="61"/>
    <s v="Heavy"/>
    <n v="54"/>
    <n v="300"/>
    <n v="4"/>
    <s v="Traffic"/>
    <n v="74.5"/>
    <n v="156"/>
    <n v="1"/>
    <x v="1"/>
  </r>
  <r>
    <d v="2024-10-22T10:43:44"/>
    <s v="Truck_7"/>
    <s v="-86.7799"/>
    <s v="-102.1496"/>
    <n v="180"/>
    <s v="Delayed"/>
    <n v="18.5"/>
    <n v="52.1"/>
    <s v="Clear"/>
    <n v="10"/>
    <n v="182"/>
    <n v="5"/>
    <s v="Mechanical Failure"/>
    <n v="99"/>
    <n v="279"/>
    <n v="1"/>
    <x v="1"/>
  </r>
  <r>
    <d v="2024-04-28T12:38:55"/>
    <s v="Truck_8"/>
    <s v="40.3406"/>
    <s v="159.0723"/>
    <n v="134"/>
    <s v="Delayed"/>
    <n v="24.1"/>
    <n v="68.2"/>
    <s v="Heavy"/>
    <n v="35"/>
    <n v="187"/>
    <n v="6"/>
    <s v="Mechanical Failure"/>
    <n v="99.9"/>
    <n v="102"/>
    <n v="1"/>
    <x v="2"/>
  </r>
  <r>
    <d v="2024-09-28T12:11:17"/>
    <s v="Truck_8"/>
    <s v="40.4005"/>
    <s v="-149.1521"/>
    <n v="237"/>
    <s v="In Transit"/>
    <n v="28.1"/>
    <n v="75.5"/>
    <s v="Detour"/>
    <n v="18"/>
    <n v="349"/>
    <n v="2"/>
    <s v="Weather"/>
    <n v="90.5"/>
    <n v="189"/>
    <n v="0"/>
    <x v="1"/>
  </r>
  <r>
    <d v="2024-09-09T11:51:15"/>
    <s v="Truck_5"/>
    <s v="-85.1352"/>
    <s v="73.2511"/>
    <n v="259"/>
    <s v="Delayed"/>
    <n v="26.6"/>
    <n v="53"/>
    <s v="Clear"/>
    <n v="28"/>
    <n v="118"/>
    <n v="4"/>
    <s v="Traffic"/>
    <n v="60.2"/>
    <n v="249"/>
    <n v="1"/>
    <x v="1"/>
  </r>
  <r>
    <d v="2024-10-02T21:49:15"/>
    <s v="Truck_3"/>
    <s v="-1.2800"/>
    <s v="1.0168"/>
    <n v="463"/>
    <s v="In Transit"/>
    <n v="19.8"/>
    <n v="54.5"/>
    <s v="Heavy"/>
    <n v="12"/>
    <n v="408"/>
    <n v="8"/>
    <s v="Traffic"/>
    <n v="71.2"/>
    <n v="229"/>
    <n v="1"/>
    <x v="1"/>
  </r>
  <r>
    <d v="2024-05-05T05:42:10"/>
    <s v="Truck_10"/>
    <s v="45.2617"/>
    <s v="-152.3952"/>
    <n v="290"/>
    <s v="Delivered"/>
    <n v="23.7"/>
    <n v="53.5"/>
    <s v="Detour"/>
    <n v="44"/>
    <n v="237"/>
    <n v="5"/>
    <s v="Mechanical Failure"/>
    <n v="85.8"/>
    <n v="270"/>
    <n v="0"/>
    <x v="1"/>
  </r>
  <r>
    <d v="2024-05-21T02:33:29"/>
    <s v="Truck_8"/>
    <s v="-14.7713"/>
    <s v="-117.3565"/>
    <n v="345"/>
    <s v="Delayed"/>
    <n v="21.3"/>
    <n v="53.6"/>
    <s v="Clear"/>
    <n v="35"/>
    <n v="388"/>
    <n v="4"/>
    <s v="Weather"/>
    <n v="83.5"/>
    <n v="159"/>
    <n v="1"/>
    <x v="1"/>
  </r>
  <r>
    <d v="2024-03-15T22:19:21"/>
    <s v="Truck_6"/>
    <s v="51.4225"/>
    <s v="112.3362"/>
    <n v="165"/>
    <s v="Delayed"/>
    <n v="25.6"/>
    <n v="61.7"/>
    <s v="Detour"/>
    <n v="50"/>
    <n v="149"/>
    <n v="10"/>
    <s v="Traffic"/>
    <n v="62.6"/>
    <n v="252"/>
    <n v="1"/>
    <x v="1"/>
  </r>
  <r>
    <d v="2024-02-07T19:45:50"/>
    <s v="Truck_3"/>
    <s v="-15.2991"/>
    <s v="-95.0112"/>
    <n v="259"/>
    <s v="In Transit"/>
    <n v="27"/>
    <n v="79.7"/>
    <s v="Heavy"/>
    <n v="15"/>
    <n v="167"/>
    <n v="9"/>
    <s v="Traffic"/>
    <n v="88.6"/>
    <n v="147"/>
    <n v="1"/>
    <x v="1"/>
  </r>
  <r>
    <d v="2024-05-11T05:18:46"/>
    <s v="Truck_7"/>
    <s v="86.6678"/>
    <s v="-139.6955"/>
    <n v="330"/>
    <s v="Delivered"/>
    <n v="26.9"/>
    <n v="62.9"/>
    <s v="Detour"/>
    <n v="47"/>
    <n v="382"/>
    <n v="6"/>
    <s v="Weather"/>
    <n v="90.3"/>
    <n v="115"/>
    <n v="0"/>
    <x v="2"/>
  </r>
  <r>
    <d v="2024-01-31T05:31:37"/>
    <s v="Truck_5"/>
    <s v="44.5442"/>
    <s v="-73.4346"/>
    <n v="467"/>
    <s v="Delivered"/>
    <n v="19.3"/>
    <n v="62.1"/>
    <s v="Detour"/>
    <n v="39"/>
    <n v="180"/>
    <n v="8"/>
    <s v="Mechanical Failure"/>
    <n v="63.8"/>
    <n v="145"/>
    <n v="0"/>
    <x v="1"/>
  </r>
  <r>
    <d v="2024-11-01T01:28:08"/>
    <s v="Truck_3"/>
    <s v="-48.4503"/>
    <s v="-99.9978"/>
    <n v="329"/>
    <s v="In Transit"/>
    <n v="26.7"/>
    <n v="56.2"/>
    <s v="Detour"/>
    <n v="16"/>
    <n v="261"/>
    <n v="9"/>
    <s v="Traffic"/>
    <n v="90.7"/>
    <n v="104"/>
    <n v="0"/>
    <x v="2"/>
  </r>
  <r>
    <d v="2024-03-03T04:17:01"/>
    <s v="Truck_9"/>
    <s v="-37.3934"/>
    <s v="31.4093"/>
    <n v="122"/>
    <s v="Delivered"/>
    <n v="22.9"/>
    <n v="64"/>
    <s v="Heavy"/>
    <n v="24"/>
    <n v="409"/>
    <n v="5"/>
    <s v="Mechanical Failure"/>
    <n v="99.7"/>
    <n v="184"/>
    <n v="1"/>
    <x v="1"/>
  </r>
  <r>
    <d v="2024-03-09T00:10:34"/>
    <s v="Truck_3"/>
    <s v="34.0712"/>
    <s v="123.0237"/>
    <n v="146"/>
    <s v="In Transit"/>
    <n v="24.2"/>
    <n v="69.099999999999994"/>
    <s v="Clear"/>
    <n v="58"/>
    <n v="301"/>
    <n v="2"/>
    <s v="None"/>
    <n v="82"/>
    <n v="238"/>
    <n v="0"/>
    <x v="1"/>
  </r>
  <r>
    <d v="2024-04-17T17:28:32"/>
    <s v="Truck_10"/>
    <s v="-21.5633"/>
    <s v="-12.8487"/>
    <n v="419"/>
    <s v="Delivered"/>
    <n v="26.1"/>
    <n v="62"/>
    <s v="Heavy"/>
    <n v="19"/>
    <n v="484"/>
    <n v="8"/>
    <s v="None"/>
    <n v="96.4"/>
    <n v="262"/>
    <n v="1"/>
    <x v="1"/>
  </r>
  <r>
    <d v="2024-09-21T10:33:05"/>
    <s v="Truck_7"/>
    <s v="-33.3756"/>
    <s v="7.8261"/>
    <n v="143"/>
    <s v="In Transit"/>
    <n v="20.100000000000001"/>
    <n v="57"/>
    <s v="Detour"/>
    <n v="41"/>
    <n v="143"/>
    <n v="9"/>
    <s v="None"/>
    <n v="62.1"/>
    <n v="106"/>
    <n v="0"/>
    <x v="2"/>
  </r>
  <r>
    <d v="2024-02-11T10:31:50"/>
    <s v="Truck_10"/>
    <s v="-61.8490"/>
    <s v="-123.7835"/>
    <n v="445"/>
    <s v="Delivered"/>
    <n v="19.8"/>
    <n v="54.1"/>
    <s v="Clear"/>
    <n v="39"/>
    <n v="375"/>
    <n v="2"/>
    <s v="Weather"/>
    <n v="88.3"/>
    <n v="247"/>
    <n v="0"/>
    <x v="1"/>
  </r>
  <r>
    <d v="2024-06-15T11:59:39"/>
    <s v="Truck_5"/>
    <s v="88.5686"/>
    <s v="-161.7382"/>
    <n v="450"/>
    <s v="Delayed"/>
    <n v="18.7"/>
    <n v="56.4"/>
    <s v="Detour"/>
    <n v="12"/>
    <n v="140"/>
    <n v="8"/>
    <s v="Mechanical Failure"/>
    <n v="61.9"/>
    <n v="160"/>
    <n v="1"/>
    <x v="1"/>
  </r>
  <r>
    <d v="2024-08-09T03:00:34"/>
    <s v="Truck_2"/>
    <s v="-69.4080"/>
    <s v="-8.1703"/>
    <n v="451"/>
    <s v="Delivered"/>
    <n v="22.5"/>
    <n v="51.6"/>
    <s v="Detour"/>
    <n v="28"/>
    <n v="421"/>
    <n v="6"/>
    <s v="None"/>
    <n v="68.8"/>
    <n v="107"/>
    <n v="0"/>
    <x v="2"/>
  </r>
  <r>
    <d v="2024-07-22T00:56:20"/>
    <s v="Truck_4"/>
    <s v="-49.1524"/>
    <s v="14.1164"/>
    <n v="425"/>
    <s v="Delayed"/>
    <n v="22.4"/>
    <n v="65.900000000000006"/>
    <s v="Clear"/>
    <n v="30"/>
    <n v="452"/>
    <n v="10"/>
    <s v="Traffic"/>
    <n v="91.4"/>
    <n v="163"/>
    <n v="1"/>
    <x v="1"/>
  </r>
  <r>
    <d v="2024-08-17T07:37:02"/>
    <s v="Truck_8"/>
    <s v="27.7870"/>
    <s v="8.2288"/>
    <n v="235"/>
    <s v="Delivered"/>
    <n v="25.8"/>
    <n v="62.6"/>
    <s v="Heavy"/>
    <n v="51"/>
    <n v="171"/>
    <n v="6"/>
    <s v="Mechanical Failure"/>
    <n v="87.5"/>
    <n v="207"/>
    <n v="1"/>
    <x v="1"/>
  </r>
  <r>
    <d v="2024-12-11T23:47:30"/>
    <s v="Truck_7"/>
    <s v="-13.8485"/>
    <s v="119.2071"/>
    <n v="181"/>
    <s v="In Transit"/>
    <n v="29.7"/>
    <n v="51.8"/>
    <s v="Clear"/>
    <n v="38"/>
    <n v="388"/>
    <n v="10"/>
    <s v="None"/>
    <n v="92.4"/>
    <n v="292"/>
    <n v="0"/>
    <x v="0"/>
  </r>
  <r>
    <d v="2024-09-12T00:06:39"/>
    <s v="Truck_3"/>
    <s v="25.5003"/>
    <s v="-47.5718"/>
    <n v="370"/>
    <s v="Delivered"/>
    <n v="23.5"/>
    <n v="74.400000000000006"/>
    <s v="Heavy"/>
    <n v="60"/>
    <n v="105"/>
    <n v="1"/>
    <s v="None"/>
    <n v="99.5"/>
    <n v="128"/>
    <n v="1"/>
    <x v="1"/>
  </r>
  <r>
    <d v="2024-07-08T14:07:29"/>
    <s v="Truck_3"/>
    <s v="69.4106"/>
    <s v="61.7368"/>
    <n v="102"/>
    <s v="Delayed"/>
    <n v="25.6"/>
    <n v="76"/>
    <s v="Heavy"/>
    <n v="50"/>
    <n v="444"/>
    <n v="9"/>
    <s v="Traffic"/>
    <n v="88.3"/>
    <n v="105"/>
    <n v="1"/>
    <x v="2"/>
  </r>
  <r>
    <d v="2024-03-06T13:14:35"/>
    <s v="Truck_3"/>
    <s v="-6.8964"/>
    <s v="-35.5418"/>
    <n v="200"/>
    <s v="Delivered"/>
    <n v="18.5"/>
    <n v="77.7"/>
    <s v="Detour"/>
    <n v="24"/>
    <n v="158"/>
    <n v="4"/>
    <s v="None"/>
    <n v="82.5"/>
    <n v="234"/>
    <n v="0"/>
    <x v="1"/>
  </r>
  <r>
    <d v="2024-10-30T04:55:27"/>
    <s v="Truck_6"/>
    <s v="-0.1148"/>
    <s v="-127.6784"/>
    <n v="292"/>
    <s v="In Transit"/>
    <n v="23.2"/>
    <n v="68.099999999999994"/>
    <s v="Heavy"/>
    <n v="41"/>
    <n v="440"/>
    <n v="10"/>
    <s v="Mechanical Failure"/>
    <n v="88.9"/>
    <n v="160"/>
    <n v="1"/>
    <x v="1"/>
  </r>
  <r>
    <d v="2024-10-07T10:54:40"/>
    <s v="Truck_5"/>
    <s v="-41.4279"/>
    <s v="178.8694"/>
    <n v="401"/>
    <s v="In Transit"/>
    <n v="28.2"/>
    <n v="51"/>
    <s v="Clear"/>
    <n v="51"/>
    <n v="327"/>
    <n v="3"/>
    <s v="None"/>
    <n v="85.6"/>
    <n v="138"/>
    <n v="0"/>
    <x v="1"/>
  </r>
  <r>
    <d v="2024-06-06T22:52:41"/>
    <s v="Truck_3"/>
    <s v="-0.9333"/>
    <s v="124.8495"/>
    <n v="305"/>
    <s v="Delayed"/>
    <n v="27.4"/>
    <n v="50.8"/>
    <s v="Clear"/>
    <n v="34"/>
    <n v="474"/>
    <n v="1"/>
    <s v="Mechanical Failure"/>
    <n v="82"/>
    <n v="226"/>
    <n v="1"/>
    <x v="1"/>
  </r>
  <r>
    <d v="2024-04-20T00:14:34"/>
    <s v="Truck_3"/>
    <s v="-58.2175"/>
    <s v="7.2699"/>
    <n v="441"/>
    <s v="In Transit"/>
    <n v="25"/>
    <n v="75.400000000000006"/>
    <s v="Heavy"/>
    <n v="58"/>
    <n v="149"/>
    <n v="10"/>
    <s v="Traffic"/>
    <n v="61.3"/>
    <n v="247"/>
    <n v="1"/>
    <x v="1"/>
  </r>
  <r>
    <d v="2024-08-02T00:10:54"/>
    <s v="Truck_2"/>
    <s v="83.3287"/>
    <s v="-84.2738"/>
    <n v="130"/>
    <s v="Delayed"/>
    <n v="18.7"/>
    <n v="67.2"/>
    <s v="Clear"/>
    <n v="47"/>
    <n v="367"/>
    <n v="1"/>
    <s v="Traffic"/>
    <n v="81.7"/>
    <n v="131"/>
    <n v="1"/>
    <x v="1"/>
  </r>
  <r>
    <d v="2024-10-03T02:54:03"/>
    <s v="Truck_6"/>
    <s v="-33.2637"/>
    <s v="45.4122"/>
    <n v="265"/>
    <s v="In Transit"/>
    <n v="23.4"/>
    <n v="56.1"/>
    <s v="Detour"/>
    <n v="34"/>
    <n v="406"/>
    <n v="6"/>
    <s v="Mechanical Failure"/>
    <n v="95"/>
    <n v="133"/>
    <n v="0"/>
    <x v="1"/>
  </r>
  <r>
    <d v="2024-09-23T22:37:49"/>
    <s v="Truck_1"/>
    <s v="74.3356"/>
    <s v="112.5528"/>
    <n v="426"/>
    <s v="Delivered"/>
    <n v="26.3"/>
    <n v="77.7"/>
    <s v="Detour"/>
    <n v="58"/>
    <n v="373"/>
    <n v="6"/>
    <s v="Traffic"/>
    <n v="93"/>
    <n v="125"/>
    <n v="0"/>
    <x v="2"/>
  </r>
  <r>
    <d v="2024-02-17T16:11:22"/>
    <s v="Truck_6"/>
    <s v="-53.3015"/>
    <s v="11.4861"/>
    <n v="432"/>
    <s v="In Transit"/>
    <n v="28"/>
    <n v="65.2"/>
    <s v="Heavy"/>
    <n v="35"/>
    <n v="499"/>
    <n v="8"/>
    <s v="Weather"/>
    <n v="97.4"/>
    <n v="110"/>
    <n v="1"/>
    <x v="2"/>
  </r>
  <r>
    <d v="2024-11-23T04:40:26"/>
    <s v="Truck_2"/>
    <s v="-22.5519"/>
    <s v="60.7110"/>
    <n v="406"/>
    <s v="Delayed"/>
    <n v="20.9"/>
    <n v="76.400000000000006"/>
    <s v="Detour"/>
    <n v="57"/>
    <n v="160"/>
    <n v="9"/>
    <s v="None"/>
    <n v="73.3"/>
    <n v="120"/>
    <n v="1"/>
    <x v="2"/>
  </r>
  <r>
    <d v="2024-01-11T20:19:14"/>
    <s v="Truck_10"/>
    <s v="61.6970"/>
    <s v="164.5493"/>
    <n v="410"/>
    <s v="In Transit"/>
    <n v="24.5"/>
    <n v="62.4"/>
    <s v="Clear"/>
    <n v="40"/>
    <n v="172"/>
    <n v="5"/>
    <s v="None"/>
    <n v="86.2"/>
    <n v="225"/>
    <n v="0"/>
    <x v="1"/>
  </r>
  <r>
    <d v="2024-10-28T02:17:22"/>
    <s v="Truck_5"/>
    <s v="-75.2867"/>
    <s v="-163.4000"/>
    <n v="155"/>
    <s v="In Transit"/>
    <n v="22.6"/>
    <n v="77.099999999999994"/>
    <s v="Detour"/>
    <n v="13"/>
    <n v="196"/>
    <n v="7"/>
    <s v="None"/>
    <n v="83.2"/>
    <n v="168"/>
    <n v="0"/>
    <x v="1"/>
  </r>
  <r>
    <d v="2024-12-26T05:05:12"/>
    <s v="Truck_3"/>
    <s v="87.1386"/>
    <s v="-114.9680"/>
    <n v="397"/>
    <s v="Delivered"/>
    <n v="23.7"/>
    <n v="73.5"/>
    <s v="Detour"/>
    <n v="31"/>
    <n v="266"/>
    <n v="1"/>
    <s v="Mechanical Failure"/>
    <n v="92.8"/>
    <n v="265"/>
    <n v="0"/>
    <x v="1"/>
  </r>
  <r>
    <d v="2024-03-28T10:24:32"/>
    <s v="Truck_5"/>
    <s v="51.2486"/>
    <s v="-41.4882"/>
    <n v="305"/>
    <s v="Delivered"/>
    <n v="28"/>
    <n v="67.8"/>
    <s v="Detour"/>
    <n v="13"/>
    <n v="455"/>
    <n v="2"/>
    <s v="Weather"/>
    <n v="80.8"/>
    <n v="147"/>
    <n v="0"/>
    <x v="1"/>
  </r>
  <r>
    <d v="2024-04-16T02:44:43"/>
    <s v="Truck_2"/>
    <s v="-19.8201"/>
    <s v="2.4374"/>
    <n v="343"/>
    <s v="Delayed"/>
    <n v="26.2"/>
    <n v="62.4"/>
    <s v="Detour"/>
    <n v="18"/>
    <n v="166"/>
    <n v="7"/>
    <s v="Weather"/>
    <n v="62.3"/>
    <n v="168"/>
    <n v="1"/>
    <x v="1"/>
  </r>
  <r>
    <d v="2024-12-08T06:15:28"/>
    <s v="Truck_6"/>
    <s v="-13.5610"/>
    <s v="-52.5469"/>
    <n v="342"/>
    <s v="In Transit"/>
    <n v="27.6"/>
    <n v="71.900000000000006"/>
    <s v="Detour"/>
    <n v="24"/>
    <n v="216"/>
    <n v="2"/>
    <s v="Traffic"/>
    <n v="67.5"/>
    <n v="225"/>
    <n v="0"/>
    <x v="1"/>
  </r>
  <r>
    <d v="2024-09-05T17:43:56"/>
    <s v="Truck_3"/>
    <s v="51.4883"/>
    <s v="105.7445"/>
    <n v="347"/>
    <s v="In Transit"/>
    <n v="29.1"/>
    <n v="80"/>
    <s v="Heavy"/>
    <n v="25"/>
    <n v="256"/>
    <n v="3"/>
    <s v="Mechanical Failure"/>
    <n v="69.599999999999994"/>
    <n v="274"/>
    <n v="1"/>
    <x v="1"/>
  </r>
  <r>
    <d v="2024-02-02T22:24:18"/>
    <s v="Truck_3"/>
    <s v="21.5738"/>
    <s v="-95.1501"/>
    <n v="403"/>
    <s v="Delivered"/>
    <n v="29.5"/>
    <n v="76.599999999999994"/>
    <s v="Heavy"/>
    <n v="36"/>
    <n v="379"/>
    <n v="2"/>
    <s v="Mechanical Failure"/>
    <n v="66.7"/>
    <n v="242"/>
    <n v="1"/>
    <x v="1"/>
  </r>
  <r>
    <d v="2024-04-30T18:44:12"/>
    <s v="Truck_9"/>
    <s v="-31.8174"/>
    <s v="59.5716"/>
    <n v="482"/>
    <s v="Delayed"/>
    <n v="18.100000000000001"/>
    <n v="76.099999999999994"/>
    <s v="Heavy"/>
    <n v="54"/>
    <n v="203"/>
    <n v="10"/>
    <s v="Traffic"/>
    <n v="74.099999999999994"/>
    <n v="112"/>
    <n v="1"/>
    <x v="2"/>
  </r>
  <r>
    <d v="2024-05-01T03:13:17"/>
    <s v="Truck_3"/>
    <s v="-76.0304"/>
    <s v="112.9276"/>
    <n v="130"/>
    <s v="Delivered"/>
    <n v="21.6"/>
    <n v="60.9"/>
    <s v="Clear"/>
    <n v="48"/>
    <n v="479"/>
    <n v="8"/>
    <s v="Traffic"/>
    <n v="83.3"/>
    <n v="173"/>
    <n v="0"/>
    <x v="1"/>
  </r>
  <r>
    <d v="2024-01-10T20:02:28"/>
    <s v="Truck_1"/>
    <s v="47.5481"/>
    <s v="-97.4831"/>
    <n v="465"/>
    <s v="Delayed"/>
    <n v="24"/>
    <n v="72.400000000000006"/>
    <s v="Heavy"/>
    <n v="48"/>
    <n v="112"/>
    <n v="8"/>
    <s v="None"/>
    <n v="97.1"/>
    <n v="212"/>
    <n v="1"/>
    <x v="1"/>
  </r>
  <r>
    <d v="2024-10-21T11:15:32"/>
    <s v="Truck_2"/>
    <s v="77.8751"/>
    <s v="144.0400"/>
    <n v="322"/>
    <s v="Delayed"/>
    <n v="26.1"/>
    <n v="71.900000000000006"/>
    <s v="Detour"/>
    <n v="45"/>
    <n v="339"/>
    <n v="8"/>
    <s v="Weather"/>
    <n v="97.6"/>
    <n v="145"/>
    <n v="1"/>
    <x v="1"/>
  </r>
  <r>
    <d v="2024-11-25T02:58:57"/>
    <s v="Truck_1"/>
    <s v="-56.6674"/>
    <s v="-50.0426"/>
    <n v="126"/>
    <s v="Delivered"/>
    <n v="20.3"/>
    <n v="51.2"/>
    <s v="Detour"/>
    <n v="53"/>
    <n v="486"/>
    <n v="7"/>
    <s v="Mechanical Failure"/>
    <n v="97.5"/>
    <n v="129"/>
    <n v="0"/>
    <x v="1"/>
  </r>
  <r>
    <d v="2024-12-20T08:01:23"/>
    <s v="Truck_3"/>
    <s v="62.0999"/>
    <s v="-9.5972"/>
    <n v="142"/>
    <s v="In Transit"/>
    <n v="22.7"/>
    <n v="66.099999999999994"/>
    <s v="Detour"/>
    <n v="59"/>
    <n v="343"/>
    <n v="6"/>
    <s v="Mechanical Failure"/>
    <n v="86.7"/>
    <n v="256"/>
    <n v="0"/>
    <x v="1"/>
  </r>
  <r>
    <d v="2024-06-29T19:07:17"/>
    <s v="Truck_9"/>
    <s v="57.9908"/>
    <s v="-117.5288"/>
    <n v="444"/>
    <s v="Delivered"/>
    <n v="21.6"/>
    <n v="53.2"/>
    <s v="Detour"/>
    <n v="16"/>
    <n v="113"/>
    <n v="2"/>
    <s v="Traffic"/>
    <n v="96.1"/>
    <n v="181"/>
    <n v="0"/>
    <x v="1"/>
  </r>
  <r>
    <d v="2024-12-13T18:57:55"/>
    <s v="Truck_2"/>
    <s v="73.1274"/>
    <s v="-63.9399"/>
    <n v="100"/>
    <s v="Delivered"/>
    <n v="22.4"/>
    <n v="71.599999999999994"/>
    <s v="Detour"/>
    <n v="22"/>
    <n v="389"/>
    <n v="4"/>
    <s v="Traffic"/>
    <n v="73.400000000000006"/>
    <n v="159"/>
    <n v="0"/>
    <x v="1"/>
  </r>
  <r>
    <d v="2024-11-20T05:25:19"/>
    <s v="Truck_3"/>
    <s v="-28.6949"/>
    <s v="-110.5161"/>
    <n v="227"/>
    <s v="In Transit"/>
    <n v="22.6"/>
    <n v="58.5"/>
    <s v="Detour"/>
    <n v="24"/>
    <n v="477"/>
    <n v="10"/>
    <s v="Weather"/>
    <n v="89"/>
    <n v="139"/>
    <n v="0"/>
    <x v="1"/>
  </r>
  <r>
    <d v="2024-06-29T09:51:14"/>
    <s v="Truck_3"/>
    <s v="-28.9152"/>
    <s v="114.3750"/>
    <n v="416"/>
    <s v="Delivered"/>
    <n v="20.7"/>
    <n v="69.099999999999994"/>
    <s v="Detour"/>
    <n v="32"/>
    <n v="139"/>
    <n v="6"/>
    <s v="Mechanical Failure"/>
    <n v="91.7"/>
    <n v="221"/>
    <n v="0"/>
    <x v="1"/>
  </r>
  <r>
    <d v="2024-12-22T23:33:57"/>
    <s v="Truck_3"/>
    <s v="83.9488"/>
    <s v="131.1197"/>
    <n v="499"/>
    <s v="Delayed"/>
    <n v="25.8"/>
    <n v="64"/>
    <s v="Detour"/>
    <n v="46"/>
    <n v="295"/>
    <n v="6"/>
    <s v="Traffic"/>
    <n v="87.6"/>
    <n v="160"/>
    <n v="1"/>
    <x v="1"/>
  </r>
  <r>
    <d v="2024-06-23T22:08:31"/>
    <s v="Truck_6"/>
    <s v="52.1635"/>
    <s v="10.8296"/>
    <n v="328"/>
    <s v="Delivered"/>
    <n v="29.8"/>
    <n v="53.5"/>
    <s v="Clear"/>
    <n v="54"/>
    <n v="144"/>
    <n v="6"/>
    <s v="Weather"/>
    <n v="78"/>
    <n v="158"/>
    <n v="0"/>
    <x v="1"/>
  </r>
  <r>
    <d v="2024-03-29T05:14:26"/>
    <s v="Truck_1"/>
    <s v="36.5185"/>
    <s v="-71.9718"/>
    <n v="324"/>
    <s v="Delivered"/>
    <n v="28.2"/>
    <n v="56.8"/>
    <s v="Heavy"/>
    <n v="10"/>
    <n v="249"/>
    <n v="7"/>
    <s v="None"/>
    <n v="76.7"/>
    <n v="298"/>
    <n v="1"/>
    <x v="0"/>
  </r>
  <r>
    <d v="2024-04-03T14:11:16"/>
    <s v="Truck_5"/>
    <s v="-10.8232"/>
    <s v="144.0982"/>
    <n v="401"/>
    <s v="In Transit"/>
    <n v="26.3"/>
    <n v="59.4"/>
    <s v="Heavy"/>
    <n v="30"/>
    <n v="268"/>
    <n v="7"/>
    <s v="None"/>
    <n v="67.599999999999994"/>
    <n v="225"/>
    <n v="1"/>
    <x v="1"/>
  </r>
  <r>
    <d v="2024-12-15T14:02:28"/>
    <s v="Truck_1"/>
    <s v="-37.9195"/>
    <s v="-99.3768"/>
    <n v="182"/>
    <s v="Delayed"/>
    <n v="22.9"/>
    <n v="54.4"/>
    <s v="Detour"/>
    <n v="50"/>
    <n v="135"/>
    <n v="3"/>
    <s v="None"/>
    <n v="98.4"/>
    <n v="268"/>
    <n v="1"/>
    <x v="1"/>
  </r>
  <r>
    <d v="2024-08-06T13:23:18"/>
    <s v="Truck_6"/>
    <s v="-7.2984"/>
    <s v="-44.5918"/>
    <n v="264"/>
    <s v="Delivered"/>
    <n v="29.5"/>
    <n v="67.3"/>
    <s v="Heavy"/>
    <n v="32"/>
    <n v="314"/>
    <n v="8"/>
    <s v="Traffic"/>
    <n v="65.900000000000006"/>
    <n v="202"/>
    <n v="1"/>
    <x v="1"/>
  </r>
  <r>
    <d v="2024-03-14T02:35:33"/>
    <s v="Truck_8"/>
    <s v="13.6845"/>
    <s v="-126.4199"/>
    <n v="293"/>
    <s v="Delivered"/>
    <n v="23.8"/>
    <n v="62.8"/>
    <s v="Detour"/>
    <n v="19"/>
    <n v="135"/>
    <n v="1"/>
    <s v="Mechanical Failure"/>
    <n v="98.8"/>
    <n v="291"/>
    <n v="0"/>
    <x v="0"/>
  </r>
  <r>
    <d v="2024-08-27T00:34:46"/>
    <s v="Truck_10"/>
    <s v="-70.6428"/>
    <s v="166.3723"/>
    <n v="343"/>
    <s v="In Transit"/>
    <n v="29.5"/>
    <n v="59.8"/>
    <s v="Detour"/>
    <n v="35"/>
    <n v="294"/>
    <n v="8"/>
    <s v="None"/>
    <n v="73.7"/>
    <n v="256"/>
    <n v="0"/>
    <x v="1"/>
  </r>
  <r>
    <d v="2024-04-24T20:50:47"/>
    <s v="Truck_4"/>
    <s v="-19.3929"/>
    <s v="-10.2537"/>
    <n v="103"/>
    <s v="In Transit"/>
    <n v="24.8"/>
    <n v="79.3"/>
    <s v="Heavy"/>
    <n v="22"/>
    <n v="393"/>
    <n v="9"/>
    <s v="Weather"/>
    <n v="88.6"/>
    <n v="108"/>
    <n v="1"/>
    <x v="2"/>
  </r>
  <r>
    <d v="2024-09-09T21:41:33"/>
    <s v="Truck_9"/>
    <s v="-32.5141"/>
    <s v="-170.9566"/>
    <n v="295"/>
    <s v="Delivered"/>
    <n v="23.6"/>
    <n v="72.8"/>
    <s v="Detour"/>
    <n v="18"/>
    <n v="327"/>
    <n v="5"/>
    <s v="None"/>
    <n v="92.1"/>
    <n v="283"/>
    <n v="0"/>
    <x v="1"/>
  </r>
  <r>
    <d v="2024-06-20T13:57:57"/>
    <s v="Truck_10"/>
    <s v="59.3783"/>
    <s v="74.9628"/>
    <n v="300"/>
    <s v="Delivered"/>
    <n v="27.4"/>
    <n v="52.8"/>
    <s v="Detour"/>
    <n v="35"/>
    <n v="431"/>
    <n v="10"/>
    <s v="None"/>
    <n v="81.2"/>
    <n v="120"/>
    <n v="0"/>
    <x v="2"/>
  </r>
  <r>
    <d v="2024-06-02T10:54:33"/>
    <s v="Truck_7"/>
    <s v="-36.2517"/>
    <s v="72.4728"/>
    <n v="108"/>
    <s v="Delivered"/>
    <n v="27.9"/>
    <n v="65.599999999999994"/>
    <s v="Heavy"/>
    <n v="46"/>
    <n v="138"/>
    <n v="4"/>
    <s v="Traffic"/>
    <n v="82.7"/>
    <n v="173"/>
    <n v="1"/>
    <x v="1"/>
  </r>
  <r>
    <d v="2024-07-09T23:21:47"/>
    <s v="Truck_8"/>
    <s v="-55.9854"/>
    <s v="-149.8958"/>
    <n v="153"/>
    <s v="Delayed"/>
    <n v="27.5"/>
    <n v="69.900000000000006"/>
    <s v="Detour"/>
    <n v="24"/>
    <n v="118"/>
    <n v="7"/>
    <s v="Weather"/>
    <n v="62.5"/>
    <n v="237"/>
    <n v="1"/>
    <x v="1"/>
  </r>
  <r>
    <d v="2024-07-03T09:52:55"/>
    <s v="Truck_8"/>
    <s v="27.3259"/>
    <s v="-116.2066"/>
    <n v="336"/>
    <s v="In Transit"/>
    <n v="22.5"/>
    <n v="51.6"/>
    <s v="Detour"/>
    <n v="11"/>
    <n v="446"/>
    <n v="6"/>
    <s v="None"/>
    <n v="70.2"/>
    <n v="275"/>
    <n v="0"/>
    <x v="1"/>
  </r>
  <r>
    <d v="2024-12-09T20:35:02"/>
    <s v="Truck_9"/>
    <s v="27.7357"/>
    <s v="-170.5766"/>
    <n v="211"/>
    <s v="Delayed"/>
    <n v="21.7"/>
    <n v="52.3"/>
    <s v="Detour"/>
    <n v="11"/>
    <n v="401"/>
    <n v="9"/>
    <s v="None"/>
    <n v="66.2"/>
    <n v="241"/>
    <n v="1"/>
    <x v="1"/>
  </r>
  <r>
    <d v="2024-03-14T00:55:34"/>
    <s v="Truck_4"/>
    <s v="23.2023"/>
    <s v="92.2763"/>
    <n v="144"/>
    <s v="Delivered"/>
    <n v="21.1"/>
    <n v="58.8"/>
    <s v="Clear"/>
    <n v="35"/>
    <n v="443"/>
    <n v="10"/>
    <s v="Mechanical Failure"/>
    <n v="89"/>
    <n v="141"/>
    <n v="0"/>
    <x v="1"/>
  </r>
  <r>
    <d v="2024-05-28T06:29:51"/>
    <s v="Truck_10"/>
    <s v="87.5129"/>
    <s v="-65.0922"/>
    <n v="224"/>
    <s v="Delayed"/>
    <n v="21.7"/>
    <n v="78.5"/>
    <s v="Clear"/>
    <n v="20"/>
    <n v="428"/>
    <n v="7"/>
    <s v="None"/>
    <n v="72.400000000000006"/>
    <n v="287"/>
    <n v="1"/>
    <x v="0"/>
  </r>
  <r>
    <d v="2024-11-22T23:49:18"/>
    <s v="Truck_9"/>
    <s v="81.1975"/>
    <s v="137.0497"/>
    <n v="185"/>
    <s v="In Transit"/>
    <n v="19.899999999999999"/>
    <n v="66.3"/>
    <s v="Detour"/>
    <n v="59"/>
    <n v="264"/>
    <n v="4"/>
    <s v="None"/>
    <n v="65.2"/>
    <n v="177"/>
    <n v="0"/>
    <x v="1"/>
  </r>
  <r>
    <d v="2024-04-21T03:47:52"/>
    <s v="Truck_4"/>
    <s v="55.9190"/>
    <s v="-39.5780"/>
    <n v="220"/>
    <s v="In Transit"/>
    <n v="28.2"/>
    <n v="55.4"/>
    <s v="Clear"/>
    <n v="10"/>
    <n v="203"/>
    <n v="8"/>
    <s v="Weather"/>
    <n v="81.099999999999994"/>
    <n v="281"/>
    <n v="0"/>
    <x v="1"/>
  </r>
  <r>
    <d v="2024-03-15T07:02:10"/>
    <s v="Truck_5"/>
    <s v="-15.3314"/>
    <s v="22.3970"/>
    <n v="236"/>
    <s v="In Transit"/>
    <n v="18.3"/>
    <n v="69"/>
    <s v="Clear"/>
    <n v="34"/>
    <n v="303"/>
    <n v="2"/>
    <s v="Mechanical Failure"/>
    <n v="62.6"/>
    <n v="270"/>
    <n v="0"/>
    <x v="1"/>
  </r>
  <r>
    <d v="2024-03-22T14:12:36"/>
    <s v="Truck_10"/>
    <s v="-55.3603"/>
    <s v="79.1276"/>
    <n v="159"/>
    <s v="Delayed"/>
    <n v="29.7"/>
    <n v="69.599999999999994"/>
    <s v="Clear"/>
    <n v="49"/>
    <n v="227"/>
    <n v="1"/>
    <s v="None"/>
    <n v="62"/>
    <n v="232"/>
    <n v="1"/>
    <x v="1"/>
  </r>
  <r>
    <d v="2024-09-18T16:35:57"/>
    <s v="Truck_6"/>
    <s v="8.3934"/>
    <s v="-165.2068"/>
    <n v="433"/>
    <s v="Delayed"/>
    <n v="26.4"/>
    <n v="69.3"/>
    <s v="Detour"/>
    <n v="25"/>
    <n v="127"/>
    <n v="8"/>
    <s v="None"/>
    <n v="84.5"/>
    <n v="125"/>
    <n v="1"/>
    <x v="2"/>
  </r>
  <r>
    <d v="2024-11-20T19:12:02"/>
    <s v="Truck_7"/>
    <s v="27.4990"/>
    <s v="-98.0697"/>
    <n v="109"/>
    <s v="In Transit"/>
    <n v="25.1"/>
    <n v="76.5"/>
    <s v="Heavy"/>
    <n v="16"/>
    <n v="356"/>
    <n v="5"/>
    <s v="None"/>
    <n v="64.900000000000006"/>
    <n v="127"/>
    <n v="1"/>
    <x v="1"/>
  </r>
  <r>
    <d v="2024-04-08T18:13:51"/>
    <s v="Truck_6"/>
    <s v="14.6870"/>
    <s v="-33.9771"/>
    <n v="453"/>
    <s v="In Transit"/>
    <n v="25.8"/>
    <n v="78.599999999999994"/>
    <s v="Detour"/>
    <n v="21"/>
    <n v="142"/>
    <n v="10"/>
    <s v="Mechanical Failure"/>
    <n v="85.7"/>
    <n v="180"/>
    <n v="0"/>
    <x v="1"/>
  </r>
  <r>
    <d v="2024-01-13T16:35:47"/>
    <s v="Truck_9"/>
    <s v="19.3645"/>
    <s v="-149.4523"/>
    <n v="169"/>
    <s v="In Transit"/>
    <n v="28.6"/>
    <n v="78.8"/>
    <s v="Heavy"/>
    <n v="27"/>
    <n v="482"/>
    <n v="4"/>
    <s v="Traffic"/>
    <n v="80.5"/>
    <n v="122"/>
    <n v="1"/>
    <x v="2"/>
  </r>
  <r>
    <d v="2024-11-11T04:35:37"/>
    <s v="Truck_7"/>
    <s v="38.0858"/>
    <s v="-149.2970"/>
    <n v="105"/>
    <s v="Delayed"/>
    <n v="23.6"/>
    <n v="54.4"/>
    <s v="Detour"/>
    <n v="18"/>
    <n v="364"/>
    <n v="10"/>
    <s v="Traffic"/>
    <n v="76"/>
    <n v="158"/>
    <n v="1"/>
    <x v="1"/>
  </r>
  <r>
    <d v="2024-10-04T16:05:37"/>
    <s v="Truck_9"/>
    <s v="4.3790"/>
    <s v="97.6354"/>
    <n v="256"/>
    <s v="Delivered"/>
    <n v="29.6"/>
    <n v="73.7"/>
    <s v="Heavy"/>
    <n v="20"/>
    <n v="309"/>
    <n v="8"/>
    <s v="Weather"/>
    <n v="83.4"/>
    <n v="142"/>
    <n v="1"/>
    <x v="1"/>
  </r>
  <r>
    <d v="2024-05-12T21:29:39"/>
    <s v="Truck_8"/>
    <s v="-28.8542"/>
    <s v="119.5019"/>
    <n v="309"/>
    <s v="Delivered"/>
    <n v="22.8"/>
    <n v="52.8"/>
    <s v="Clear"/>
    <n v="19"/>
    <n v="101"/>
    <n v="2"/>
    <s v="Mechanical Failure"/>
    <n v="85.5"/>
    <n v="242"/>
    <n v="0"/>
    <x v="1"/>
  </r>
  <r>
    <d v="2024-12-23T04:59:36"/>
    <s v="Truck_9"/>
    <s v="-17.5843"/>
    <s v="-151.1609"/>
    <n v="346"/>
    <s v="Delivered"/>
    <n v="26.9"/>
    <n v="70.599999999999994"/>
    <s v="Detour"/>
    <n v="44"/>
    <n v="192"/>
    <n v="9"/>
    <s v="Traffic"/>
    <n v="76.2"/>
    <n v="239"/>
    <n v="0"/>
    <x v="1"/>
  </r>
  <r>
    <d v="2024-06-15T00:46:44"/>
    <s v="Truck_4"/>
    <s v="15.5281"/>
    <s v="-170.3941"/>
    <n v="302"/>
    <s v="Delayed"/>
    <n v="24.6"/>
    <n v="60.6"/>
    <s v="Heavy"/>
    <n v="30"/>
    <n v="431"/>
    <n v="3"/>
    <s v="None"/>
    <n v="76"/>
    <n v="127"/>
    <n v="1"/>
    <x v="1"/>
  </r>
  <r>
    <d v="2024-07-18T17:29:17"/>
    <s v="Truck_4"/>
    <s v="-83.8983"/>
    <s v="-128.1642"/>
    <n v="181"/>
    <s v="In Transit"/>
    <n v="24.7"/>
    <n v="63.4"/>
    <s v="Heavy"/>
    <n v="25"/>
    <n v="107"/>
    <n v="8"/>
    <s v="None"/>
    <n v="71.3"/>
    <n v="265"/>
    <n v="1"/>
    <x v="1"/>
  </r>
  <r>
    <d v="2024-02-10T08:40:55"/>
    <s v="Truck_9"/>
    <s v="-25.4823"/>
    <s v="169.1921"/>
    <n v="282"/>
    <s v="Delayed"/>
    <n v="21.8"/>
    <n v="63.6"/>
    <s v="Clear"/>
    <n v="43"/>
    <n v="370"/>
    <n v="7"/>
    <s v="Traffic"/>
    <n v="69.400000000000006"/>
    <n v="251"/>
    <n v="1"/>
    <x v="1"/>
  </r>
  <r>
    <d v="2024-09-09T10:46:47"/>
    <s v="Truck_10"/>
    <s v="-69.4930"/>
    <s v="-118.9742"/>
    <n v="398"/>
    <s v="Delivered"/>
    <n v="26.5"/>
    <n v="64.8"/>
    <s v="Heavy"/>
    <n v="44"/>
    <n v="387"/>
    <n v="1"/>
    <s v="None"/>
    <n v="90.6"/>
    <n v="122"/>
    <n v="1"/>
    <x v="2"/>
  </r>
  <r>
    <d v="2024-04-19T08:18:04"/>
    <s v="Truck_1"/>
    <s v="-8.0714"/>
    <s v="-158.0304"/>
    <n v="210"/>
    <s v="In Transit"/>
    <n v="24.7"/>
    <n v="65"/>
    <s v="Heavy"/>
    <n v="50"/>
    <n v="185"/>
    <n v="10"/>
    <s v="Mechanical Failure"/>
    <n v="84.1"/>
    <n v="140"/>
    <n v="1"/>
    <x v="1"/>
  </r>
  <r>
    <d v="2024-08-05T18:45:24"/>
    <s v="Truck_9"/>
    <s v="-59.9919"/>
    <s v="-162.9143"/>
    <n v="188"/>
    <s v="Delayed"/>
    <n v="22.4"/>
    <n v="78"/>
    <s v="Heavy"/>
    <n v="40"/>
    <n v="372"/>
    <n v="6"/>
    <s v="Weather"/>
    <n v="98"/>
    <n v="237"/>
    <n v="1"/>
    <x v="1"/>
  </r>
  <r>
    <d v="2024-06-14T18:40:07"/>
    <s v="Truck_3"/>
    <s v="-47.5239"/>
    <s v="58.4771"/>
    <n v="298"/>
    <s v="Delayed"/>
    <n v="19.600000000000001"/>
    <n v="76.099999999999994"/>
    <s v="Heavy"/>
    <n v="22"/>
    <n v="396"/>
    <n v="7"/>
    <s v="None"/>
    <n v="65"/>
    <n v="230"/>
    <n v="1"/>
    <x v="1"/>
  </r>
  <r>
    <d v="2024-10-18T23:50:28"/>
    <s v="Truck_10"/>
    <s v="-39.8052"/>
    <s v="-126.4073"/>
    <n v="298"/>
    <s v="Delayed"/>
    <n v="24"/>
    <n v="63.5"/>
    <s v="Detour"/>
    <n v="25"/>
    <n v="456"/>
    <n v="2"/>
    <s v="None"/>
    <n v="78.900000000000006"/>
    <n v="147"/>
    <n v="1"/>
    <x v="1"/>
  </r>
  <r>
    <d v="2024-04-28T01:31:58"/>
    <s v="Truck_3"/>
    <s v="54.0537"/>
    <s v="-145.9922"/>
    <n v="326"/>
    <s v="Delayed"/>
    <n v="20"/>
    <n v="56.6"/>
    <s v="Detour"/>
    <n v="17"/>
    <n v="260"/>
    <n v="6"/>
    <s v="Weather"/>
    <n v="67.5"/>
    <n v="162"/>
    <n v="1"/>
    <x v="1"/>
  </r>
  <r>
    <d v="2024-11-11T08:44:54"/>
    <s v="Truck_6"/>
    <s v="7.0591"/>
    <s v="46.7188"/>
    <n v="354"/>
    <s v="Delayed"/>
    <n v="18.399999999999999"/>
    <n v="77.5"/>
    <s v="Heavy"/>
    <n v="40"/>
    <n v="262"/>
    <n v="7"/>
    <s v="Traffic"/>
    <n v="68.5"/>
    <n v="282"/>
    <n v="1"/>
    <x v="1"/>
  </r>
  <r>
    <d v="2024-09-13T10:52:43"/>
    <s v="Truck_4"/>
    <s v="-50.3633"/>
    <s v="99.5834"/>
    <n v="269"/>
    <s v="In Transit"/>
    <n v="22.4"/>
    <n v="63.6"/>
    <s v="Detour"/>
    <n v="54"/>
    <n v="481"/>
    <n v="7"/>
    <s v="Traffic"/>
    <n v="82.5"/>
    <n v="183"/>
    <n v="0"/>
    <x v="1"/>
  </r>
  <r>
    <d v="2024-06-14T17:14:20"/>
    <s v="Truck_4"/>
    <s v="51.9327"/>
    <s v="-102.4309"/>
    <n v="475"/>
    <s v="Delivered"/>
    <n v="29.3"/>
    <n v="62.8"/>
    <s v="Clear"/>
    <n v="29"/>
    <n v="359"/>
    <n v="9"/>
    <s v="Mechanical Failure"/>
    <n v="95.1"/>
    <n v="122"/>
    <n v="0"/>
    <x v="2"/>
  </r>
  <r>
    <d v="2024-01-02T15:30:44"/>
    <s v="Truck_4"/>
    <s v="-36.4870"/>
    <s v="14.5024"/>
    <n v="372"/>
    <s v="Delayed"/>
    <n v="20.399999999999999"/>
    <n v="57.2"/>
    <s v="Clear"/>
    <n v="29"/>
    <n v="153"/>
    <n v="1"/>
    <s v="Weather"/>
    <n v="78.2"/>
    <n v="221"/>
    <n v="1"/>
    <x v="1"/>
  </r>
  <r>
    <d v="2024-10-06T04:58:42"/>
    <s v="Truck_5"/>
    <s v="27.2654"/>
    <s v="-34.1042"/>
    <n v="201"/>
    <s v="In Transit"/>
    <n v="26"/>
    <n v="51.5"/>
    <s v="Clear"/>
    <n v="40"/>
    <n v="429"/>
    <n v="4"/>
    <s v="Weather"/>
    <n v="87"/>
    <n v="107"/>
    <n v="0"/>
    <x v="2"/>
  </r>
  <r>
    <d v="2024-06-04T16:47:14"/>
    <s v="Truck_7"/>
    <s v="15.2159"/>
    <s v="-55.6814"/>
    <n v="441"/>
    <s v="In Transit"/>
    <n v="25.3"/>
    <n v="72.900000000000006"/>
    <s v="Clear"/>
    <n v="47"/>
    <n v="152"/>
    <n v="4"/>
    <s v="Weather"/>
    <n v="67.400000000000006"/>
    <n v="256"/>
    <n v="0"/>
    <x v="1"/>
  </r>
  <r>
    <d v="2024-02-02T12:17:02"/>
    <s v="Truck_6"/>
    <s v="27.4437"/>
    <s v="43.3224"/>
    <n v="246"/>
    <s v="Delayed"/>
    <n v="25.3"/>
    <n v="57.4"/>
    <s v="Clear"/>
    <n v="33"/>
    <n v="298"/>
    <n v="8"/>
    <s v="Traffic"/>
    <n v="70.400000000000006"/>
    <n v="110"/>
    <n v="1"/>
    <x v="2"/>
  </r>
  <r>
    <d v="2024-06-22T07:42:17"/>
    <s v="Truck_10"/>
    <s v="-58.6928"/>
    <s v="165.8667"/>
    <n v="180"/>
    <s v="Delayed"/>
    <n v="25.4"/>
    <n v="50.4"/>
    <s v="Heavy"/>
    <n v="32"/>
    <n v="246"/>
    <n v="2"/>
    <s v="Mechanical Failure"/>
    <n v="65.400000000000006"/>
    <n v="203"/>
    <n v="1"/>
    <x v="1"/>
  </r>
  <r>
    <d v="2024-03-01T14:48:13"/>
    <s v="Truck_9"/>
    <s v="-38.0737"/>
    <s v="56.0723"/>
    <n v="127"/>
    <s v="Delayed"/>
    <n v="21"/>
    <n v="54.6"/>
    <s v="Detour"/>
    <n v="13"/>
    <n v="452"/>
    <n v="9"/>
    <s v="Mechanical Failure"/>
    <n v="79"/>
    <n v="299"/>
    <n v="1"/>
    <x v="0"/>
  </r>
  <r>
    <d v="2024-08-19T01:36:00"/>
    <s v="Truck_3"/>
    <s v="-50.6778"/>
    <s v="-102.0410"/>
    <n v="246"/>
    <s v="Delayed"/>
    <n v="20.8"/>
    <n v="79.2"/>
    <s v="Heavy"/>
    <n v="55"/>
    <n v="325"/>
    <n v="2"/>
    <s v="None"/>
    <n v="80.5"/>
    <n v="271"/>
    <n v="1"/>
    <x v="1"/>
  </r>
  <r>
    <d v="2024-11-17T02:22:02"/>
    <s v="Truck_2"/>
    <s v="-88.7760"/>
    <s v="-125.1628"/>
    <n v="470"/>
    <s v="Delivered"/>
    <n v="21.5"/>
    <n v="51"/>
    <s v="Heavy"/>
    <n v="59"/>
    <n v="293"/>
    <n v="7"/>
    <s v="Mechanical Failure"/>
    <n v="86.6"/>
    <n v="113"/>
    <n v="1"/>
    <x v="2"/>
  </r>
  <r>
    <d v="2024-07-29T00:17:00"/>
    <s v="Truck_8"/>
    <s v="69.6910"/>
    <s v="148.6549"/>
    <n v="386"/>
    <s v="Delayed"/>
    <n v="25.9"/>
    <n v="71.599999999999994"/>
    <s v="Clear"/>
    <n v="36"/>
    <n v="193"/>
    <n v="10"/>
    <s v="Weather"/>
    <n v="72"/>
    <n v="299"/>
    <n v="1"/>
    <x v="0"/>
  </r>
  <r>
    <d v="2024-05-17T21:00:51"/>
    <s v="Truck_8"/>
    <s v="-82.2616"/>
    <s v="-141.8250"/>
    <n v="325"/>
    <s v="In Transit"/>
    <n v="26.2"/>
    <n v="64.3"/>
    <s v="Clear"/>
    <n v="31"/>
    <n v="491"/>
    <n v="7"/>
    <s v="Mechanical Failure"/>
    <n v="60.7"/>
    <n v="290"/>
    <n v="0"/>
    <x v="0"/>
  </r>
  <r>
    <d v="2024-03-11T20:09:54"/>
    <s v="Truck_1"/>
    <s v="2.7286"/>
    <s v="-99.5442"/>
    <n v="432"/>
    <s v="In Transit"/>
    <n v="25.9"/>
    <n v="65.8"/>
    <s v="Clear"/>
    <n v="42"/>
    <n v="265"/>
    <n v="8"/>
    <s v="None"/>
    <n v="86.8"/>
    <n v="140"/>
    <n v="0"/>
    <x v="1"/>
  </r>
  <r>
    <d v="2024-07-18T05:42:03"/>
    <s v="Truck_7"/>
    <s v="84.2498"/>
    <s v="-60.8861"/>
    <n v="273"/>
    <s v="Delayed"/>
    <n v="20.2"/>
    <n v="72.2"/>
    <s v="Clear"/>
    <n v="19"/>
    <n v="115"/>
    <n v="5"/>
    <s v="None"/>
    <n v="68.8"/>
    <n v="238"/>
    <n v="1"/>
    <x v="1"/>
  </r>
  <r>
    <d v="2024-11-13T11:31:44"/>
    <s v="Truck_4"/>
    <s v="8.7621"/>
    <s v="-2.9218"/>
    <n v="492"/>
    <s v="Delivered"/>
    <n v="21.6"/>
    <n v="78.3"/>
    <s v="Clear"/>
    <n v="58"/>
    <n v="122"/>
    <n v="9"/>
    <s v="None"/>
    <n v="61.2"/>
    <n v="202"/>
    <n v="0"/>
    <x v="1"/>
  </r>
  <r>
    <d v="2024-01-01T11:37:57"/>
    <s v="Truck_4"/>
    <s v="-59.0753"/>
    <s v="68.4886"/>
    <n v="303"/>
    <s v="In Transit"/>
    <n v="24.6"/>
    <n v="68.599999999999994"/>
    <s v="Detour"/>
    <n v="50"/>
    <n v="213"/>
    <n v="6"/>
    <s v="Mechanical Failure"/>
    <n v="97.1"/>
    <n v="297"/>
    <n v="0"/>
    <x v="0"/>
  </r>
  <r>
    <d v="2024-10-07T18:21:07"/>
    <s v="Truck_6"/>
    <s v="5.7218"/>
    <s v="-96.5806"/>
    <n v="270"/>
    <s v="In Transit"/>
    <n v="28.1"/>
    <n v="73.599999999999994"/>
    <s v="Clear"/>
    <n v="57"/>
    <n v="283"/>
    <n v="2"/>
    <s v="Mechanical Failure"/>
    <n v="92.3"/>
    <n v="122"/>
    <n v="0"/>
    <x v="2"/>
  </r>
  <r>
    <d v="2024-07-16T16:39:04"/>
    <s v="Truck_4"/>
    <s v="-38.3158"/>
    <s v="-38.3257"/>
    <n v="382"/>
    <s v="Delivered"/>
    <n v="21.6"/>
    <n v="50.5"/>
    <s v="Detour"/>
    <n v="31"/>
    <n v="160"/>
    <n v="8"/>
    <s v="Weather"/>
    <n v="94.8"/>
    <n v="261"/>
    <n v="0"/>
    <x v="1"/>
  </r>
  <r>
    <d v="2024-04-13T17:33:52"/>
    <s v="Truck_4"/>
    <s v="-87.4042"/>
    <s v="-127.3269"/>
    <n v="197"/>
    <s v="Delivered"/>
    <n v="23.3"/>
    <n v="53.5"/>
    <s v="Heavy"/>
    <n v="41"/>
    <n v="259"/>
    <n v="9"/>
    <s v="Weather"/>
    <n v="91.3"/>
    <n v="211"/>
    <n v="1"/>
    <x v="1"/>
  </r>
  <r>
    <d v="2024-08-11T02:18:19"/>
    <s v="Truck_9"/>
    <s v="-77.3648"/>
    <s v="30.9744"/>
    <n v="368"/>
    <s v="In Transit"/>
    <n v="25"/>
    <n v="60.7"/>
    <s v="Clear"/>
    <n v="37"/>
    <n v="382"/>
    <n v="5"/>
    <s v="Weather"/>
    <n v="82.8"/>
    <n v="225"/>
    <n v="0"/>
    <x v="1"/>
  </r>
  <r>
    <d v="2024-01-19T00:15:26"/>
    <s v="Truck_7"/>
    <s v="-73.0477"/>
    <s v="124.7969"/>
    <n v="223"/>
    <s v="In Transit"/>
    <n v="19.5"/>
    <n v="55.6"/>
    <s v="Clear"/>
    <n v="23"/>
    <n v="154"/>
    <n v="4"/>
    <s v="Weather"/>
    <n v="62.9"/>
    <n v="217"/>
    <n v="0"/>
    <x v="1"/>
  </r>
  <r>
    <d v="2024-12-26T03:50:18"/>
    <s v="Truck_7"/>
    <s v="-27.5760"/>
    <s v="-111.3158"/>
    <n v="340"/>
    <s v="Delayed"/>
    <n v="25.9"/>
    <n v="75.3"/>
    <s v="Detour"/>
    <n v="18"/>
    <n v="424"/>
    <n v="7"/>
    <s v="Weather"/>
    <n v="67.3"/>
    <n v="287"/>
    <n v="1"/>
    <x v="0"/>
  </r>
  <r>
    <d v="2024-01-10T12:44:17"/>
    <s v="Truck_10"/>
    <s v="49.9465"/>
    <s v="-30.0236"/>
    <n v="355"/>
    <s v="Delivered"/>
    <n v="20.2"/>
    <n v="51.3"/>
    <s v="Clear"/>
    <n v="49"/>
    <n v="323"/>
    <n v="4"/>
    <s v="Mechanical Failure"/>
    <n v="72.599999999999994"/>
    <n v="100"/>
    <n v="0"/>
    <x v="2"/>
  </r>
  <r>
    <d v="2024-10-23T13:13:06"/>
    <s v="Truck_2"/>
    <s v="-50.6856"/>
    <s v="-9.6236"/>
    <n v="158"/>
    <s v="In Transit"/>
    <n v="26.6"/>
    <n v="63.8"/>
    <s v="Heavy"/>
    <n v="51"/>
    <n v="199"/>
    <n v="4"/>
    <s v="None"/>
    <n v="84.8"/>
    <n v="114"/>
    <n v="1"/>
    <x v="2"/>
  </r>
  <r>
    <d v="2024-07-31T19:53:22"/>
    <s v="Truck_10"/>
    <s v="84.1122"/>
    <s v="-87.8990"/>
    <n v="126"/>
    <s v="Delayed"/>
    <n v="25.1"/>
    <n v="58"/>
    <s v="Detour"/>
    <n v="47"/>
    <n v="291"/>
    <n v="7"/>
    <s v="Traffic"/>
    <n v="92.3"/>
    <n v="123"/>
    <n v="1"/>
    <x v="2"/>
  </r>
  <r>
    <d v="2024-08-05T22:26:07"/>
    <s v="Truck_8"/>
    <s v="49.9197"/>
    <s v="79.4653"/>
    <n v="309"/>
    <s v="In Transit"/>
    <n v="20.6"/>
    <n v="77.3"/>
    <s v="Clear"/>
    <n v="60"/>
    <n v="177"/>
    <n v="5"/>
    <s v="Weather"/>
    <n v="69.2"/>
    <n v="271"/>
    <n v="0"/>
    <x v="1"/>
  </r>
  <r>
    <d v="2024-02-14T00:45:03"/>
    <s v="Truck_10"/>
    <s v="-44.6254"/>
    <s v="44.0876"/>
    <n v="171"/>
    <s v="Delayed"/>
    <n v="22.6"/>
    <n v="69.900000000000006"/>
    <s v="Detour"/>
    <n v="26"/>
    <n v="104"/>
    <n v="2"/>
    <s v="Weather"/>
    <n v="88.1"/>
    <n v="132"/>
    <n v="1"/>
    <x v="1"/>
  </r>
  <r>
    <d v="2024-12-14T00:45:10"/>
    <s v="Truck_6"/>
    <s v="-57.3005"/>
    <s v="-23.6888"/>
    <n v="403"/>
    <s v="In Transit"/>
    <n v="29.6"/>
    <n v="63"/>
    <s v="Clear"/>
    <n v="12"/>
    <n v="197"/>
    <n v="4"/>
    <s v="None"/>
    <n v="83.8"/>
    <n v="228"/>
    <n v="0"/>
    <x v="1"/>
  </r>
  <r>
    <d v="2024-07-16T08:12:29"/>
    <s v="Truck_6"/>
    <s v="-47.5698"/>
    <s v="-81.3143"/>
    <n v="181"/>
    <s v="Delivered"/>
    <n v="25.9"/>
    <n v="69.099999999999994"/>
    <s v="Heavy"/>
    <n v="44"/>
    <n v="264"/>
    <n v="9"/>
    <s v="Mechanical Failure"/>
    <n v="69.900000000000006"/>
    <n v="223"/>
    <n v="1"/>
    <x v="1"/>
  </r>
  <r>
    <d v="2024-12-08T09:52:23"/>
    <s v="Truck_7"/>
    <s v="-80.2675"/>
    <s v="-80.5726"/>
    <n v="472"/>
    <s v="Delayed"/>
    <n v="23"/>
    <n v="68"/>
    <s v="Heavy"/>
    <n v="34"/>
    <n v="365"/>
    <n v="3"/>
    <s v="Traffic"/>
    <n v="87.8"/>
    <n v="294"/>
    <n v="1"/>
    <x v="0"/>
  </r>
  <r>
    <d v="2024-05-08T01:51:55"/>
    <s v="Truck_8"/>
    <s v="-70.3213"/>
    <s v="-61.9179"/>
    <n v="171"/>
    <s v="Delivered"/>
    <n v="25.5"/>
    <n v="51.1"/>
    <s v="Detour"/>
    <n v="43"/>
    <n v="114"/>
    <n v="1"/>
    <s v="Weather"/>
    <n v="92.5"/>
    <n v="149"/>
    <n v="0"/>
    <x v="1"/>
  </r>
  <r>
    <d v="2024-07-20T13:33:43"/>
    <s v="Truck_6"/>
    <s v="48.2512"/>
    <s v="-106.6383"/>
    <n v="204"/>
    <s v="Delayed"/>
    <n v="19.2"/>
    <n v="58"/>
    <s v="Heavy"/>
    <n v="50"/>
    <n v="465"/>
    <n v="8"/>
    <s v="Weather"/>
    <n v="85.2"/>
    <n v="133"/>
    <n v="1"/>
    <x v="1"/>
  </r>
  <r>
    <d v="2024-10-24T14:59:52"/>
    <s v="Truck_4"/>
    <s v="-74.6749"/>
    <s v="-159.7164"/>
    <n v="254"/>
    <s v="In Transit"/>
    <n v="26.7"/>
    <n v="51.3"/>
    <s v="Detour"/>
    <n v="11"/>
    <n v="378"/>
    <n v="8"/>
    <s v="None"/>
    <n v="90.6"/>
    <n v="208"/>
    <n v="0"/>
    <x v="1"/>
  </r>
  <r>
    <d v="2024-11-23T10:56:55"/>
    <s v="Truck_4"/>
    <s v="-46.0132"/>
    <s v="-8.5335"/>
    <n v="100"/>
    <s v="Delayed"/>
    <n v="21"/>
    <n v="71.2"/>
    <s v="Clear"/>
    <n v="19"/>
    <n v="315"/>
    <n v="9"/>
    <s v="Weather"/>
    <n v="82.2"/>
    <n v="100"/>
    <n v="1"/>
    <x v="2"/>
  </r>
  <r>
    <d v="2024-04-18T08:51:00"/>
    <s v="Truck_1"/>
    <s v="9.3294"/>
    <s v="-71.5299"/>
    <n v="211"/>
    <s v="Delivered"/>
    <n v="23.7"/>
    <n v="66.7"/>
    <s v="Heavy"/>
    <n v="36"/>
    <n v="149"/>
    <n v="1"/>
    <s v="Mechanical Failure"/>
    <n v="60.7"/>
    <n v="256"/>
    <n v="1"/>
    <x v="1"/>
  </r>
  <r>
    <d v="2024-08-11T04:43:30"/>
    <s v="Truck_9"/>
    <s v="5.0095"/>
    <s v="-113.8279"/>
    <n v="145"/>
    <s v="Delayed"/>
    <n v="18.2"/>
    <n v="62.2"/>
    <s v="Heavy"/>
    <n v="56"/>
    <n v="430"/>
    <n v="5"/>
    <s v="Traffic"/>
    <n v="86.7"/>
    <n v="260"/>
    <n v="1"/>
    <x v="1"/>
  </r>
  <r>
    <d v="2024-10-09T13:29:04"/>
    <s v="Truck_6"/>
    <s v="-70.8094"/>
    <s v="75.1094"/>
    <n v="244"/>
    <s v="Delivered"/>
    <n v="21.3"/>
    <n v="79.400000000000006"/>
    <s v="Heavy"/>
    <n v="22"/>
    <n v="312"/>
    <n v="9"/>
    <s v="None"/>
    <n v="63.5"/>
    <n v="171"/>
    <n v="1"/>
    <x v="1"/>
  </r>
  <r>
    <d v="2024-12-21T15:26:10"/>
    <s v="Truck_1"/>
    <s v="-43.2472"/>
    <s v="163.3821"/>
    <n v="104"/>
    <s v="Delivered"/>
    <n v="29.4"/>
    <n v="59.1"/>
    <s v="Detour"/>
    <n v="58"/>
    <n v="229"/>
    <n v="3"/>
    <s v="Weather"/>
    <n v="82.9"/>
    <n v="283"/>
    <n v="0"/>
    <x v="1"/>
  </r>
  <r>
    <d v="2024-01-21T23:13:40"/>
    <s v="Truck_5"/>
    <s v="28.1016"/>
    <s v="167.1982"/>
    <n v="356"/>
    <s v="In Transit"/>
    <n v="18.399999999999999"/>
    <n v="75.2"/>
    <s v="Clear"/>
    <n v="32"/>
    <n v="291"/>
    <n v="6"/>
    <s v="None"/>
    <n v="90.7"/>
    <n v="206"/>
    <n v="0"/>
    <x v="1"/>
  </r>
  <r>
    <d v="2024-03-28T07:50:45"/>
    <s v="Truck_4"/>
    <s v="-56.2187"/>
    <s v="27.6037"/>
    <n v="114"/>
    <s v="In Transit"/>
    <n v="26.8"/>
    <n v="62.1"/>
    <s v="Heavy"/>
    <n v="55"/>
    <n v="334"/>
    <n v="6"/>
    <s v="None"/>
    <n v="85.2"/>
    <n v="202"/>
    <n v="1"/>
    <x v="1"/>
  </r>
  <r>
    <d v="2024-12-02T10:52:06"/>
    <s v="Truck_6"/>
    <s v="65.0538"/>
    <s v="-146.3887"/>
    <n v="404"/>
    <s v="Delivered"/>
    <n v="19"/>
    <n v="76.2"/>
    <s v="Heavy"/>
    <n v="54"/>
    <n v="230"/>
    <n v="4"/>
    <s v="None"/>
    <n v="83.7"/>
    <n v="171"/>
    <n v="1"/>
    <x v="1"/>
  </r>
  <r>
    <d v="2024-12-30T20:21:58"/>
    <s v="Truck_5"/>
    <s v="-30.2990"/>
    <s v="153.4529"/>
    <n v="500"/>
    <s v="Delivered"/>
    <n v="21.7"/>
    <n v="56.2"/>
    <s v="Detour"/>
    <n v="20"/>
    <n v="381"/>
    <n v="10"/>
    <s v="Mechanical Failure"/>
    <n v="90.7"/>
    <n v="222"/>
    <n v="0"/>
    <x v="1"/>
  </r>
  <r>
    <d v="2024-09-12T11:42:11"/>
    <s v="Truck_5"/>
    <s v="72.7626"/>
    <s v="105.8210"/>
    <n v="375"/>
    <s v="Delayed"/>
    <n v="23"/>
    <n v="76.3"/>
    <s v="Detour"/>
    <n v="49"/>
    <n v="131"/>
    <n v="4"/>
    <s v="None"/>
    <n v="87.8"/>
    <n v="137"/>
    <n v="1"/>
    <x v="1"/>
  </r>
  <r>
    <d v="2024-10-24T23:03:49"/>
    <s v="Truck_8"/>
    <s v="61.8446"/>
    <s v="115.5236"/>
    <n v="361"/>
    <s v="In Transit"/>
    <n v="22.3"/>
    <n v="66.8"/>
    <s v="Heavy"/>
    <n v="60"/>
    <n v="157"/>
    <n v="4"/>
    <s v="Traffic"/>
    <n v="79.8"/>
    <n v="247"/>
    <n v="1"/>
    <x v="1"/>
  </r>
  <r>
    <d v="2024-03-07T21:52:21"/>
    <s v="Truck_3"/>
    <s v="-31.1792"/>
    <s v="-46.0480"/>
    <n v="239"/>
    <s v="Delayed"/>
    <n v="26.6"/>
    <n v="51.6"/>
    <s v="Detour"/>
    <n v="33"/>
    <n v="333"/>
    <n v="2"/>
    <s v="Traffic"/>
    <n v="95.1"/>
    <n v="277"/>
    <n v="1"/>
    <x v="1"/>
  </r>
  <r>
    <d v="2024-01-03T13:08:23"/>
    <s v="Truck_10"/>
    <s v="-43.2004"/>
    <s v="134.8572"/>
    <n v="191"/>
    <s v="In Transit"/>
    <n v="24"/>
    <n v="59.7"/>
    <s v="Clear"/>
    <n v="51"/>
    <n v="268"/>
    <n v="8"/>
    <s v="None"/>
    <n v="97"/>
    <n v="111"/>
    <n v="0"/>
    <x v="2"/>
  </r>
  <r>
    <d v="2024-12-08T00:24:42"/>
    <s v="Truck_2"/>
    <s v="-79.6372"/>
    <s v="-111.7492"/>
    <n v="171"/>
    <s v="Delayed"/>
    <n v="21.3"/>
    <n v="58.7"/>
    <s v="Detour"/>
    <n v="10"/>
    <n v="292"/>
    <n v="4"/>
    <s v="Traffic"/>
    <n v="65"/>
    <n v="184"/>
    <n v="1"/>
    <x v="1"/>
  </r>
  <r>
    <d v="2024-09-13T08:58:09"/>
    <s v="Truck_5"/>
    <s v="66.8380"/>
    <s v="-175.1681"/>
    <n v="113"/>
    <s v="Delayed"/>
    <n v="28.9"/>
    <n v="56.3"/>
    <s v="Heavy"/>
    <n v="22"/>
    <n v="417"/>
    <n v="6"/>
    <s v="Weather"/>
    <n v="60.8"/>
    <n v="142"/>
    <n v="1"/>
    <x v="1"/>
  </r>
  <r>
    <d v="2024-07-31T22:16:07"/>
    <s v="Truck_4"/>
    <s v="13.7736"/>
    <s v="12.9911"/>
    <n v="298"/>
    <s v="In Transit"/>
    <n v="18.8"/>
    <n v="79.5"/>
    <s v="Detour"/>
    <n v="51"/>
    <n v="393"/>
    <n v="4"/>
    <s v="Traffic"/>
    <n v="74.599999999999994"/>
    <n v="110"/>
    <n v="0"/>
    <x v="2"/>
  </r>
  <r>
    <d v="2024-11-25T22:59:58"/>
    <s v="Truck_8"/>
    <s v="-66.2696"/>
    <s v="-82.0579"/>
    <n v="184"/>
    <s v="Delivered"/>
    <n v="26"/>
    <n v="59.6"/>
    <s v="Heavy"/>
    <n v="34"/>
    <n v="235"/>
    <n v="6"/>
    <s v="Mechanical Failure"/>
    <n v="66.7"/>
    <n v="299"/>
    <n v="1"/>
    <x v="0"/>
  </r>
  <r>
    <d v="2024-05-30T15:40:45"/>
    <s v="Truck_4"/>
    <s v="5.1238"/>
    <s v="-67.8583"/>
    <n v="298"/>
    <s v="Delivered"/>
    <n v="18.899999999999999"/>
    <n v="65.900000000000006"/>
    <s v="Detour"/>
    <n v="41"/>
    <n v="269"/>
    <n v="2"/>
    <s v="None"/>
    <n v="64.8"/>
    <n v="234"/>
    <n v="0"/>
    <x v="1"/>
  </r>
  <r>
    <d v="2024-03-05T20:59:12"/>
    <s v="Truck_3"/>
    <s v="-85.8715"/>
    <s v="-162.7167"/>
    <n v="439"/>
    <s v="Delayed"/>
    <n v="25.1"/>
    <n v="66.099999999999994"/>
    <s v="Clear"/>
    <n v="46"/>
    <n v="151"/>
    <n v="4"/>
    <s v="None"/>
    <n v="79.2"/>
    <n v="209"/>
    <n v="1"/>
    <x v="1"/>
  </r>
  <r>
    <d v="2024-08-20T15:30:04"/>
    <s v="Truck_3"/>
    <s v="86.2679"/>
    <s v="-50.7895"/>
    <n v="142"/>
    <s v="Delayed"/>
    <n v="28"/>
    <n v="67.2"/>
    <s v="Heavy"/>
    <n v="49"/>
    <n v="458"/>
    <n v="8"/>
    <s v="Traffic"/>
    <n v="92.5"/>
    <n v="224"/>
    <n v="1"/>
    <x v="1"/>
  </r>
  <r>
    <d v="2024-09-19T12:19:09"/>
    <s v="Truck_6"/>
    <s v="21.3104"/>
    <s v="-80.5292"/>
    <n v="202"/>
    <s v="Delivered"/>
    <n v="18.5"/>
    <n v="69.5"/>
    <s v="Heavy"/>
    <n v="54"/>
    <n v="261"/>
    <n v="3"/>
    <s v="None"/>
    <n v="62.5"/>
    <n v="213"/>
    <n v="1"/>
    <x v="1"/>
  </r>
  <r>
    <d v="2024-03-02T15:37:45"/>
    <s v="Truck_3"/>
    <s v="-2.2841"/>
    <s v="23.4152"/>
    <n v="418"/>
    <s v="Delayed"/>
    <n v="29.6"/>
    <n v="67.400000000000006"/>
    <s v="Heavy"/>
    <n v="54"/>
    <n v="199"/>
    <n v="9"/>
    <s v="Traffic"/>
    <n v="99.9"/>
    <n v="215"/>
    <n v="1"/>
    <x v="1"/>
  </r>
  <r>
    <d v="2024-02-24T23:02:05"/>
    <s v="Truck_4"/>
    <s v="-23.4709"/>
    <s v="54.5265"/>
    <n v="458"/>
    <s v="Delayed"/>
    <n v="23.3"/>
    <n v="58.6"/>
    <s v="Heavy"/>
    <n v="43"/>
    <n v="372"/>
    <n v="10"/>
    <s v="Mechanical Failure"/>
    <n v="92.9"/>
    <n v="262"/>
    <n v="1"/>
    <x v="1"/>
  </r>
  <r>
    <d v="2024-03-05T11:20:37"/>
    <s v="Truck_8"/>
    <s v="44.5052"/>
    <s v="-178.7281"/>
    <n v="313"/>
    <s v="In Transit"/>
    <n v="18.7"/>
    <n v="74.7"/>
    <s v="Heavy"/>
    <n v="16"/>
    <n v="284"/>
    <n v="3"/>
    <s v="Mechanical Failure"/>
    <n v="69"/>
    <n v="105"/>
    <n v="1"/>
    <x v="2"/>
  </r>
  <r>
    <d v="2024-03-04T23:34:51"/>
    <s v="Truck_9"/>
    <s v="-8.1413"/>
    <s v="92.8681"/>
    <n v="457"/>
    <s v="Delayed"/>
    <n v="18.2"/>
    <n v="62.6"/>
    <s v="Detour"/>
    <n v="18"/>
    <n v="217"/>
    <n v="9"/>
    <s v="None"/>
    <n v="97.8"/>
    <n v="199"/>
    <n v="1"/>
    <x v="1"/>
  </r>
  <r>
    <d v="2024-06-30T04:33:59"/>
    <s v="Truck_2"/>
    <s v="0.7118"/>
    <s v="108.5142"/>
    <n v="298"/>
    <s v="Delivered"/>
    <n v="27.8"/>
    <n v="76.900000000000006"/>
    <s v="Heavy"/>
    <n v="18"/>
    <n v="414"/>
    <n v="5"/>
    <s v="None"/>
    <n v="72.2"/>
    <n v="164"/>
    <n v="1"/>
    <x v="1"/>
  </r>
  <r>
    <d v="2024-12-02T10:19:46"/>
    <s v="Truck_4"/>
    <s v="43.2255"/>
    <s v="-143.0415"/>
    <n v="106"/>
    <s v="Delayed"/>
    <n v="23.7"/>
    <n v="74.7"/>
    <s v="Heavy"/>
    <n v="14"/>
    <n v="442"/>
    <n v="4"/>
    <s v="Mechanical Failure"/>
    <n v="83.6"/>
    <n v="276"/>
    <n v="1"/>
    <x v="1"/>
  </r>
  <r>
    <d v="2024-08-14T11:03:17"/>
    <s v="Truck_6"/>
    <s v="61.8047"/>
    <s v="-72.1219"/>
    <n v="293"/>
    <s v="Delivered"/>
    <n v="28.5"/>
    <n v="59.3"/>
    <s v="Clear"/>
    <n v="50"/>
    <n v="168"/>
    <n v="4"/>
    <s v="Weather"/>
    <n v="67.2"/>
    <n v="199"/>
    <n v="0"/>
    <x v="1"/>
  </r>
  <r>
    <d v="2024-09-13T03:11:29"/>
    <s v="Truck_9"/>
    <s v="-42.6929"/>
    <s v="46.2525"/>
    <n v="301"/>
    <s v="Delayed"/>
    <n v="19.2"/>
    <n v="57.6"/>
    <s v="Heavy"/>
    <n v="16"/>
    <n v="256"/>
    <n v="6"/>
    <s v="None"/>
    <n v="65.400000000000006"/>
    <n v="148"/>
    <n v="1"/>
    <x v="1"/>
  </r>
  <r>
    <d v="2024-12-29T18:21:59"/>
    <s v="Truck_1"/>
    <s v="-78.0755"/>
    <s v="-11.8927"/>
    <n v="287"/>
    <s v="In Transit"/>
    <n v="25.2"/>
    <n v="51.8"/>
    <s v="Detour"/>
    <n v="34"/>
    <n v="399"/>
    <n v="2"/>
    <s v="Mechanical Failure"/>
    <n v="85"/>
    <n v="124"/>
    <n v="0"/>
    <x v="2"/>
  </r>
  <r>
    <d v="2024-11-19T13:53:15"/>
    <s v="Truck_5"/>
    <s v="65.5547"/>
    <s v="-128.3673"/>
    <n v="237"/>
    <s v="In Transit"/>
    <n v="23.4"/>
    <n v="53.3"/>
    <s v="Detour"/>
    <n v="38"/>
    <n v="109"/>
    <n v="2"/>
    <s v="Mechanical Failure"/>
    <n v="87.9"/>
    <n v="157"/>
    <n v="0"/>
    <x v="1"/>
  </r>
  <r>
    <d v="2024-05-27T07:26:13"/>
    <s v="Truck_1"/>
    <s v="-19.5574"/>
    <s v="-65.5493"/>
    <n v="258"/>
    <s v="In Transit"/>
    <n v="25.2"/>
    <n v="67.599999999999994"/>
    <s v="Clear"/>
    <n v="32"/>
    <n v="484"/>
    <n v="7"/>
    <s v="Traffic"/>
    <n v="98.8"/>
    <n v="191"/>
    <n v="0"/>
    <x v="1"/>
  </r>
  <r>
    <d v="2024-11-19T20:03:10"/>
    <s v="Truck_3"/>
    <s v="17.7083"/>
    <s v="-162.0043"/>
    <n v="480"/>
    <s v="In Transit"/>
    <n v="27.1"/>
    <n v="76.3"/>
    <s v="Heavy"/>
    <n v="22"/>
    <n v="497"/>
    <n v="9"/>
    <s v="Traffic"/>
    <n v="74.900000000000006"/>
    <n v="183"/>
    <n v="1"/>
    <x v="1"/>
  </r>
  <r>
    <d v="2024-09-18T23:04:24"/>
    <s v="Truck_8"/>
    <s v="-52.1686"/>
    <s v="-175.6269"/>
    <n v="441"/>
    <s v="In Transit"/>
    <n v="22.6"/>
    <n v="53.3"/>
    <s v="Clear"/>
    <n v="29"/>
    <n v="343"/>
    <n v="3"/>
    <s v="Mechanical Failure"/>
    <n v="86.5"/>
    <n v="172"/>
    <n v="0"/>
    <x v="1"/>
  </r>
  <r>
    <d v="2024-12-16T02:17:00"/>
    <s v="Truck_6"/>
    <s v="-84.2375"/>
    <s v="76.9339"/>
    <n v="346"/>
    <s v="In Transit"/>
    <n v="21.6"/>
    <n v="65.2"/>
    <s v="Clear"/>
    <n v="43"/>
    <n v="402"/>
    <n v="8"/>
    <s v="Traffic"/>
    <n v="96.4"/>
    <n v="157"/>
    <n v="0"/>
    <x v="1"/>
  </r>
  <r>
    <d v="2024-09-29T19:01:01"/>
    <s v="Truck_2"/>
    <s v="-7.5990"/>
    <s v="-78.7489"/>
    <n v="205"/>
    <s v="In Transit"/>
    <n v="23.6"/>
    <n v="76.2"/>
    <s v="Heavy"/>
    <n v="41"/>
    <n v="324"/>
    <n v="2"/>
    <s v="None"/>
    <n v="73.8"/>
    <n v="153"/>
    <n v="1"/>
    <x v="1"/>
  </r>
  <r>
    <d v="2024-03-29T01:23:19"/>
    <s v="Truck_2"/>
    <s v="36.6210"/>
    <s v="97.2194"/>
    <n v="477"/>
    <s v="Delayed"/>
    <n v="25.1"/>
    <n v="50.3"/>
    <s v="Detour"/>
    <n v="32"/>
    <n v="297"/>
    <n v="7"/>
    <s v="Traffic"/>
    <n v="96.4"/>
    <n v="212"/>
    <n v="1"/>
    <x v="1"/>
  </r>
  <r>
    <d v="2024-07-26T10:09:34"/>
    <s v="Truck_9"/>
    <s v="-7.9899"/>
    <s v="-23.5723"/>
    <n v="355"/>
    <s v="Delayed"/>
    <n v="19.8"/>
    <n v="60.9"/>
    <s v="Clear"/>
    <n v="24"/>
    <n v="226"/>
    <n v="9"/>
    <s v="Weather"/>
    <n v="62.8"/>
    <n v="243"/>
    <n v="1"/>
    <x v="1"/>
  </r>
  <r>
    <d v="2024-12-19T10:36:22"/>
    <s v="Truck_4"/>
    <s v="-68.5749"/>
    <s v="106.2112"/>
    <n v="148"/>
    <s v="Delivered"/>
    <n v="23.3"/>
    <n v="59.1"/>
    <s v="Detour"/>
    <n v="53"/>
    <n v="161"/>
    <n v="10"/>
    <s v="Weather"/>
    <n v="65.7"/>
    <n v="189"/>
    <n v="0"/>
    <x v="1"/>
  </r>
  <r>
    <d v="2024-06-14T10:30:32"/>
    <s v="Truck_6"/>
    <s v="-86.6472"/>
    <s v="76.1641"/>
    <n v="190"/>
    <s v="Delayed"/>
    <n v="27.8"/>
    <n v="62.2"/>
    <s v="Detour"/>
    <n v="41"/>
    <n v="238"/>
    <n v="2"/>
    <s v="None"/>
    <n v="90.2"/>
    <n v="122"/>
    <n v="1"/>
    <x v="2"/>
  </r>
  <r>
    <d v="2024-01-06T05:22:59"/>
    <s v="Truck_10"/>
    <s v="-20.0730"/>
    <s v="169.5863"/>
    <n v="356"/>
    <s v="Delayed"/>
    <n v="24.8"/>
    <n v="70"/>
    <s v="Detour"/>
    <n v="37"/>
    <n v="345"/>
    <n v="3"/>
    <s v="Traffic"/>
    <n v="84"/>
    <n v="245"/>
    <n v="1"/>
    <x v="1"/>
  </r>
  <r>
    <d v="2024-09-17T17:56:29"/>
    <s v="Truck_2"/>
    <s v="8.0303"/>
    <s v="137.6073"/>
    <n v="228"/>
    <s v="Delivered"/>
    <n v="18.3"/>
    <n v="52.3"/>
    <s v="Clear"/>
    <n v="57"/>
    <n v="350"/>
    <n v="3"/>
    <s v="Traffic"/>
    <n v="76.5"/>
    <n v="285"/>
    <n v="0"/>
    <x v="0"/>
  </r>
  <r>
    <d v="2024-12-29T17:13:45"/>
    <s v="Truck_6"/>
    <s v="-58.6706"/>
    <s v="162.7699"/>
    <n v="437"/>
    <s v="In Transit"/>
    <n v="20.9"/>
    <n v="55.2"/>
    <s v="Clear"/>
    <n v="44"/>
    <n v="336"/>
    <n v="7"/>
    <s v="Weather"/>
    <n v="88.6"/>
    <n v="118"/>
    <n v="0"/>
    <x v="2"/>
  </r>
  <r>
    <d v="2024-11-30T16:53:31"/>
    <s v="Truck_10"/>
    <s v="63.6092"/>
    <s v="-40.4852"/>
    <n v="295"/>
    <s v="Delayed"/>
    <n v="20.3"/>
    <n v="68.599999999999994"/>
    <s v="Detour"/>
    <n v="29"/>
    <n v="249"/>
    <n v="6"/>
    <s v="None"/>
    <n v="63.2"/>
    <n v="295"/>
    <n v="1"/>
    <x v="0"/>
  </r>
  <r>
    <d v="2024-10-20T11:54:15"/>
    <s v="Truck_3"/>
    <s v="69.9178"/>
    <s v="-25.7593"/>
    <n v="365"/>
    <s v="In Transit"/>
    <n v="30"/>
    <n v="60"/>
    <s v="Clear"/>
    <n v="18"/>
    <n v="215"/>
    <n v="5"/>
    <s v="Traffic"/>
    <n v="95.8"/>
    <n v="201"/>
    <n v="0"/>
    <x v="1"/>
  </r>
  <r>
    <d v="2024-06-08T16:49:23"/>
    <s v="Truck_10"/>
    <s v="27.3884"/>
    <s v="-85.6938"/>
    <n v="117"/>
    <s v="Delayed"/>
    <n v="23.9"/>
    <n v="64.3"/>
    <s v="Clear"/>
    <n v="16"/>
    <n v="175"/>
    <n v="8"/>
    <s v="Mechanical Failure"/>
    <n v="73.900000000000006"/>
    <n v="270"/>
    <n v="1"/>
    <x v="1"/>
  </r>
  <r>
    <d v="2024-09-11T09:02:01"/>
    <s v="Truck_6"/>
    <s v="5.5363"/>
    <s v="-6.3698"/>
    <n v="202"/>
    <s v="Delayed"/>
    <n v="25.9"/>
    <n v="62.3"/>
    <s v="Heavy"/>
    <n v="11"/>
    <n v="249"/>
    <n v="4"/>
    <s v="None"/>
    <n v="98"/>
    <n v="131"/>
    <n v="1"/>
    <x v="1"/>
  </r>
  <r>
    <d v="2024-11-08T14:19:44"/>
    <s v="Truck_10"/>
    <s v="-47.9174"/>
    <s v="-44.4673"/>
    <n v="408"/>
    <s v="Delayed"/>
    <n v="29.9"/>
    <n v="58.9"/>
    <s v="Heavy"/>
    <n v="25"/>
    <n v="390"/>
    <n v="8"/>
    <s v="None"/>
    <n v="61.5"/>
    <n v="117"/>
    <n v="1"/>
    <x v="2"/>
  </r>
  <r>
    <d v="2024-06-15T14:24:59"/>
    <s v="Truck_2"/>
    <s v="-58.2884"/>
    <s v="-53.9833"/>
    <n v="277"/>
    <s v="In Transit"/>
    <n v="18.2"/>
    <n v="75.099999999999994"/>
    <s v="Clear"/>
    <n v="60"/>
    <n v="122"/>
    <n v="10"/>
    <s v="None"/>
    <n v="65"/>
    <n v="147"/>
    <n v="0"/>
    <x v="1"/>
  </r>
  <r>
    <d v="2024-05-16T01:51:29"/>
    <s v="Truck_10"/>
    <s v="44.4715"/>
    <s v="61.1203"/>
    <n v="430"/>
    <s v="Delayed"/>
    <n v="25"/>
    <n v="53.4"/>
    <s v="Detour"/>
    <n v="30"/>
    <n v="251"/>
    <n v="4"/>
    <s v="Mechanical Failure"/>
    <n v="77.599999999999994"/>
    <n v="119"/>
    <n v="1"/>
    <x v="2"/>
  </r>
  <r>
    <d v="2024-03-26T14:40:33"/>
    <s v="Truck_7"/>
    <s v="-73.5735"/>
    <s v="153.5290"/>
    <n v="451"/>
    <s v="Delayed"/>
    <n v="21.3"/>
    <n v="67.2"/>
    <s v="Detour"/>
    <n v="24"/>
    <n v="187"/>
    <n v="8"/>
    <s v="None"/>
    <n v="69.3"/>
    <n v="221"/>
    <n v="1"/>
    <x v="1"/>
  </r>
  <r>
    <d v="2024-04-05T15:36:59"/>
    <s v="Truck_8"/>
    <s v="-39.3967"/>
    <s v="15.6452"/>
    <n v="421"/>
    <s v="Delivered"/>
    <n v="26"/>
    <n v="78.099999999999994"/>
    <s v="Heavy"/>
    <n v="29"/>
    <n v="379"/>
    <n v="5"/>
    <s v="Traffic"/>
    <n v="81"/>
    <n v="118"/>
    <n v="1"/>
    <x v="2"/>
  </r>
  <r>
    <d v="2024-11-13T03:59:13"/>
    <s v="Truck_9"/>
    <s v="-46.8183"/>
    <s v="81.9142"/>
    <n v="175"/>
    <s v="In Transit"/>
    <n v="29.6"/>
    <n v="66"/>
    <s v="Clear"/>
    <n v="34"/>
    <n v="467"/>
    <n v="9"/>
    <s v="Weather"/>
    <n v="98.3"/>
    <n v="220"/>
    <n v="0"/>
    <x v="1"/>
  </r>
  <r>
    <d v="2024-06-13T01:08:32"/>
    <s v="Truck_2"/>
    <s v="57.3299"/>
    <s v="-54.7962"/>
    <n v="357"/>
    <s v="In Transit"/>
    <n v="27.4"/>
    <n v="55.5"/>
    <s v="Detour"/>
    <n v="43"/>
    <n v="207"/>
    <n v="2"/>
    <s v="Weather"/>
    <n v="60.5"/>
    <n v="111"/>
    <n v="0"/>
    <x v="2"/>
  </r>
  <r>
    <d v="2024-01-21T09:04:01"/>
    <s v="Truck_9"/>
    <s v="86.1935"/>
    <s v="59.4987"/>
    <n v="419"/>
    <s v="Delivered"/>
    <n v="26.5"/>
    <n v="56.2"/>
    <s v="Detour"/>
    <n v="15"/>
    <n v="277"/>
    <n v="2"/>
    <s v="Weather"/>
    <n v="68.3"/>
    <n v="280"/>
    <n v="0"/>
    <x v="1"/>
  </r>
  <r>
    <d v="2024-10-05T14:23:31"/>
    <s v="Truck_7"/>
    <s v="59.8543"/>
    <s v="-132.3865"/>
    <n v="455"/>
    <s v="Delivered"/>
    <n v="19.8"/>
    <n v="67.599999999999994"/>
    <s v="Clear"/>
    <n v="22"/>
    <n v="301"/>
    <n v="3"/>
    <s v="Traffic"/>
    <n v="68.2"/>
    <n v="254"/>
    <n v="0"/>
    <x v="1"/>
  </r>
  <r>
    <d v="2024-04-21T07:25:56"/>
    <s v="Truck_2"/>
    <s v="-41.7908"/>
    <s v="84.2001"/>
    <n v="438"/>
    <s v="Delayed"/>
    <n v="24.3"/>
    <n v="78.8"/>
    <s v="Detour"/>
    <n v="33"/>
    <n v="322"/>
    <n v="7"/>
    <s v="Weather"/>
    <n v="79"/>
    <n v="206"/>
    <n v="1"/>
    <x v="1"/>
  </r>
  <r>
    <d v="2024-04-24T22:27:28"/>
    <s v="Truck_6"/>
    <s v="-3.7401"/>
    <s v="43.2693"/>
    <n v="497"/>
    <s v="In Transit"/>
    <n v="28.2"/>
    <n v="68.2"/>
    <s v="Detour"/>
    <n v="47"/>
    <n v="184"/>
    <n v="6"/>
    <s v="Traffic"/>
    <n v="63.8"/>
    <n v="251"/>
    <n v="0"/>
    <x v="1"/>
  </r>
  <r>
    <d v="2024-02-10T07:01:26"/>
    <s v="Truck_8"/>
    <s v="-27.0196"/>
    <s v="-24.0810"/>
    <n v="410"/>
    <s v="In Transit"/>
    <n v="29.8"/>
    <n v="76.2"/>
    <s v="Detour"/>
    <n v="52"/>
    <n v="152"/>
    <n v="2"/>
    <s v="Mechanical Failure"/>
    <n v="76.599999999999994"/>
    <n v="149"/>
    <n v="0"/>
    <x v="1"/>
  </r>
  <r>
    <d v="2024-09-26T16:59:08"/>
    <s v="Truck_7"/>
    <s v="-53.7107"/>
    <s v="-60.5951"/>
    <n v="306"/>
    <s v="Delivered"/>
    <n v="21.5"/>
    <n v="78.5"/>
    <s v="Clear"/>
    <n v="48"/>
    <n v="317"/>
    <n v="7"/>
    <s v="Weather"/>
    <n v="92.8"/>
    <n v="231"/>
    <n v="0"/>
    <x v="1"/>
  </r>
  <r>
    <d v="2024-08-09T14:23:12"/>
    <s v="Truck_3"/>
    <s v="65.9866"/>
    <s v="135.5421"/>
    <n v="209"/>
    <s v="Delayed"/>
    <n v="18.600000000000001"/>
    <n v="69.599999999999994"/>
    <s v="Heavy"/>
    <n v="50"/>
    <n v="357"/>
    <n v="10"/>
    <s v="Traffic"/>
    <n v="92.9"/>
    <n v="125"/>
    <n v="1"/>
    <x v="2"/>
  </r>
  <r>
    <d v="2024-01-05T21:06:52"/>
    <s v="Truck_4"/>
    <s v="-77.8133"/>
    <s v="-89.1179"/>
    <n v="155"/>
    <s v="Delayed"/>
    <n v="30"/>
    <n v="64.5"/>
    <s v="Detour"/>
    <n v="33"/>
    <n v="342"/>
    <n v="6"/>
    <s v="Weather"/>
    <n v="88.2"/>
    <n v="179"/>
    <n v="1"/>
    <x v="1"/>
  </r>
  <r>
    <d v="2024-11-30T06:40:13"/>
    <s v="Truck_3"/>
    <s v="22.3036"/>
    <s v="59.4689"/>
    <n v="318"/>
    <s v="Delayed"/>
    <n v="25.8"/>
    <n v="79.5"/>
    <s v="Detour"/>
    <n v="11"/>
    <n v="161"/>
    <n v="10"/>
    <s v="None"/>
    <n v="90"/>
    <n v="191"/>
    <n v="1"/>
    <x v="1"/>
  </r>
  <r>
    <d v="2024-09-11T08:19:18"/>
    <s v="Truck_9"/>
    <s v="-10.2023"/>
    <s v="76.7946"/>
    <n v="422"/>
    <s v="Delivered"/>
    <n v="23.8"/>
    <n v="62.4"/>
    <s v="Clear"/>
    <n v="10"/>
    <n v="158"/>
    <n v="4"/>
    <s v="Traffic"/>
    <n v="84.7"/>
    <n v="294"/>
    <n v="0"/>
    <x v="0"/>
  </r>
  <r>
    <d v="2024-10-05T23:57:35"/>
    <s v="Truck_2"/>
    <s v="-9.1011"/>
    <s v="102.9819"/>
    <n v="450"/>
    <s v="In Transit"/>
    <n v="22.8"/>
    <n v="58.7"/>
    <s v="Detour"/>
    <n v="45"/>
    <n v="421"/>
    <n v="9"/>
    <s v="None"/>
    <n v="90"/>
    <n v="240"/>
    <n v="0"/>
    <x v="1"/>
  </r>
  <r>
    <d v="2024-10-15T14:03:52"/>
    <s v="Truck_4"/>
    <s v="-85.2973"/>
    <s v="149.0859"/>
    <n v="221"/>
    <s v="Delivered"/>
    <n v="21.6"/>
    <n v="67.7"/>
    <s v="Heavy"/>
    <n v="39"/>
    <n v="430"/>
    <n v="6"/>
    <s v="Traffic"/>
    <n v="71.900000000000006"/>
    <n v="286"/>
    <n v="1"/>
    <x v="0"/>
  </r>
  <r>
    <d v="2024-07-04T09:22:46"/>
    <s v="Truck_7"/>
    <s v="-13.1977"/>
    <s v="107.4226"/>
    <n v="271"/>
    <s v="Delivered"/>
    <n v="18.7"/>
    <n v="75.400000000000006"/>
    <s v="Clear"/>
    <n v="37"/>
    <n v="210"/>
    <n v="10"/>
    <s v="Traffic"/>
    <n v="72"/>
    <n v="120"/>
    <n v="0"/>
    <x v="2"/>
  </r>
  <r>
    <d v="2024-08-21T17:20:39"/>
    <s v="Truck_4"/>
    <s v="-77.3270"/>
    <s v="-33.6001"/>
    <n v="402"/>
    <s v="Delayed"/>
    <n v="18.7"/>
    <n v="59.6"/>
    <s v="Detour"/>
    <n v="16"/>
    <n v="454"/>
    <n v="1"/>
    <s v="Traffic"/>
    <n v="62.9"/>
    <n v="274"/>
    <n v="1"/>
    <x v="1"/>
  </r>
  <r>
    <d v="2024-07-03T06:32:35"/>
    <s v="Truck_1"/>
    <s v="-36.3388"/>
    <s v="69.5488"/>
    <n v="119"/>
    <s v="In Transit"/>
    <n v="24.4"/>
    <n v="68.2"/>
    <s v="Heavy"/>
    <n v="60"/>
    <n v="125"/>
    <n v="3"/>
    <s v="None"/>
    <n v="81.599999999999994"/>
    <n v="106"/>
    <n v="1"/>
    <x v="2"/>
  </r>
  <r>
    <d v="2024-02-20T17:37:42"/>
    <s v="Truck_6"/>
    <s v="-35.4951"/>
    <s v="105.3877"/>
    <n v="385"/>
    <s v="Delivered"/>
    <n v="26.1"/>
    <n v="68.3"/>
    <s v="Clear"/>
    <n v="38"/>
    <n v="114"/>
    <n v="6"/>
    <s v="Weather"/>
    <n v="64.599999999999994"/>
    <n v="190"/>
    <n v="0"/>
    <x v="1"/>
  </r>
  <r>
    <d v="2024-05-25T03:48:33"/>
    <s v="Truck_4"/>
    <s v="-50.7255"/>
    <s v="49.2993"/>
    <n v="443"/>
    <s v="Delivered"/>
    <n v="23.6"/>
    <n v="66.599999999999994"/>
    <s v="Detour"/>
    <n v="42"/>
    <n v="333"/>
    <n v="9"/>
    <s v="Traffic"/>
    <n v="93.1"/>
    <n v="143"/>
    <n v="0"/>
    <x v="1"/>
  </r>
  <r>
    <d v="2024-05-28T16:24:39"/>
    <s v="Truck_4"/>
    <s v="-85.6005"/>
    <s v="35.8883"/>
    <n v="271"/>
    <s v="In Transit"/>
    <n v="23.6"/>
    <n v="74.2"/>
    <s v="Clear"/>
    <n v="30"/>
    <n v="214"/>
    <n v="5"/>
    <s v="Traffic"/>
    <n v="72.099999999999994"/>
    <n v="132"/>
    <n v="0"/>
    <x v="1"/>
  </r>
  <r>
    <d v="2024-09-07T10:37:29"/>
    <s v="Truck_3"/>
    <s v="-15.3475"/>
    <s v="13.3516"/>
    <n v="133"/>
    <s v="Delayed"/>
    <n v="29.4"/>
    <n v="51.6"/>
    <s v="Clear"/>
    <n v="31"/>
    <n v="485"/>
    <n v="3"/>
    <s v="Weather"/>
    <n v="90.1"/>
    <n v="172"/>
    <n v="1"/>
    <x v="1"/>
  </r>
  <r>
    <d v="2024-08-20T15:07:20"/>
    <s v="Truck_4"/>
    <s v="36.4573"/>
    <s v="-60.8255"/>
    <n v="388"/>
    <s v="Delayed"/>
    <n v="23.1"/>
    <n v="64.8"/>
    <s v="Detour"/>
    <n v="23"/>
    <n v="329"/>
    <n v="1"/>
    <s v="Mechanical Failure"/>
    <n v="89.2"/>
    <n v="296"/>
    <n v="1"/>
    <x v="0"/>
  </r>
  <r>
    <d v="2024-11-11T19:15:19"/>
    <s v="Truck_1"/>
    <s v="40.9268"/>
    <s v="-145.2990"/>
    <n v="429"/>
    <s v="In Transit"/>
    <n v="20.9"/>
    <n v="68"/>
    <s v="Heavy"/>
    <n v="50"/>
    <n v="196"/>
    <n v="10"/>
    <s v="Mechanical Failure"/>
    <n v="72.900000000000006"/>
    <n v="123"/>
    <n v="1"/>
    <x v="2"/>
  </r>
  <r>
    <d v="2024-05-27T08:38:06"/>
    <s v="Truck_6"/>
    <s v="-66.0724"/>
    <s v="48.2597"/>
    <n v="145"/>
    <s v="Delivered"/>
    <n v="18.8"/>
    <n v="62.6"/>
    <s v="Detour"/>
    <n v="14"/>
    <n v="408"/>
    <n v="9"/>
    <s v="Weather"/>
    <n v="81.3"/>
    <n v="138"/>
    <n v="0"/>
    <x v="1"/>
  </r>
  <r>
    <d v="2024-04-05T18:56:43"/>
    <s v="Truck_1"/>
    <s v="24.1971"/>
    <s v="18.6930"/>
    <n v="135"/>
    <s v="Delivered"/>
    <n v="20.100000000000001"/>
    <n v="53.8"/>
    <s v="Detour"/>
    <n v="21"/>
    <n v="108"/>
    <n v="10"/>
    <s v="Traffic"/>
    <n v="92"/>
    <n v="243"/>
    <n v="0"/>
    <x v="1"/>
  </r>
  <r>
    <d v="2024-07-23T15:08:30"/>
    <s v="Truck_5"/>
    <s v="46.8609"/>
    <s v="37.8235"/>
    <n v="442"/>
    <s v="Delayed"/>
    <n v="22.2"/>
    <n v="65.400000000000006"/>
    <s v="Detour"/>
    <n v="33"/>
    <n v="492"/>
    <n v="5"/>
    <s v="Weather"/>
    <n v="86.4"/>
    <n v="145"/>
    <n v="1"/>
    <x v="1"/>
  </r>
  <r>
    <d v="2024-03-04T09:24:45"/>
    <s v="Truck_10"/>
    <s v="-56.7854"/>
    <s v="25.8691"/>
    <n v="342"/>
    <s v="Delivered"/>
    <n v="27.2"/>
    <n v="55.1"/>
    <s v="Heavy"/>
    <n v="22"/>
    <n v="326"/>
    <n v="2"/>
    <s v="None"/>
    <n v="64.400000000000006"/>
    <n v="300"/>
    <n v="1"/>
    <x v="0"/>
  </r>
  <r>
    <d v="2024-01-03T12:49:48"/>
    <s v="Truck_10"/>
    <s v="-35.4329"/>
    <s v="9.9153"/>
    <n v="308"/>
    <s v="Delayed"/>
    <n v="25.2"/>
    <n v="52.5"/>
    <s v="Heavy"/>
    <n v="19"/>
    <n v="475"/>
    <n v="8"/>
    <s v="Mechanical Failure"/>
    <n v="95"/>
    <n v="206"/>
    <n v="1"/>
    <x v="1"/>
  </r>
  <r>
    <d v="2024-04-05T20:20:25"/>
    <s v="Truck_7"/>
    <s v="63.6965"/>
    <s v="-131.1519"/>
    <n v="358"/>
    <s v="Delayed"/>
    <n v="21.6"/>
    <n v="61.7"/>
    <s v="Clear"/>
    <n v="23"/>
    <n v="127"/>
    <n v="6"/>
    <s v="None"/>
    <n v="85.7"/>
    <n v="199"/>
    <n v="1"/>
    <x v="1"/>
  </r>
  <r>
    <d v="2024-05-08T10:09:06"/>
    <s v="Truck_6"/>
    <s v="-43.4171"/>
    <s v="160.8423"/>
    <n v="128"/>
    <s v="Delayed"/>
    <n v="23"/>
    <n v="69.7"/>
    <s v="Clear"/>
    <n v="30"/>
    <n v="462"/>
    <n v="8"/>
    <s v="None"/>
    <n v="76.7"/>
    <n v="105"/>
    <n v="1"/>
    <x v="2"/>
  </r>
  <r>
    <d v="2024-07-07T19:49:15"/>
    <s v="Truck_2"/>
    <s v="-82.7058"/>
    <s v="-62.7040"/>
    <n v="426"/>
    <s v="Delayed"/>
    <n v="24.2"/>
    <n v="75.7"/>
    <s v="Clear"/>
    <n v="51"/>
    <n v="303"/>
    <n v="10"/>
    <s v="Mechanical Failure"/>
    <n v="94.1"/>
    <n v="160"/>
    <n v="1"/>
    <x v="1"/>
  </r>
  <r>
    <d v="2024-11-26T22:45:24"/>
    <s v="Truck_6"/>
    <s v="-75.3211"/>
    <s v="-58.7749"/>
    <n v="349"/>
    <s v="Delivered"/>
    <n v="21.1"/>
    <n v="54.1"/>
    <s v="Detour"/>
    <n v="47"/>
    <n v="290"/>
    <n v="5"/>
    <s v="None"/>
    <n v="70.400000000000006"/>
    <n v="233"/>
    <n v="0"/>
    <x v="1"/>
  </r>
  <r>
    <d v="2024-01-04T03:12:31"/>
    <s v="Truck_4"/>
    <s v="-50.7085"/>
    <s v="-85.4515"/>
    <n v="173"/>
    <s v="In Transit"/>
    <n v="23.1"/>
    <n v="56"/>
    <s v="Heavy"/>
    <n v="50"/>
    <n v="440"/>
    <n v="3"/>
    <s v="Mechanical Failure"/>
    <n v="73.400000000000006"/>
    <n v="289"/>
    <n v="1"/>
    <x v="0"/>
  </r>
  <r>
    <d v="2024-07-31T14:59:23"/>
    <s v="Truck_10"/>
    <s v="70.7101"/>
    <s v="-175.9865"/>
    <n v="184"/>
    <s v="Delayed"/>
    <n v="24.5"/>
    <n v="54.9"/>
    <s v="Detour"/>
    <n v="23"/>
    <n v="159"/>
    <n v="7"/>
    <s v="Traffic"/>
    <n v="60.2"/>
    <n v="120"/>
    <n v="1"/>
    <x v="2"/>
  </r>
  <r>
    <d v="2024-05-23T23:23:37"/>
    <s v="Truck_5"/>
    <s v="-71.1004"/>
    <s v="-147.7570"/>
    <n v="318"/>
    <s v="Delayed"/>
    <n v="25.5"/>
    <n v="64.3"/>
    <s v="Heavy"/>
    <n v="15"/>
    <n v="215"/>
    <n v="8"/>
    <s v="Traffic"/>
    <n v="69.099999999999994"/>
    <n v="158"/>
    <n v="1"/>
    <x v="1"/>
  </r>
  <r>
    <d v="2024-07-04T00:05:02"/>
    <s v="Truck_3"/>
    <s v="-76.8972"/>
    <s v="-3.6358"/>
    <n v="288"/>
    <s v="Delivered"/>
    <n v="24.7"/>
    <n v="67.400000000000006"/>
    <s v="Detour"/>
    <n v="37"/>
    <n v="230"/>
    <n v="7"/>
    <s v="Mechanical Failure"/>
    <n v="65"/>
    <n v="259"/>
    <n v="0"/>
    <x v="1"/>
  </r>
  <r>
    <d v="2024-08-18T23:25:47"/>
    <s v="Truck_6"/>
    <s v="39.7998"/>
    <s v="58.7461"/>
    <n v="317"/>
    <s v="Delivered"/>
    <n v="18.5"/>
    <n v="66"/>
    <s v="Heavy"/>
    <n v="36"/>
    <n v="465"/>
    <n v="1"/>
    <s v="Mechanical Failure"/>
    <n v="68"/>
    <n v="180"/>
    <n v="1"/>
    <x v="1"/>
  </r>
  <r>
    <d v="2024-10-23T15:20:16"/>
    <s v="Truck_7"/>
    <s v="78.5954"/>
    <s v="-173.0016"/>
    <n v="122"/>
    <s v="In Transit"/>
    <n v="26.7"/>
    <n v="73.2"/>
    <s v="Clear"/>
    <n v="37"/>
    <n v="128"/>
    <n v="9"/>
    <s v="None"/>
    <n v="81.400000000000006"/>
    <n v="174"/>
    <n v="0"/>
    <x v="1"/>
  </r>
  <r>
    <d v="2024-07-02T16:40:43"/>
    <s v="Truck_4"/>
    <s v="-53.5264"/>
    <s v="13.0019"/>
    <n v="291"/>
    <s v="Delivered"/>
    <n v="24.2"/>
    <n v="67"/>
    <s v="Heavy"/>
    <n v="29"/>
    <n v="431"/>
    <n v="9"/>
    <s v="Traffic"/>
    <n v="90.1"/>
    <n v="172"/>
    <n v="1"/>
    <x v="1"/>
  </r>
  <r>
    <d v="2024-01-10T16:52:14"/>
    <s v="Truck_1"/>
    <s v="49.3049"/>
    <s v="-55.6493"/>
    <n v="199"/>
    <s v="Delivered"/>
    <n v="23.4"/>
    <n v="64.400000000000006"/>
    <s v="Heavy"/>
    <n v="59"/>
    <n v="476"/>
    <n v="10"/>
    <s v="Traffic"/>
    <n v="81.3"/>
    <n v="123"/>
    <n v="1"/>
    <x v="2"/>
  </r>
  <r>
    <d v="2024-10-25T16:02:14"/>
    <s v="Truck_8"/>
    <s v="72.9981"/>
    <s v="12.4029"/>
    <n v="488"/>
    <s v="Delivered"/>
    <n v="21.9"/>
    <n v="75.8"/>
    <s v="Detour"/>
    <n v="30"/>
    <n v="147"/>
    <n v="3"/>
    <s v="Mechanical Failure"/>
    <n v="81.599999999999994"/>
    <n v="252"/>
    <n v="0"/>
    <x v="1"/>
  </r>
  <r>
    <d v="2024-02-27T21:46:02"/>
    <s v="Truck_1"/>
    <s v="80.4177"/>
    <s v="-39.9632"/>
    <n v="445"/>
    <s v="Delayed"/>
    <n v="20.6"/>
    <n v="68.2"/>
    <s v="Clear"/>
    <n v="41"/>
    <n v="418"/>
    <n v="9"/>
    <s v="None"/>
    <n v="93.6"/>
    <n v="184"/>
    <n v="1"/>
    <x v="1"/>
  </r>
  <r>
    <d v="2024-08-06T04:29:22"/>
    <s v="Truck_2"/>
    <s v="-51.0247"/>
    <s v="1.8063"/>
    <n v="247"/>
    <s v="Delayed"/>
    <n v="19.3"/>
    <n v="62.9"/>
    <s v="Clear"/>
    <n v="55"/>
    <n v="466"/>
    <n v="2"/>
    <s v="Weather"/>
    <n v="78"/>
    <n v="183"/>
    <n v="1"/>
    <x v="1"/>
  </r>
  <r>
    <d v="2024-09-09T18:54:20"/>
    <s v="Truck_4"/>
    <s v="5.2922"/>
    <s v="172.6376"/>
    <n v="351"/>
    <s v="In Transit"/>
    <n v="29.7"/>
    <n v="52.1"/>
    <s v="Clear"/>
    <n v="41"/>
    <n v="330"/>
    <n v="8"/>
    <s v="Weather"/>
    <n v="94.5"/>
    <n v="108"/>
    <n v="0"/>
    <x v="2"/>
  </r>
  <r>
    <d v="2024-01-21T12:56:09"/>
    <s v="Truck_1"/>
    <s v="54.3099"/>
    <s v="-98.9410"/>
    <n v="311"/>
    <s v="Delayed"/>
    <n v="28.9"/>
    <n v="77.8"/>
    <s v="Heavy"/>
    <n v="43"/>
    <n v="415"/>
    <n v="1"/>
    <s v="Mechanical Failure"/>
    <n v="76.400000000000006"/>
    <n v="210"/>
    <n v="1"/>
    <x v="1"/>
  </r>
  <r>
    <d v="2024-10-23T21:11:00"/>
    <s v="Truck_5"/>
    <s v="-3.8161"/>
    <s v="-159.7257"/>
    <n v="495"/>
    <s v="Delivered"/>
    <n v="29.5"/>
    <n v="50.6"/>
    <s v="Detour"/>
    <n v="58"/>
    <n v="179"/>
    <n v="3"/>
    <s v="Mechanical Failure"/>
    <n v="72.3"/>
    <n v="245"/>
    <n v="0"/>
    <x v="1"/>
  </r>
  <r>
    <d v="2024-03-22T03:06:23"/>
    <s v="Truck_3"/>
    <s v="-69.8431"/>
    <s v="-171.5361"/>
    <n v="237"/>
    <s v="In Transit"/>
    <n v="23.6"/>
    <n v="62.7"/>
    <s v="Detour"/>
    <n v="35"/>
    <n v="323"/>
    <n v="9"/>
    <s v="Weather"/>
    <n v="66.8"/>
    <n v="267"/>
    <n v="0"/>
    <x v="1"/>
  </r>
  <r>
    <d v="2024-09-07T01:58:48"/>
    <s v="Truck_2"/>
    <s v="9.3528"/>
    <s v="120.0011"/>
    <n v="290"/>
    <s v="Delivered"/>
    <n v="28.7"/>
    <n v="72.599999999999994"/>
    <s v="Clear"/>
    <n v="45"/>
    <n v="151"/>
    <n v="8"/>
    <s v="Traffic"/>
    <n v="81.7"/>
    <n v="280"/>
    <n v="0"/>
    <x v="1"/>
  </r>
  <r>
    <d v="2024-02-13T05:24:13"/>
    <s v="Truck_2"/>
    <s v="-74.3396"/>
    <s v="-150.6339"/>
    <n v="111"/>
    <s v="Delayed"/>
    <n v="22.7"/>
    <n v="75.599999999999994"/>
    <s v="Clear"/>
    <n v="47"/>
    <n v="207"/>
    <n v="4"/>
    <s v="None"/>
    <n v="60.4"/>
    <n v="131"/>
    <n v="1"/>
    <x v="1"/>
  </r>
  <r>
    <d v="2024-01-30T15:36:36"/>
    <s v="Truck_2"/>
    <s v="-62.0623"/>
    <s v="133.8872"/>
    <n v="373"/>
    <s v="Delayed"/>
    <n v="27.6"/>
    <n v="65.8"/>
    <s v="Heavy"/>
    <n v="23"/>
    <n v="396"/>
    <n v="1"/>
    <s v="Traffic"/>
    <n v="79.3"/>
    <n v="126"/>
    <n v="1"/>
    <x v="1"/>
  </r>
  <r>
    <d v="2024-03-06T06:10:28"/>
    <s v="Truck_10"/>
    <s v="-53.1354"/>
    <s v="-164.4880"/>
    <n v="458"/>
    <s v="In Transit"/>
    <n v="25.5"/>
    <n v="52.1"/>
    <s v="Detour"/>
    <n v="32"/>
    <n v="183"/>
    <n v="6"/>
    <s v="Weather"/>
    <n v="93.5"/>
    <n v="154"/>
    <n v="0"/>
    <x v="1"/>
  </r>
  <r>
    <d v="2024-10-31T07:46:12"/>
    <s v="Truck_4"/>
    <s v="85.0389"/>
    <s v="-138.3248"/>
    <n v="354"/>
    <s v="In Transit"/>
    <n v="24.7"/>
    <n v="64.099999999999994"/>
    <s v="Detour"/>
    <n v="15"/>
    <n v="298"/>
    <n v="4"/>
    <s v="Mechanical Failure"/>
    <n v="71.900000000000006"/>
    <n v="162"/>
    <n v="0"/>
    <x v="1"/>
  </r>
  <r>
    <d v="2024-06-21T10:02:05"/>
    <s v="Truck_3"/>
    <s v="48.9598"/>
    <s v="-160.9134"/>
    <n v="165"/>
    <s v="Delayed"/>
    <n v="28.8"/>
    <n v="51.6"/>
    <s v="Heavy"/>
    <n v="49"/>
    <n v="410"/>
    <n v="8"/>
    <s v="Mechanical Failure"/>
    <n v="88.4"/>
    <n v="291"/>
    <n v="1"/>
    <x v="0"/>
  </r>
  <r>
    <d v="2024-07-25T17:59:38"/>
    <s v="Truck_8"/>
    <s v="44.3639"/>
    <s v="134.3967"/>
    <n v="471"/>
    <s v="Delayed"/>
    <n v="19.8"/>
    <n v="55.2"/>
    <s v="Clear"/>
    <n v="36"/>
    <n v="369"/>
    <n v="6"/>
    <s v="Mechanical Failure"/>
    <n v="94.7"/>
    <n v="183"/>
    <n v="1"/>
    <x v="1"/>
  </r>
  <r>
    <d v="2024-02-21T22:00:35"/>
    <s v="Truck_8"/>
    <s v="-33.1628"/>
    <s v="143.5570"/>
    <n v="410"/>
    <s v="Delivered"/>
    <n v="27.5"/>
    <n v="58.5"/>
    <s v="Detour"/>
    <n v="21"/>
    <n v="439"/>
    <n v="9"/>
    <s v="Mechanical Failure"/>
    <n v="72.400000000000006"/>
    <n v="182"/>
    <n v="0"/>
    <x v="1"/>
  </r>
  <r>
    <d v="2024-06-22T06:59:47"/>
    <s v="Truck_8"/>
    <s v="-61.1518"/>
    <s v="140.8152"/>
    <n v="407"/>
    <s v="In Transit"/>
    <n v="19.899999999999999"/>
    <n v="50.7"/>
    <s v="Heavy"/>
    <n v="55"/>
    <n v="421"/>
    <n v="1"/>
    <s v="Mechanical Failure"/>
    <n v="87.2"/>
    <n v="237"/>
    <n v="1"/>
    <x v="1"/>
  </r>
  <r>
    <d v="2024-02-09T21:00:56"/>
    <s v="Truck_10"/>
    <s v="-87.8115"/>
    <s v="97.0492"/>
    <n v="134"/>
    <s v="Delivered"/>
    <n v="19.5"/>
    <n v="75.3"/>
    <s v="Clear"/>
    <n v="45"/>
    <n v="424"/>
    <n v="6"/>
    <s v="Weather"/>
    <n v="80.900000000000006"/>
    <n v="175"/>
    <n v="0"/>
    <x v="1"/>
  </r>
  <r>
    <d v="2024-12-16T00:30:52"/>
    <s v="Truck_10"/>
    <s v="-48.3575"/>
    <s v="115.8351"/>
    <n v="394"/>
    <s v="Delayed"/>
    <n v="26.9"/>
    <n v="62.1"/>
    <s v="Detour"/>
    <n v="29"/>
    <n v="419"/>
    <n v="10"/>
    <s v="None"/>
    <n v="90.7"/>
    <n v="139"/>
    <n v="1"/>
    <x v="1"/>
  </r>
  <r>
    <d v="2024-03-22T23:53:31"/>
    <s v="Truck_10"/>
    <s v="-59.5674"/>
    <s v="11.3653"/>
    <n v="480"/>
    <s v="Delayed"/>
    <n v="23.9"/>
    <n v="57.9"/>
    <s v="Heavy"/>
    <n v="57"/>
    <n v="204"/>
    <n v="6"/>
    <s v="None"/>
    <n v="62.3"/>
    <n v="146"/>
    <n v="1"/>
    <x v="1"/>
  </r>
  <r>
    <d v="2024-07-26T08:02:20"/>
    <s v="Truck_7"/>
    <s v="-37.2055"/>
    <s v="79.4485"/>
    <n v="159"/>
    <s v="In Transit"/>
    <n v="25.6"/>
    <n v="76.599999999999994"/>
    <s v="Clear"/>
    <n v="25"/>
    <n v="213"/>
    <n v="5"/>
    <s v="Weather"/>
    <n v="82.2"/>
    <n v="144"/>
    <n v="0"/>
    <x v="1"/>
  </r>
  <r>
    <d v="2024-04-11T04:50:12"/>
    <s v="Truck_8"/>
    <s v="38.1095"/>
    <s v="164.7654"/>
    <n v="131"/>
    <s v="Delayed"/>
    <n v="19.100000000000001"/>
    <n v="73.3"/>
    <s v="Heavy"/>
    <n v="10"/>
    <n v="353"/>
    <n v="3"/>
    <s v="Weather"/>
    <n v="89.4"/>
    <n v="149"/>
    <n v="1"/>
    <x v="1"/>
  </r>
  <r>
    <d v="2024-05-31T15:07:16"/>
    <s v="Truck_1"/>
    <s v="-20.0991"/>
    <s v="20.1825"/>
    <n v="224"/>
    <s v="Delayed"/>
    <n v="20.2"/>
    <n v="58.9"/>
    <s v="Heavy"/>
    <n v="34"/>
    <n v="166"/>
    <n v="6"/>
    <s v="Mechanical Failure"/>
    <n v="84.6"/>
    <n v="105"/>
    <n v="1"/>
    <x v="2"/>
  </r>
  <r>
    <d v="2024-04-12T15:44:47"/>
    <s v="Truck_10"/>
    <s v="89.3898"/>
    <s v="-93.1034"/>
    <n v="120"/>
    <s v="Delivered"/>
    <n v="22.6"/>
    <n v="56.4"/>
    <s v="Clear"/>
    <n v="60"/>
    <n v="151"/>
    <n v="9"/>
    <s v="Weather"/>
    <n v="69.900000000000006"/>
    <n v="194"/>
    <n v="0"/>
    <x v="1"/>
  </r>
  <r>
    <d v="2024-03-14T18:05:27"/>
    <s v="Truck_4"/>
    <s v="85.8393"/>
    <s v="74.4208"/>
    <n v="321"/>
    <s v="Delayed"/>
    <n v="30"/>
    <n v="75.400000000000006"/>
    <s v="Heavy"/>
    <n v="14"/>
    <n v="391"/>
    <n v="1"/>
    <s v="None"/>
    <n v="67.3"/>
    <n v="138"/>
    <n v="1"/>
    <x v="1"/>
  </r>
  <r>
    <d v="2024-08-09T21:10:15"/>
    <s v="Truck_1"/>
    <s v="29.5637"/>
    <s v="-162.3390"/>
    <n v="238"/>
    <s v="Delivered"/>
    <n v="26.6"/>
    <n v="50.9"/>
    <s v="Heavy"/>
    <n v="59"/>
    <n v="160"/>
    <n v="1"/>
    <s v="Mechanical Failure"/>
    <n v="76.8"/>
    <n v="233"/>
    <n v="1"/>
    <x v="1"/>
  </r>
  <r>
    <d v="2024-09-18T10:59:43"/>
    <s v="Truck_1"/>
    <s v="13.5274"/>
    <s v="-108.9153"/>
    <n v="297"/>
    <s v="In Transit"/>
    <n v="18.100000000000001"/>
    <n v="77.3"/>
    <s v="Clear"/>
    <n v="22"/>
    <n v="376"/>
    <n v="10"/>
    <s v="None"/>
    <n v="80.2"/>
    <n v="168"/>
    <n v="0"/>
    <x v="1"/>
  </r>
  <r>
    <d v="2024-03-13T21:43:28"/>
    <s v="Truck_2"/>
    <s v="49.8896"/>
    <s v="46.7765"/>
    <n v="219"/>
    <s v="Delivered"/>
    <n v="22.3"/>
    <n v="56.9"/>
    <s v="Heavy"/>
    <n v="44"/>
    <n v="144"/>
    <n v="8"/>
    <s v="None"/>
    <n v="62.2"/>
    <n v="188"/>
    <n v="1"/>
    <x v="1"/>
  </r>
  <r>
    <d v="2024-08-17T04:39:18"/>
    <s v="Truck_3"/>
    <s v="61.9951"/>
    <s v="28.0639"/>
    <n v="204"/>
    <s v="In Transit"/>
    <n v="29.8"/>
    <n v="58.9"/>
    <s v="Heavy"/>
    <n v="10"/>
    <n v="484"/>
    <n v="3"/>
    <s v="Weather"/>
    <n v="93"/>
    <n v="238"/>
    <n v="1"/>
    <x v="1"/>
  </r>
  <r>
    <d v="2024-01-31T00:01:35"/>
    <s v="Truck_1"/>
    <s v="88.3545"/>
    <s v="123.8561"/>
    <n v="469"/>
    <s v="In Transit"/>
    <n v="21.5"/>
    <n v="52.2"/>
    <s v="Heavy"/>
    <n v="56"/>
    <n v="405"/>
    <n v="10"/>
    <s v="Weather"/>
    <n v="95.5"/>
    <n v="135"/>
    <n v="1"/>
    <x v="1"/>
  </r>
  <r>
    <d v="2024-02-27T17:30:37"/>
    <s v="Truck_9"/>
    <s v="-1.4258"/>
    <s v="112.8174"/>
    <n v="146"/>
    <s v="Delayed"/>
    <n v="24.2"/>
    <n v="72.400000000000006"/>
    <s v="Clear"/>
    <n v="22"/>
    <n v="321"/>
    <n v="9"/>
    <s v="Mechanical Failure"/>
    <n v="88.2"/>
    <n v="190"/>
    <n v="1"/>
    <x v="1"/>
  </r>
  <r>
    <d v="2024-09-22T00:34:04"/>
    <s v="Truck_3"/>
    <s v="-18.3801"/>
    <s v="-175.0496"/>
    <n v="215"/>
    <s v="Delivered"/>
    <n v="18.899999999999999"/>
    <n v="63.4"/>
    <s v="Heavy"/>
    <n v="57"/>
    <n v="382"/>
    <n v="4"/>
    <s v="Weather"/>
    <n v="71.2"/>
    <n v="274"/>
    <n v="1"/>
    <x v="1"/>
  </r>
  <r>
    <d v="2024-10-03T07:58:45"/>
    <s v="Truck_3"/>
    <s v="72.6206"/>
    <s v="46.1393"/>
    <n v="454"/>
    <s v="In Transit"/>
    <n v="22.8"/>
    <n v="73.3"/>
    <s v="Heavy"/>
    <n v="45"/>
    <n v="276"/>
    <n v="5"/>
    <s v="Weather"/>
    <n v="87.4"/>
    <n v="261"/>
    <n v="1"/>
    <x v="1"/>
  </r>
  <r>
    <d v="2024-08-14T19:26:01"/>
    <s v="Truck_4"/>
    <s v="-10.0844"/>
    <s v="-0.6042"/>
    <n v="145"/>
    <s v="Delivered"/>
    <n v="29.2"/>
    <n v="67.3"/>
    <s v="Clear"/>
    <n v="36"/>
    <n v="230"/>
    <n v="4"/>
    <s v="Traffic"/>
    <n v="85.3"/>
    <n v="269"/>
    <n v="0"/>
    <x v="1"/>
  </r>
  <r>
    <d v="2024-12-24T21:30:03"/>
    <s v="Truck_10"/>
    <s v="73.6225"/>
    <s v="125.9589"/>
    <n v="410"/>
    <s v="Delivered"/>
    <n v="18.8"/>
    <n v="78"/>
    <s v="Heavy"/>
    <n v="35"/>
    <n v="228"/>
    <n v="2"/>
    <s v="Mechanical Failure"/>
    <n v="92.1"/>
    <n v="111"/>
    <n v="1"/>
    <x v="2"/>
  </r>
  <r>
    <d v="2024-07-16T21:14:02"/>
    <s v="Truck_4"/>
    <s v="-67.5109"/>
    <s v="-162.0537"/>
    <n v="350"/>
    <s v="Delayed"/>
    <n v="21.8"/>
    <n v="60.4"/>
    <s v="Clear"/>
    <n v="15"/>
    <n v="238"/>
    <n v="3"/>
    <s v="Weather"/>
    <n v="81.099999999999994"/>
    <n v="300"/>
    <n v="1"/>
    <x v="0"/>
  </r>
  <r>
    <d v="2024-12-01T17:38:54"/>
    <s v="Truck_1"/>
    <s v="-4.4200"/>
    <s v="-44.1619"/>
    <n v="474"/>
    <s v="Delayed"/>
    <n v="29.5"/>
    <n v="51.1"/>
    <s v="Detour"/>
    <n v="34"/>
    <n v="136"/>
    <n v="8"/>
    <s v="None"/>
    <n v="67.8"/>
    <n v="268"/>
    <n v="1"/>
    <x v="1"/>
  </r>
  <r>
    <d v="2024-10-08T12:36:02"/>
    <s v="Truck_1"/>
    <s v="-31.9299"/>
    <s v="48.9536"/>
    <n v="357"/>
    <s v="Delivered"/>
    <n v="20.9"/>
    <n v="50.9"/>
    <s v="Detour"/>
    <n v="30"/>
    <n v="495"/>
    <n v="1"/>
    <s v="Weather"/>
    <n v="65.599999999999994"/>
    <n v="288"/>
    <n v="0"/>
    <x v="0"/>
  </r>
  <r>
    <d v="2024-05-27T19:21:26"/>
    <s v="Truck_1"/>
    <s v="-84.5861"/>
    <s v="-56.9044"/>
    <n v="171"/>
    <s v="In Transit"/>
    <n v="28.8"/>
    <n v="59.3"/>
    <s v="Clear"/>
    <n v="56"/>
    <n v="437"/>
    <n v="10"/>
    <s v="None"/>
    <n v="99.6"/>
    <n v="235"/>
    <n v="0"/>
    <x v="1"/>
  </r>
  <r>
    <d v="2024-03-21T22:22:44"/>
    <s v="Truck_3"/>
    <s v="-20.6577"/>
    <s v="-86.8013"/>
    <n v="137"/>
    <s v="Delivered"/>
    <n v="24"/>
    <n v="78"/>
    <s v="Heavy"/>
    <n v="29"/>
    <n v="425"/>
    <n v="7"/>
    <s v="Weather"/>
    <n v="69.400000000000006"/>
    <n v="270"/>
    <n v="1"/>
    <x v="1"/>
  </r>
  <r>
    <d v="2024-05-04T10:52:10"/>
    <s v="Truck_3"/>
    <s v="-56.5959"/>
    <s v="153.5316"/>
    <n v="147"/>
    <s v="Delivered"/>
    <n v="24.9"/>
    <n v="67.599999999999994"/>
    <s v="Heavy"/>
    <n v="57"/>
    <n v="157"/>
    <n v="4"/>
    <s v="Traffic"/>
    <n v="62.1"/>
    <n v="261"/>
    <n v="1"/>
    <x v="1"/>
  </r>
  <r>
    <d v="2024-05-11T12:13:27"/>
    <s v="Truck_5"/>
    <s v="20.6546"/>
    <s v="79.9499"/>
    <n v="194"/>
    <s v="In Transit"/>
    <n v="22.9"/>
    <n v="69.7"/>
    <s v="Clear"/>
    <n v="11"/>
    <n v="140"/>
    <n v="4"/>
    <s v="Weather"/>
    <n v="84.7"/>
    <n v="293"/>
    <n v="0"/>
    <x v="0"/>
  </r>
  <r>
    <d v="2024-12-28T20:25:19"/>
    <s v="Truck_5"/>
    <s v="-19.7553"/>
    <s v="54.2697"/>
    <n v="291"/>
    <s v="Delayed"/>
    <n v="24.1"/>
    <n v="70.8"/>
    <s v="Heavy"/>
    <n v="25"/>
    <n v="414"/>
    <n v="8"/>
    <s v="None"/>
    <n v="99.4"/>
    <n v="225"/>
    <n v="1"/>
    <x v="1"/>
  </r>
  <r>
    <d v="2024-04-06T01:48:36"/>
    <s v="Truck_3"/>
    <s v="68.0702"/>
    <s v="98.5995"/>
    <n v="176"/>
    <s v="Delivered"/>
    <n v="29.5"/>
    <n v="61.9"/>
    <s v="Clear"/>
    <n v="31"/>
    <n v="306"/>
    <n v="6"/>
    <s v="Weather"/>
    <n v="73.5"/>
    <n v="217"/>
    <n v="0"/>
    <x v="1"/>
  </r>
  <r>
    <d v="2024-08-12T10:11:42"/>
    <s v="Truck_4"/>
    <s v="25.9640"/>
    <s v="-133.3578"/>
    <n v="240"/>
    <s v="In Transit"/>
    <n v="27.4"/>
    <n v="72.900000000000006"/>
    <s v="Detour"/>
    <n v="29"/>
    <n v="272"/>
    <n v="8"/>
    <s v="Mechanical Failure"/>
    <n v="72.3"/>
    <n v="106"/>
    <n v="0"/>
    <x v="2"/>
  </r>
  <r>
    <d v="2024-02-08T10:12:13"/>
    <s v="Truck_1"/>
    <s v="-86.7010"/>
    <s v="-140.0339"/>
    <n v="412"/>
    <s v="Delayed"/>
    <n v="23.8"/>
    <n v="71.599999999999994"/>
    <s v="Heavy"/>
    <n v="54"/>
    <n v="301"/>
    <n v="6"/>
    <s v="Weather"/>
    <n v="76.8"/>
    <n v="183"/>
    <n v="1"/>
    <x v="1"/>
  </r>
  <r>
    <d v="2024-10-02T18:31:19"/>
    <s v="Truck_2"/>
    <s v="-35.9441"/>
    <s v="-133.4183"/>
    <n v="359"/>
    <s v="Delivered"/>
    <n v="22.6"/>
    <n v="72.900000000000006"/>
    <s v="Clear"/>
    <n v="60"/>
    <n v="142"/>
    <n v="4"/>
    <s v="Traffic"/>
    <n v="78.5"/>
    <n v="255"/>
    <n v="0"/>
    <x v="1"/>
  </r>
  <r>
    <d v="2024-11-25T18:46:06"/>
    <s v="Truck_8"/>
    <s v="62.9176"/>
    <s v="116.0170"/>
    <n v="491"/>
    <s v="In Transit"/>
    <n v="20.6"/>
    <n v="74.7"/>
    <s v="Detour"/>
    <n v="16"/>
    <n v="183"/>
    <n v="7"/>
    <s v="Weather"/>
    <n v="60.3"/>
    <n v="273"/>
    <n v="0"/>
    <x v="1"/>
  </r>
  <r>
    <d v="2024-03-28T14:33:39"/>
    <s v="Truck_3"/>
    <s v="69.7549"/>
    <s v="-126.8123"/>
    <n v="130"/>
    <s v="Delayed"/>
    <n v="29.9"/>
    <n v="65"/>
    <s v="Detour"/>
    <n v="50"/>
    <n v="385"/>
    <n v="10"/>
    <s v="Traffic"/>
    <n v="72.599999999999994"/>
    <n v="106"/>
    <n v="1"/>
    <x v="2"/>
  </r>
  <r>
    <d v="2024-12-14T12:42:18"/>
    <s v="Truck_8"/>
    <s v="-0.5355"/>
    <s v="120.9793"/>
    <n v="336"/>
    <s v="In Transit"/>
    <n v="22.1"/>
    <n v="75.2"/>
    <s v="Detour"/>
    <n v="33"/>
    <n v="443"/>
    <n v="5"/>
    <s v="Mechanical Failure"/>
    <n v="73.2"/>
    <n v="186"/>
    <n v="0"/>
    <x v="1"/>
  </r>
  <r>
    <d v="2024-03-13T18:47:10"/>
    <s v="Truck_9"/>
    <s v="57.9277"/>
    <s v="-106.3278"/>
    <n v="330"/>
    <s v="In Transit"/>
    <n v="29.5"/>
    <n v="68.5"/>
    <s v="Clear"/>
    <n v="14"/>
    <n v="358"/>
    <n v="1"/>
    <s v="Mechanical Failure"/>
    <n v="70"/>
    <n v="283"/>
    <n v="0"/>
    <x v="1"/>
  </r>
  <r>
    <d v="2024-02-28T00:53:35"/>
    <s v="Truck_6"/>
    <s v="-86.1770"/>
    <s v="112.1068"/>
    <n v="118"/>
    <s v="In Transit"/>
    <n v="25.1"/>
    <n v="59.5"/>
    <s v="Clear"/>
    <n v="36"/>
    <n v="200"/>
    <n v="1"/>
    <s v="None"/>
    <n v="80.599999999999994"/>
    <n v="239"/>
    <n v="0"/>
    <x v="1"/>
  </r>
  <r>
    <d v="2024-10-18T21:26:27"/>
    <s v="Truck_2"/>
    <s v="-9.2728"/>
    <s v="-173.0699"/>
    <n v="147"/>
    <s v="In Transit"/>
    <n v="21.6"/>
    <n v="52"/>
    <s v="Clear"/>
    <n v="24"/>
    <n v="187"/>
    <n v="7"/>
    <s v="Traffic"/>
    <n v="71"/>
    <n v="173"/>
    <n v="0"/>
    <x v="1"/>
  </r>
  <r>
    <d v="2024-01-11T03:09:35"/>
    <s v="Truck_3"/>
    <s v="-84.3224"/>
    <s v="76.1163"/>
    <n v="258"/>
    <s v="Delivered"/>
    <n v="23.3"/>
    <n v="71.8"/>
    <s v="Heavy"/>
    <n v="20"/>
    <n v="466"/>
    <n v="7"/>
    <s v="Traffic"/>
    <n v="80.599999999999994"/>
    <n v="277"/>
    <n v="1"/>
    <x v="1"/>
  </r>
  <r>
    <d v="2024-09-25T09:44:50"/>
    <s v="Truck_7"/>
    <s v="-27.8806"/>
    <s v="-32.4778"/>
    <n v="315"/>
    <s v="Delayed"/>
    <n v="21.7"/>
    <n v="54.9"/>
    <s v="Heavy"/>
    <n v="51"/>
    <n v="479"/>
    <n v="7"/>
    <s v="Traffic"/>
    <n v="83.7"/>
    <n v="293"/>
    <n v="1"/>
    <x v="0"/>
  </r>
  <r>
    <d v="2024-06-26T20:47:39"/>
    <s v="Truck_8"/>
    <s v="-48.8409"/>
    <s v="171.3320"/>
    <n v="233"/>
    <s v="Delayed"/>
    <n v="25.3"/>
    <n v="52.8"/>
    <s v="Detour"/>
    <n v="19"/>
    <n v="123"/>
    <n v="7"/>
    <s v="Weather"/>
    <n v="92.3"/>
    <n v="192"/>
    <n v="1"/>
    <x v="1"/>
  </r>
  <r>
    <d v="2024-02-24T07:23:53"/>
    <s v="Truck_4"/>
    <s v="28.6270"/>
    <s v="162.8857"/>
    <n v="282"/>
    <s v="Delivered"/>
    <n v="18.399999999999999"/>
    <n v="68.8"/>
    <s v="Heavy"/>
    <n v="16"/>
    <n v="281"/>
    <n v="4"/>
    <s v="Mechanical Failure"/>
    <n v="78.8"/>
    <n v="285"/>
    <n v="1"/>
    <x v="0"/>
  </r>
  <r>
    <d v="2024-02-04T20:41:18"/>
    <s v="Truck_2"/>
    <s v="-7.2601"/>
    <s v="52.5120"/>
    <n v="117"/>
    <s v="Delayed"/>
    <n v="28"/>
    <n v="73.900000000000006"/>
    <s v="Heavy"/>
    <n v="55"/>
    <n v="156"/>
    <n v="10"/>
    <s v="Weather"/>
    <n v="63.7"/>
    <n v="277"/>
    <n v="1"/>
    <x v="1"/>
  </r>
  <r>
    <d v="2024-02-28T18:13:16"/>
    <s v="Truck_1"/>
    <s v="-16.8576"/>
    <s v="-8.0033"/>
    <n v="242"/>
    <s v="In Transit"/>
    <n v="23.7"/>
    <n v="56"/>
    <s v="Detour"/>
    <n v="41"/>
    <n v="190"/>
    <n v="5"/>
    <s v="Traffic"/>
    <n v="61.8"/>
    <n v="265"/>
    <n v="0"/>
    <x v="1"/>
  </r>
  <r>
    <d v="2024-04-27T15:33:04"/>
    <s v="Truck_8"/>
    <s v="-42.1652"/>
    <s v="-40.9587"/>
    <n v="497"/>
    <s v="Delivered"/>
    <n v="24.1"/>
    <n v="77.5"/>
    <s v="Clear"/>
    <n v="39"/>
    <n v="319"/>
    <n v="10"/>
    <s v="Traffic"/>
    <n v="60"/>
    <n v="224"/>
    <n v="0"/>
    <x v="1"/>
  </r>
  <r>
    <d v="2024-10-27T00:36:59"/>
    <s v="Truck_10"/>
    <s v="4.2073"/>
    <s v="-152.1320"/>
    <n v="384"/>
    <s v="Delayed"/>
    <n v="25.6"/>
    <n v="78.8"/>
    <s v="Detour"/>
    <n v="52"/>
    <n v="161"/>
    <n v="10"/>
    <s v="Mechanical Failure"/>
    <n v="83.6"/>
    <n v="161"/>
    <n v="1"/>
    <x v="1"/>
  </r>
  <r>
    <d v="2024-01-08T09:23:32"/>
    <s v="Truck_9"/>
    <s v="7.8031"/>
    <s v="43.4739"/>
    <n v="258"/>
    <s v="Delivered"/>
    <n v="26.8"/>
    <n v="60.5"/>
    <s v="Clear"/>
    <n v="12"/>
    <n v="413"/>
    <n v="8"/>
    <s v="Weather"/>
    <n v="86.9"/>
    <n v="207"/>
    <n v="0"/>
    <x v="1"/>
  </r>
  <r>
    <d v="2024-04-01T18:35:37"/>
    <s v="Truck_4"/>
    <s v="-6.8792"/>
    <s v="165.0017"/>
    <n v="258"/>
    <s v="Delivered"/>
    <n v="29.4"/>
    <n v="66.099999999999994"/>
    <s v="Heavy"/>
    <n v="54"/>
    <n v="395"/>
    <n v="2"/>
    <s v="Mechanical Failure"/>
    <n v="71.400000000000006"/>
    <n v="256"/>
    <n v="1"/>
    <x v="1"/>
  </r>
  <r>
    <d v="2024-03-05T12:35:28"/>
    <s v="Truck_7"/>
    <s v="60.6073"/>
    <s v="74.3625"/>
    <n v="291"/>
    <s v="In Transit"/>
    <n v="26.9"/>
    <n v="52.3"/>
    <s v="Heavy"/>
    <n v="34"/>
    <n v="253"/>
    <n v="2"/>
    <s v="Traffic"/>
    <n v="94.9"/>
    <n v="228"/>
    <n v="1"/>
    <x v="1"/>
  </r>
  <r>
    <d v="2024-08-22T06:38:15"/>
    <s v="Truck_9"/>
    <s v="-87.2317"/>
    <s v="143.0006"/>
    <n v="135"/>
    <s v="Delayed"/>
    <n v="29"/>
    <n v="62.2"/>
    <s v="Heavy"/>
    <n v="24"/>
    <n v="155"/>
    <n v="3"/>
    <s v="Mechanical Failure"/>
    <n v="69.400000000000006"/>
    <n v="196"/>
    <n v="1"/>
    <x v="1"/>
  </r>
  <r>
    <d v="2024-01-20T14:38:55"/>
    <s v="Truck_10"/>
    <s v="38.8250"/>
    <s v="-51.8451"/>
    <n v="437"/>
    <s v="Delayed"/>
    <n v="23.3"/>
    <n v="61.6"/>
    <s v="Heavy"/>
    <n v="45"/>
    <n v="177"/>
    <n v="5"/>
    <s v="Mechanical Failure"/>
    <n v="93.3"/>
    <n v="106"/>
    <n v="1"/>
    <x v="2"/>
  </r>
  <r>
    <d v="2024-07-06T18:05:23"/>
    <s v="Truck_9"/>
    <s v="-53.5255"/>
    <s v="-1.9486"/>
    <n v="441"/>
    <s v="Delayed"/>
    <n v="23.1"/>
    <n v="57.1"/>
    <s v="Clear"/>
    <n v="55"/>
    <n v="490"/>
    <n v="10"/>
    <s v="Weather"/>
    <n v="65.099999999999994"/>
    <n v="289"/>
    <n v="1"/>
    <x v="0"/>
  </r>
  <r>
    <d v="2024-05-12T20:36:13"/>
    <s v="Truck_6"/>
    <s v="71.1182"/>
    <s v="-120.1134"/>
    <n v="268"/>
    <s v="Delayed"/>
    <n v="20.3"/>
    <n v="78.099999999999994"/>
    <s v="Detour"/>
    <n v="30"/>
    <n v="102"/>
    <n v="6"/>
    <s v="Weather"/>
    <n v="91.7"/>
    <n v="132"/>
    <n v="1"/>
    <x v="1"/>
  </r>
  <r>
    <d v="2024-11-20T15:27:33"/>
    <s v="Truck_2"/>
    <s v="-78.4902"/>
    <s v="-101.3255"/>
    <n v="142"/>
    <s v="Delayed"/>
    <n v="24"/>
    <n v="51.6"/>
    <s v="Clear"/>
    <n v="40"/>
    <n v="160"/>
    <n v="7"/>
    <s v="None"/>
    <n v="70"/>
    <n v="276"/>
    <n v="1"/>
    <x v="1"/>
  </r>
  <r>
    <d v="2024-08-14T18:56:46"/>
    <s v="Truck_9"/>
    <s v="35.0933"/>
    <s v="-170.9221"/>
    <n v="264"/>
    <s v="In Transit"/>
    <n v="25.3"/>
    <n v="55.2"/>
    <s v="Clear"/>
    <n v="51"/>
    <n v="213"/>
    <n v="10"/>
    <s v="Mechanical Failure"/>
    <n v="85.5"/>
    <n v="173"/>
    <n v="0"/>
    <x v="1"/>
  </r>
  <r>
    <d v="2024-10-02T10:12:30"/>
    <s v="Truck_3"/>
    <s v="67.0296"/>
    <s v="-18.7078"/>
    <n v="426"/>
    <s v="Delayed"/>
    <n v="25.3"/>
    <n v="56.8"/>
    <s v="Clear"/>
    <n v="15"/>
    <n v="241"/>
    <n v="5"/>
    <s v="Traffic"/>
    <n v="83.5"/>
    <n v="224"/>
    <n v="1"/>
    <x v="1"/>
  </r>
  <r>
    <d v="2024-04-04T17:32:05"/>
    <s v="Truck_8"/>
    <s v="-29.6573"/>
    <s v="-37.6029"/>
    <n v="214"/>
    <s v="Delayed"/>
    <n v="24.3"/>
    <n v="56.9"/>
    <s v="Clear"/>
    <n v="35"/>
    <n v="497"/>
    <n v="6"/>
    <s v="Weather"/>
    <n v="70.2"/>
    <n v="111"/>
    <n v="1"/>
    <x v="2"/>
  </r>
  <r>
    <d v="2024-01-08T21:16:45"/>
    <s v="Truck_5"/>
    <s v="-9.1109"/>
    <s v="76.7620"/>
    <n v="123"/>
    <s v="Delivered"/>
    <n v="19.3"/>
    <n v="63.4"/>
    <s v="Detour"/>
    <n v="35"/>
    <n v="303"/>
    <n v="3"/>
    <s v="None"/>
    <n v="64.900000000000006"/>
    <n v="240"/>
    <n v="0"/>
    <x v="1"/>
  </r>
  <r>
    <d v="2024-04-02T22:44:27"/>
    <s v="Truck_7"/>
    <s v="50.7076"/>
    <s v="-21.7653"/>
    <n v="295"/>
    <s v="In Transit"/>
    <n v="22.2"/>
    <n v="64.900000000000006"/>
    <s v="Heavy"/>
    <n v="19"/>
    <n v="385"/>
    <n v="9"/>
    <s v="Weather"/>
    <n v="77.099999999999994"/>
    <n v="235"/>
    <n v="1"/>
    <x v="1"/>
  </r>
  <r>
    <d v="2024-04-09T22:12:14"/>
    <s v="Truck_5"/>
    <s v="48.3520"/>
    <s v="-54.5600"/>
    <n v="378"/>
    <s v="In Transit"/>
    <n v="23.3"/>
    <n v="78.7"/>
    <s v="Clear"/>
    <n v="17"/>
    <n v="364"/>
    <n v="8"/>
    <s v="Mechanical Failure"/>
    <n v="96.1"/>
    <n v="230"/>
    <n v="0"/>
    <x v="1"/>
  </r>
  <r>
    <d v="2024-07-08T11:01:23"/>
    <s v="Truck_4"/>
    <s v="-39.7867"/>
    <s v="81.5636"/>
    <n v="209"/>
    <s v="Delayed"/>
    <n v="19.3"/>
    <n v="51"/>
    <s v="Detour"/>
    <n v="18"/>
    <n v="443"/>
    <n v="2"/>
    <s v="Mechanical Failure"/>
    <n v="91.5"/>
    <n v="213"/>
    <n v="1"/>
    <x v="1"/>
  </r>
  <r>
    <d v="2024-03-21T10:50:41"/>
    <s v="Truck_6"/>
    <s v="36.5436"/>
    <s v="71.7597"/>
    <n v="325"/>
    <s v="Delayed"/>
    <n v="28.8"/>
    <n v="55"/>
    <s v="Clear"/>
    <n v="56"/>
    <n v="316"/>
    <n v="4"/>
    <s v="Weather"/>
    <n v="77.8"/>
    <n v="300"/>
    <n v="1"/>
    <x v="0"/>
  </r>
  <r>
    <d v="2024-11-22T22:18:41"/>
    <s v="Truck_6"/>
    <s v="32.8663"/>
    <s v="-79.9920"/>
    <n v="362"/>
    <s v="Delayed"/>
    <n v="21.7"/>
    <n v="54.6"/>
    <s v="Heavy"/>
    <n v="22"/>
    <n v="441"/>
    <n v="3"/>
    <s v="None"/>
    <n v="74.599999999999994"/>
    <n v="194"/>
    <n v="1"/>
    <x v="1"/>
  </r>
  <r>
    <d v="2024-04-24T00:08:50"/>
    <s v="Truck_4"/>
    <s v="-0.1019"/>
    <s v="99.8069"/>
    <n v="451"/>
    <s v="Delivered"/>
    <n v="27.5"/>
    <n v="56.7"/>
    <s v="Clear"/>
    <n v="23"/>
    <n v="446"/>
    <n v="6"/>
    <s v="Traffic"/>
    <n v="62.1"/>
    <n v="203"/>
    <n v="0"/>
    <x v="1"/>
  </r>
  <r>
    <d v="2024-06-05T08:51:03"/>
    <s v="Truck_9"/>
    <s v="-56.8231"/>
    <s v="71.5841"/>
    <n v="201"/>
    <s v="In Transit"/>
    <n v="27.5"/>
    <n v="53.1"/>
    <s v="Clear"/>
    <n v="10"/>
    <n v="169"/>
    <n v="3"/>
    <s v="None"/>
    <n v="65.099999999999994"/>
    <n v="242"/>
    <n v="0"/>
    <x v="1"/>
  </r>
  <r>
    <d v="2024-03-01T10:10:16"/>
    <s v="Truck_3"/>
    <s v="-61.9668"/>
    <s v="113.8899"/>
    <n v="442"/>
    <s v="Delayed"/>
    <n v="23.6"/>
    <n v="58.1"/>
    <s v="Clear"/>
    <n v="47"/>
    <n v="165"/>
    <n v="1"/>
    <s v="Traffic"/>
    <n v="93.3"/>
    <n v="191"/>
    <n v="1"/>
    <x v="1"/>
  </r>
  <r>
    <d v="2024-07-06T21:09:27"/>
    <s v="Truck_1"/>
    <s v="-63.8035"/>
    <s v="61.4571"/>
    <n v="274"/>
    <s v="In Transit"/>
    <n v="19.3"/>
    <n v="70.3"/>
    <s v="Detour"/>
    <n v="26"/>
    <n v="404"/>
    <n v="7"/>
    <s v="Weather"/>
    <n v="81"/>
    <n v="141"/>
    <n v="0"/>
    <x v="1"/>
  </r>
  <r>
    <d v="2024-11-28T16:05:59"/>
    <s v="Truck_5"/>
    <s v="-31.7275"/>
    <s v="-28.5676"/>
    <n v="180"/>
    <s v="In Transit"/>
    <n v="24.9"/>
    <n v="68.900000000000006"/>
    <s v="Clear"/>
    <n v="14"/>
    <n v="189"/>
    <n v="3"/>
    <s v="Traffic"/>
    <n v="89.4"/>
    <n v="275"/>
    <n v="0"/>
    <x v="1"/>
  </r>
  <r>
    <d v="2024-03-23T21:22:31"/>
    <s v="Truck_1"/>
    <s v="69.9959"/>
    <s v="-10.5335"/>
    <n v="213"/>
    <s v="Delayed"/>
    <n v="22.8"/>
    <n v="65"/>
    <s v="Detour"/>
    <n v="51"/>
    <n v="361"/>
    <n v="6"/>
    <s v="None"/>
    <n v="74.5"/>
    <n v="274"/>
    <n v="1"/>
    <x v="1"/>
  </r>
  <r>
    <d v="2024-04-24T05:44:05"/>
    <s v="Truck_10"/>
    <s v="-63.1722"/>
    <s v="145.3756"/>
    <n v="353"/>
    <s v="In Transit"/>
    <n v="22"/>
    <n v="66.8"/>
    <s v="Heavy"/>
    <n v="27"/>
    <n v="327"/>
    <n v="9"/>
    <s v="Traffic"/>
    <n v="71.2"/>
    <n v="146"/>
    <n v="1"/>
    <x v="1"/>
  </r>
  <r>
    <d v="2024-06-11T04:47:07"/>
    <s v="Truck_8"/>
    <s v="35.7913"/>
    <s v="6.3765"/>
    <n v="495"/>
    <s v="Delivered"/>
    <n v="20.6"/>
    <n v="71.5"/>
    <s v="Heavy"/>
    <n v="32"/>
    <n v="166"/>
    <n v="2"/>
    <s v="Weather"/>
    <n v="62.5"/>
    <n v="282"/>
    <n v="1"/>
    <x v="1"/>
  </r>
  <r>
    <d v="2024-08-12T00:54:08"/>
    <s v="Truck_1"/>
    <s v="-58.8531"/>
    <s v="45.0498"/>
    <n v="162"/>
    <s v="Delayed"/>
    <n v="21.3"/>
    <n v="76.8"/>
    <s v="Detour"/>
    <n v="53"/>
    <n v="164"/>
    <n v="3"/>
    <s v="None"/>
    <n v="61.6"/>
    <n v="104"/>
    <n v="1"/>
    <x v="2"/>
  </r>
  <r>
    <d v="2024-05-31T03:05:32"/>
    <s v="Truck_3"/>
    <s v="49.4007"/>
    <s v="-106.1531"/>
    <n v="252"/>
    <s v="Delayed"/>
    <n v="28"/>
    <n v="66.5"/>
    <s v="Detour"/>
    <n v="44"/>
    <n v="298"/>
    <n v="6"/>
    <s v="Traffic"/>
    <n v="72.8"/>
    <n v="150"/>
    <n v="1"/>
    <x v="1"/>
  </r>
  <r>
    <d v="2024-04-05T10:26:33"/>
    <s v="Truck_2"/>
    <s v="8.4222"/>
    <s v="-69.7522"/>
    <n v="361"/>
    <s v="Delivered"/>
    <n v="19.5"/>
    <n v="78.599999999999994"/>
    <s v="Clear"/>
    <n v="21"/>
    <n v="358"/>
    <n v="9"/>
    <s v="Weather"/>
    <n v="93"/>
    <n v="235"/>
    <n v="0"/>
    <x v="1"/>
  </r>
  <r>
    <d v="2024-12-12T16:21:04"/>
    <s v="Truck_6"/>
    <s v="-6.5166"/>
    <s v="-143.3822"/>
    <n v="115"/>
    <s v="Delivered"/>
    <n v="29.3"/>
    <n v="65.099999999999994"/>
    <s v="Heavy"/>
    <n v="32"/>
    <n v="445"/>
    <n v="1"/>
    <s v="Weather"/>
    <n v="79.400000000000006"/>
    <n v="123"/>
    <n v="1"/>
    <x v="2"/>
  </r>
  <r>
    <d v="2024-02-11T08:18:06"/>
    <s v="Truck_3"/>
    <s v="-43.1797"/>
    <s v="-64.4769"/>
    <n v="172"/>
    <s v="Delivered"/>
    <n v="22.5"/>
    <n v="69.7"/>
    <s v="Heavy"/>
    <n v="55"/>
    <n v="216"/>
    <n v="9"/>
    <s v="Weather"/>
    <n v="72.099999999999994"/>
    <n v="106"/>
    <n v="1"/>
    <x v="2"/>
  </r>
  <r>
    <d v="2024-10-11T15:23:47"/>
    <s v="Truck_8"/>
    <s v="45.0470"/>
    <s v="69.7014"/>
    <n v="403"/>
    <s v="In Transit"/>
    <n v="28.2"/>
    <n v="76.099999999999994"/>
    <s v="Heavy"/>
    <n v="51"/>
    <n v="457"/>
    <n v="7"/>
    <s v="Traffic"/>
    <n v="73.900000000000006"/>
    <n v="229"/>
    <n v="1"/>
    <x v="1"/>
  </r>
  <r>
    <d v="2024-06-27T16:27:20"/>
    <s v="Truck_2"/>
    <s v="-15.8011"/>
    <s v="138.7785"/>
    <n v="426"/>
    <s v="In Transit"/>
    <n v="22"/>
    <n v="73.099999999999994"/>
    <s v="Clear"/>
    <n v="29"/>
    <n v="392"/>
    <n v="5"/>
    <s v="None"/>
    <n v="94.6"/>
    <n v="236"/>
    <n v="0"/>
    <x v="1"/>
  </r>
  <r>
    <d v="2024-09-10T19:47:25"/>
    <s v="Truck_7"/>
    <s v="-30.8564"/>
    <s v="26.7562"/>
    <n v="368"/>
    <s v="Delayed"/>
    <n v="26.6"/>
    <n v="74.900000000000006"/>
    <s v="Detour"/>
    <n v="28"/>
    <n v="341"/>
    <n v="6"/>
    <s v="None"/>
    <n v="97.1"/>
    <n v="217"/>
    <n v="1"/>
    <x v="1"/>
  </r>
  <r>
    <d v="2024-07-02T13:06:51"/>
    <s v="Truck_9"/>
    <s v="16.0296"/>
    <s v="-36.3349"/>
    <n v="173"/>
    <s v="Delayed"/>
    <n v="24.9"/>
    <n v="58.1"/>
    <s v="Clear"/>
    <n v="34"/>
    <n v="287"/>
    <n v="9"/>
    <s v="Mechanical Failure"/>
    <n v="96.8"/>
    <n v="131"/>
    <n v="1"/>
    <x v="1"/>
  </r>
  <r>
    <d v="2024-08-31T20:18:57"/>
    <s v="Truck_9"/>
    <s v="81.3962"/>
    <s v="-79.6193"/>
    <n v="371"/>
    <s v="In Transit"/>
    <n v="22.9"/>
    <n v="67.2"/>
    <s v="Heavy"/>
    <n v="35"/>
    <n v="121"/>
    <n v="8"/>
    <s v="Weather"/>
    <n v="90.9"/>
    <n v="213"/>
    <n v="1"/>
    <x v="1"/>
  </r>
  <r>
    <d v="2024-07-13T00:23:59"/>
    <s v="Truck_4"/>
    <s v="77.5436"/>
    <s v="-156.2479"/>
    <n v="199"/>
    <s v="Delayed"/>
    <n v="28.5"/>
    <n v="68.8"/>
    <s v="Heavy"/>
    <n v="18"/>
    <n v="201"/>
    <n v="2"/>
    <s v="Mechanical Failure"/>
    <n v="71.2"/>
    <n v="181"/>
    <n v="1"/>
    <x v="1"/>
  </r>
  <r>
    <d v="2024-07-09T10:12:42"/>
    <s v="Truck_4"/>
    <s v="51.8047"/>
    <s v="66.0193"/>
    <n v="319"/>
    <s v="In Transit"/>
    <n v="22.3"/>
    <n v="50.8"/>
    <s v="Clear"/>
    <n v="52"/>
    <n v="188"/>
    <n v="8"/>
    <s v="Traffic"/>
    <n v="66.400000000000006"/>
    <n v="153"/>
    <n v="0"/>
    <x v="1"/>
  </r>
  <r>
    <d v="2024-05-06T23:58:14"/>
    <s v="Truck_4"/>
    <s v="37.5523"/>
    <s v="145.1973"/>
    <n v="437"/>
    <s v="In Transit"/>
    <n v="29.1"/>
    <n v="76.5"/>
    <s v="Clear"/>
    <n v="46"/>
    <n v="122"/>
    <n v="10"/>
    <s v="None"/>
    <n v="73.599999999999994"/>
    <n v="111"/>
    <n v="0"/>
    <x v="2"/>
  </r>
  <r>
    <d v="2024-01-07T15:00:38"/>
    <s v="Truck_9"/>
    <s v="30.5875"/>
    <s v="132.7309"/>
    <n v="203"/>
    <s v="Delayed"/>
    <n v="19.2"/>
    <n v="63.6"/>
    <s v="Heavy"/>
    <n v="31"/>
    <n v="123"/>
    <n v="9"/>
    <s v="Mechanical Failure"/>
    <n v="84.1"/>
    <n v="270"/>
    <n v="1"/>
    <x v="1"/>
  </r>
  <r>
    <d v="2024-03-08T18:02:46"/>
    <s v="Truck_8"/>
    <s v="-86.9276"/>
    <s v="120.7534"/>
    <n v="466"/>
    <s v="In Transit"/>
    <n v="26.3"/>
    <n v="70.400000000000006"/>
    <s v="Heavy"/>
    <n v="53"/>
    <n v="291"/>
    <n v="8"/>
    <s v="Weather"/>
    <n v="62.1"/>
    <n v="287"/>
    <n v="1"/>
    <x v="0"/>
  </r>
  <r>
    <d v="2024-03-04T09:26:19"/>
    <s v="Truck_8"/>
    <s v="-44.6569"/>
    <s v="129.8625"/>
    <n v="418"/>
    <s v="In Transit"/>
    <n v="22.9"/>
    <n v="62"/>
    <s v="Detour"/>
    <n v="26"/>
    <n v="405"/>
    <n v="1"/>
    <s v="None"/>
    <n v="62.3"/>
    <n v="124"/>
    <n v="0"/>
    <x v="2"/>
  </r>
  <r>
    <d v="2024-10-12T07:07:08"/>
    <s v="Truck_7"/>
    <s v="53.8186"/>
    <s v="-158.4252"/>
    <n v="124"/>
    <s v="Delayed"/>
    <n v="26.7"/>
    <n v="50.1"/>
    <s v="Clear"/>
    <n v="10"/>
    <n v="460"/>
    <n v="5"/>
    <s v="Mechanical Failure"/>
    <n v="69.400000000000006"/>
    <n v="130"/>
    <n v="1"/>
    <x v="1"/>
  </r>
  <r>
    <d v="2024-08-07T05:17:08"/>
    <s v="Truck_1"/>
    <s v="26.0226"/>
    <s v="103.2098"/>
    <n v="322"/>
    <s v="Delayed"/>
    <n v="25"/>
    <n v="57.7"/>
    <s v="Clear"/>
    <n v="15"/>
    <n v="190"/>
    <n v="4"/>
    <s v="Traffic"/>
    <n v="86.8"/>
    <n v="159"/>
    <n v="1"/>
    <x v="1"/>
  </r>
  <r>
    <d v="2024-03-27T21:00:44"/>
    <s v="Truck_8"/>
    <s v="14.1508"/>
    <s v="-54.4659"/>
    <n v="351"/>
    <s v="Delivered"/>
    <n v="25.1"/>
    <n v="74.2"/>
    <s v="Heavy"/>
    <n v="54"/>
    <n v="223"/>
    <n v="9"/>
    <s v="Traffic"/>
    <n v="62.2"/>
    <n v="267"/>
    <n v="1"/>
    <x v="1"/>
  </r>
  <r>
    <d v="2024-10-03T07:39:13"/>
    <s v="Truck_4"/>
    <s v="22.8356"/>
    <s v="-12.8730"/>
    <n v="350"/>
    <s v="In Transit"/>
    <n v="27"/>
    <n v="66.7"/>
    <s v="Detour"/>
    <n v="56"/>
    <n v="207"/>
    <n v="2"/>
    <s v="Mechanical Failure"/>
    <n v="64"/>
    <n v="248"/>
    <n v="0"/>
    <x v="1"/>
  </r>
  <r>
    <d v="2024-06-24T01:25:10"/>
    <s v="Truck_7"/>
    <s v="79.2334"/>
    <s v="166.4549"/>
    <n v="179"/>
    <s v="Delivered"/>
    <n v="20.6"/>
    <n v="53.6"/>
    <s v="Heavy"/>
    <n v="36"/>
    <n v="480"/>
    <n v="7"/>
    <s v="Mechanical Failure"/>
    <n v="72.099999999999994"/>
    <n v="246"/>
    <n v="1"/>
    <x v="1"/>
  </r>
  <r>
    <d v="2024-01-30T08:32:53"/>
    <s v="Truck_6"/>
    <s v="-9.0289"/>
    <s v="-69.4256"/>
    <n v="338"/>
    <s v="Delivered"/>
    <n v="27.3"/>
    <n v="70.099999999999994"/>
    <s v="Heavy"/>
    <n v="29"/>
    <n v="129"/>
    <n v="1"/>
    <s v="None"/>
    <n v="82.4"/>
    <n v="281"/>
    <n v="1"/>
    <x v="1"/>
  </r>
  <r>
    <d v="2024-01-15T07:48:38"/>
    <s v="Truck_10"/>
    <s v="71.2228"/>
    <s v="-86.3993"/>
    <n v="334"/>
    <s v="Delivered"/>
    <n v="28.9"/>
    <n v="62.8"/>
    <s v="Clear"/>
    <n v="15"/>
    <n v="106"/>
    <n v="5"/>
    <s v="Weather"/>
    <n v="97.2"/>
    <n v="127"/>
    <n v="0"/>
    <x v="1"/>
  </r>
  <r>
    <d v="2024-12-30T08:15:46"/>
    <s v="Truck_10"/>
    <s v="-29.6864"/>
    <s v="-88.6901"/>
    <n v="411"/>
    <s v="In Transit"/>
    <n v="19"/>
    <n v="55.4"/>
    <s v="Clear"/>
    <n v="14"/>
    <n v="409"/>
    <n v="7"/>
    <s v="None"/>
    <n v="94.5"/>
    <n v="192"/>
    <n v="0"/>
    <x v="1"/>
  </r>
  <r>
    <d v="2024-08-01T21:42:48"/>
    <s v="Truck_7"/>
    <s v="-19.5759"/>
    <s v="-39.5531"/>
    <n v="481"/>
    <s v="Delayed"/>
    <n v="22.8"/>
    <n v="74.7"/>
    <s v="Detour"/>
    <n v="42"/>
    <n v="157"/>
    <n v="1"/>
    <s v="Weather"/>
    <n v="65.2"/>
    <n v="259"/>
    <n v="1"/>
    <x v="1"/>
  </r>
  <r>
    <d v="2024-05-17T19:53:30"/>
    <s v="Truck_2"/>
    <s v="81.1000"/>
    <s v="113.2247"/>
    <n v="224"/>
    <s v="Delayed"/>
    <n v="26.4"/>
    <n v="75.400000000000006"/>
    <s v="Detour"/>
    <n v="23"/>
    <n v="234"/>
    <n v="4"/>
    <s v="Mechanical Failure"/>
    <n v="86.6"/>
    <n v="131"/>
    <n v="1"/>
    <x v="1"/>
  </r>
  <r>
    <d v="2024-02-04T05:26:36"/>
    <s v="Truck_8"/>
    <s v="32.7849"/>
    <s v="30.9550"/>
    <n v="377"/>
    <s v="Delayed"/>
    <n v="19.5"/>
    <n v="51"/>
    <s v="Detour"/>
    <n v="11"/>
    <n v="226"/>
    <n v="8"/>
    <s v="Weather"/>
    <n v="64.099999999999994"/>
    <n v="266"/>
    <n v="1"/>
    <x v="1"/>
  </r>
  <r>
    <d v="2024-07-18T13:12:46"/>
    <s v="Truck_7"/>
    <s v="49.0480"/>
    <s v="4.8896"/>
    <n v="283"/>
    <s v="Delayed"/>
    <n v="19.600000000000001"/>
    <n v="75.5"/>
    <s v="Heavy"/>
    <n v="49"/>
    <n v="496"/>
    <n v="6"/>
    <s v="Weather"/>
    <n v="78.900000000000006"/>
    <n v="130"/>
    <n v="1"/>
    <x v="1"/>
  </r>
  <r>
    <d v="2024-01-01T17:34:48"/>
    <s v="Truck_10"/>
    <s v="-13.9612"/>
    <s v="89.5342"/>
    <n v="174"/>
    <s v="Delayed"/>
    <n v="20.2"/>
    <n v="74.2"/>
    <s v="Detour"/>
    <n v="49"/>
    <n v="403"/>
    <n v="5"/>
    <s v="None"/>
    <n v="83.5"/>
    <n v="227"/>
    <n v="1"/>
    <x v="1"/>
  </r>
  <r>
    <d v="2024-09-08T14:29:17"/>
    <s v="Truck_4"/>
    <s v="64.4113"/>
    <s v="-121.7647"/>
    <n v="440"/>
    <s v="Delivered"/>
    <n v="20.399999999999999"/>
    <n v="62.4"/>
    <s v="Clear"/>
    <n v="35"/>
    <n v="199"/>
    <n v="10"/>
    <s v="None"/>
    <n v="80.3"/>
    <n v="269"/>
    <n v="0"/>
    <x v="1"/>
  </r>
  <r>
    <d v="2024-02-26T03:25:37"/>
    <s v="Truck_2"/>
    <s v="-77.7986"/>
    <s v="-155.4098"/>
    <n v="497"/>
    <s v="Delayed"/>
    <n v="21.8"/>
    <n v="71.3"/>
    <s v="Heavy"/>
    <n v="22"/>
    <n v="424"/>
    <n v="2"/>
    <s v="Weather"/>
    <n v="79.8"/>
    <n v="168"/>
    <n v="1"/>
    <x v="1"/>
  </r>
  <r>
    <d v="2024-04-16T04:37:24"/>
    <s v="Truck_7"/>
    <s v="16.2591"/>
    <s v="175.1485"/>
    <n v="337"/>
    <s v="Delivered"/>
    <n v="21.1"/>
    <n v="64.400000000000006"/>
    <s v="Detour"/>
    <n v="49"/>
    <n v="226"/>
    <n v="2"/>
    <s v="Traffic"/>
    <n v="89.6"/>
    <n v="298"/>
    <n v="0"/>
    <x v="0"/>
  </r>
  <r>
    <d v="2024-12-11T17:39:51"/>
    <s v="Truck_10"/>
    <s v="30.6749"/>
    <s v="78.4743"/>
    <n v="315"/>
    <s v="Delivered"/>
    <n v="21.4"/>
    <n v="62.6"/>
    <s v="Heavy"/>
    <n v="27"/>
    <n v="482"/>
    <n v="9"/>
    <s v="Traffic"/>
    <n v="77.2"/>
    <n v="153"/>
    <n v="1"/>
    <x v="1"/>
  </r>
  <r>
    <d v="2024-09-16T12:46:13"/>
    <s v="Truck_7"/>
    <s v="-18.0675"/>
    <s v="76.7802"/>
    <n v="219"/>
    <s v="Delivered"/>
    <n v="18.100000000000001"/>
    <n v="64.599999999999994"/>
    <s v="Clear"/>
    <n v="24"/>
    <n v="179"/>
    <n v="8"/>
    <s v="Weather"/>
    <n v="83.3"/>
    <n v="202"/>
    <n v="0"/>
    <x v="1"/>
  </r>
  <r>
    <d v="2024-01-23T18:52:56"/>
    <s v="Truck_8"/>
    <s v="-89.7784"/>
    <s v="-163.7965"/>
    <n v="247"/>
    <s v="Delayed"/>
    <n v="28.3"/>
    <n v="76.2"/>
    <s v="Clear"/>
    <n v="53"/>
    <n v="190"/>
    <n v="10"/>
    <s v="Mechanical Failure"/>
    <n v="93.6"/>
    <n v="111"/>
    <n v="1"/>
    <x v="2"/>
  </r>
  <r>
    <d v="2024-03-28T07:21:29"/>
    <s v="Truck_9"/>
    <s v="-30.5476"/>
    <s v="63.5282"/>
    <n v="148"/>
    <s v="Delayed"/>
    <n v="19"/>
    <n v="50.3"/>
    <s v="Detour"/>
    <n v="50"/>
    <n v="481"/>
    <n v="2"/>
    <s v="Mechanical Failure"/>
    <n v="87.3"/>
    <n v="243"/>
    <n v="1"/>
    <x v="1"/>
  </r>
  <r>
    <d v="2024-04-28T03:36:13"/>
    <s v="Truck_6"/>
    <s v="-16.8317"/>
    <s v="-114.4787"/>
    <n v="205"/>
    <s v="In Transit"/>
    <n v="23.4"/>
    <n v="61.4"/>
    <s v="Clear"/>
    <n v="31"/>
    <n v="279"/>
    <n v="2"/>
    <s v="Traffic"/>
    <n v="79.099999999999994"/>
    <n v="118"/>
    <n v="0"/>
    <x v="2"/>
  </r>
  <r>
    <d v="2024-04-12T19:45:26"/>
    <s v="Truck_2"/>
    <s v="42.6126"/>
    <s v="-69.5408"/>
    <n v="243"/>
    <s v="In Transit"/>
    <n v="28.9"/>
    <n v="57.8"/>
    <s v="Clear"/>
    <n v="33"/>
    <n v="277"/>
    <n v="10"/>
    <s v="Traffic"/>
    <n v="84.4"/>
    <n v="151"/>
    <n v="0"/>
    <x v="1"/>
  </r>
  <r>
    <d v="2024-12-30T02:31:31"/>
    <s v="Truck_8"/>
    <s v="44.5289"/>
    <s v="31.1002"/>
    <n v="226"/>
    <s v="Delayed"/>
    <n v="21"/>
    <n v="69.400000000000006"/>
    <s v="Detour"/>
    <n v="27"/>
    <n v="406"/>
    <n v="5"/>
    <s v="None"/>
    <n v="99.9"/>
    <n v="285"/>
    <n v="1"/>
    <x v="0"/>
  </r>
  <r>
    <d v="2024-07-31T17:11:19"/>
    <s v="Truck_2"/>
    <s v="84.7161"/>
    <s v="77.1114"/>
    <n v="350"/>
    <s v="Delivered"/>
    <n v="23.7"/>
    <n v="59.8"/>
    <s v="Detour"/>
    <n v="42"/>
    <n v="188"/>
    <n v="10"/>
    <s v="None"/>
    <n v="98.6"/>
    <n v="248"/>
    <n v="0"/>
    <x v="1"/>
  </r>
  <r>
    <d v="2024-01-04T19:58:15"/>
    <s v="Truck_4"/>
    <s v="-64.0954"/>
    <s v="-155.4074"/>
    <n v="272"/>
    <s v="Delayed"/>
    <n v="23.4"/>
    <n v="57.2"/>
    <s v="Clear"/>
    <n v="51"/>
    <n v="419"/>
    <n v="6"/>
    <s v="Mechanical Failure"/>
    <n v="63.1"/>
    <n v="159"/>
    <n v="1"/>
    <x v="1"/>
  </r>
  <r>
    <d v="2024-02-05T00:48:18"/>
    <s v="Truck_2"/>
    <s v="20.3388"/>
    <s v="-109.3313"/>
    <n v="378"/>
    <s v="In Transit"/>
    <n v="21"/>
    <n v="60.8"/>
    <s v="Heavy"/>
    <n v="30"/>
    <n v="318"/>
    <n v="3"/>
    <s v="Weather"/>
    <n v="84.8"/>
    <n v="181"/>
    <n v="1"/>
    <x v="1"/>
  </r>
  <r>
    <d v="2024-09-27T17:22:08"/>
    <s v="Truck_10"/>
    <s v="-14.5017"/>
    <s v="-20.1486"/>
    <n v="127"/>
    <s v="Delayed"/>
    <n v="23.7"/>
    <n v="51.2"/>
    <s v="Heavy"/>
    <n v="38"/>
    <n v="463"/>
    <n v="1"/>
    <s v="Traffic"/>
    <n v="78.900000000000006"/>
    <n v="272"/>
    <n v="1"/>
    <x v="1"/>
  </r>
  <r>
    <d v="2024-10-07T14:26:04"/>
    <s v="Truck_4"/>
    <s v="-35.3643"/>
    <s v="134.8909"/>
    <n v="275"/>
    <s v="In Transit"/>
    <n v="23"/>
    <n v="55.7"/>
    <s v="Clear"/>
    <n v="39"/>
    <n v="264"/>
    <n v="1"/>
    <s v="Mechanical Failure"/>
    <n v="64.400000000000006"/>
    <n v="281"/>
    <n v="0"/>
    <x v="1"/>
  </r>
  <r>
    <d v="2024-01-09T23:18:24"/>
    <s v="Truck_7"/>
    <s v="1.3295"/>
    <s v="83.6357"/>
    <n v="483"/>
    <s v="Delayed"/>
    <n v="28.6"/>
    <n v="72.400000000000006"/>
    <s v="Clear"/>
    <n v="51"/>
    <n v="243"/>
    <n v="1"/>
    <s v="Traffic"/>
    <n v="73.7"/>
    <n v="167"/>
    <n v="1"/>
    <x v="1"/>
  </r>
  <r>
    <d v="2024-01-01T18:29:17"/>
    <s v="Truck_3"/>
    <s v="88.7652"/>
    <s v="-178.2706"/>
    <n v="179"/>
    <s v="Delayed"/>
    <n v="25.5"/>
    <n v="70.900000000000006"/>
    <s v="Detour"/>
    <n v="12"/>
    <n v="427"/>
    <n v="9"/>
    <s v="None"/>
    <n v="60.3"/>
    <n v="157"/>
    <n v="1"/>
    <x v="1"/>
  </r>
  <r>
    <d v="2024-12-18T08:24:56"/>
    <s v="Truck_3"/>
    <s v="54.4930"/>
    <s v="24.5979"/>
    <n v="325"/>
    <s v="Delivered"/>
    <n v="26.4"/>
    <n v="53.7"/>
    <s v="Detour"/>
    <n v="49"/>
    <n v="495"/>
    <n v="3"/>
    <s v="Weather"/>
    <n v="79.5"/>
    <n v="145"/>
    <n v="0"/>
    <x v="1"/>
  </r>
  <r>
    <d v="2024-01-16T09:47:08"/>
    <s v="Truck_10"/>
    <s v="49.7431"/>
    <s v="156.3216"/>
    <n v="256"/>
    <s v="Delivered"/>
    <n v="22.3"/>
    <n v="66.3"/>
    <s v="Heavy"/>
    <n v="10"/>
    <n v="462"/>
    <n v="1"/>
    <s v="Weather"/>
    <n v="95.5"/>
    <n v="276"/>
    <n v="1"/>
    <x v="1"/>
  </r>
  <r>
    <d v="2024-09-12T03:14:24"/>
    <s v="Truck_4"/>
    <s v="-86.9357"/>
    <s v="-84.9718"/>
    <n v="405"/>
    <s v="In Transit"/>
    <n v="20.5"/>
    <n v="55.6"/>
    <s v="Heavy"/>
    <n v="25"/>
    <n v="442"/>
    <n v="4"/>
    <s v="Traffic"/>
    <n v="70.5"/>
    <n v="269"/>
    <n v="1"/>
    <x v="1"/>
  </r>
  <r>
    <d v="2024-11-16T01:47:31"/>
    <s v="Truck_5"/>
    <s v="-59.6078"/>
    <s v="157.0200"/>
    <n v="428"/>
    <s v="Delayed"/>
    <n v="23.5"/>
    <n v="67.3"/>
    <s v="Heavy"/>
    <n v="33"/>
    <n v="152"/>
    <n v="8"/>
    <s v="None"/>
    <n v="71.3"/>
    <n v="300"/>
    <n v="1"/>
    <x v="0"/>
  </r>
  <r>
    <d v="2024-05-22T04:50:14"/>
    <s v="Truck_1"/>
    <s v="-10.9298"/>
    <s v="-89.0306"/>
    <n v="247"/>
    <s v="Delayed"/>
    <n v="18.3"/>
    <n v="56.7"/>
    <s v="Heavy"/>
    <n v="60"/>
    <n v="194"/>
    <n v="6"/>
    <s v="None"/>
    <n v="66.8"/>
    <n v="192"/>
    <n v="1"/>
    <x v="1"/>
  </r>
  <r>
    <d v="2024-06-03T20:17:37"/>
    <s v="Truck_8"/>
    <s v="-54.3571"/>
    <s v="-133.1938"/>
    <n v="276"/>
    <s v="Delivered"/>
    <n v="19.600000000000001"/>
    <n v="53.4"/>
    <s v="Heavy"/>
    <n v="38"/>
    <n v="408"/>
    <n v="2"/>
    <s v="Traffic"/>
    <n v="89.2"/>
    <n v="118"/>
    <n v="1"/>
    <x v="2"/>
  </r>
  <r>
    <d v="2024-03-17T00:18:41"/>
    <s v="Truck_8"/>
    <s v="-82.1754"/>
    <s v="-169.4219"/>
    <n v="410"/>
    <s v="Delivered"/>
    <n v="25"/>
    <n v="72.900000000000006"/>
    <s v="Clear"/>
    <n v="21"/>
    <n v="306"/>
    <n v="2"/>
    <s v="Traffic"/>
    <n v="71.2"/>
    <n v="132"/>
    <n v="0"/>
    <x v="1"/>
  </r>
  <r>
    <d v="2024-07-21T09:43:53"/>
    <s v="Truck_1"/>
    <s v="-11.3631"/>
    <s v="83.0819"/>
    <n v="449"/>
    <s v="Delivered"/>
    <n v="28.8"/>
    <n v="76.2"/>
    <s v="Clear"/>
    <n v="31"/>
    <n v="234"/>
    <n v="8"/>
    <s v="Traffic"/>
    <n v="91.7"/>
    <n v="129"/>
    <n v="0"/>
    <x v="1"/>
  </r>
  <r>
    <d v="2024-04-05T06:44:52"/>
    <s v="Truck_6"/>
    <s v="-48.3838"/>
    <s v="-163.1177"/>
    <n v="403"/>
    <s v="Delivered"/>
    <n v="19.399999999999999"/>
    <n v="70.3"/>
    <s v="Clear"/>
    <n v="43"/>
    <n v="238"/>
    <n v="5"/>
    <s v="Mechanical Failure"/>
    <n v="79.7"/>
    <n v="202"/>
    <n v="0"/>
    <x v="1"/>
  </r>
  <r>
    <d v="2024-01-16T17:28:55"/>
    <s v="Truck_7"/>
    <s v="7.0557"/>
    <s v="-122.6525"/>
    <n v="380"/>
    <s v="Delayed"/>
    <n v="27.1"/>
    <n v="71.5"/>
    <s v="Clear"/>
    <n v="23"/>
    <n v="373"/>
    <n v="3"/>
    <s v="Mechanical Failure"/>
    <n v="97.1"/>
    <n v="286"/>
    <n v="1"/>
    <x v="0"/>
  </r>
  <r>
    <d v="2024-12-18T01:23:54"/>
    <s v="Truck_5"/>
    <s v="-1.0776"/>
    <s v="51.9075"/>
    <n v="417"/>
    <s v="In Transit"/>
    <n v="27"/>
    <n v="62.8"/>
    <s v="Heavy"/>
    <n v="33"/>
    <n v="373"/>
    <n v="1"/>
    <s v="Weather"/>
    <n v="74.099999999999994"/>
    <n v="122"/>
    <n v="1"/>
    <x v="2"/>
  </r>
  <r>
    <d v="2024-12-18T14:40:09"/>
    <s v="Truck_1"/>
    <s v="-81.5733"/>
    <s v="-17.3787"/>
    <n v="169"/>
    <s v="Delayed"/>
    <n v="28.4"/>
    <n v="74.400000000000006"/>
    <s v="Heavy"/>
    <n v="53"/>
    <n v="342"/>
    <n v="6"/>
    <s v="Traffic"/>
    <n v="98.1"/>
    <n v="179"/>
    <n v="1"/>
    <x v="1"/>
  </r>
  <r>
    <d v="2024-03-04T09:04:38"/>
    <s v="Truck_7"/>
    <s v="75.2109"/>
    <s v="170.3371"/>
    <n v="382"/>
    <s v="Delayed"/>
    <n v="22.2"/>
    <n v="63.2"/>
    <s v="Clear"/>
    <n v="12"/>
    <n v="467"/>
    <n v="6"/>
    <s v="None"/>
    <n v="80.599999999999994"/>
    <n v="210"/>
    <n v="1"/>
    <x v="1"/>
  </r>
  <r>
    <d v="2024-11-08T02:08:22"/>
    <s v="Truck_6"/>
    <s v="-21.4288"/>
    <s v="-164.2915"/>
    <n v="404"/>
    <s v="Delayed"/>
    <n v="18.8"/>
    <n v="69.3"/>
    <s v="Detour"/>
    <n v="59"/>
    <n v="307"/>
    <n v="10"/>
    <s v="Weather"/>
    <n v="67.7"/>
    <n v="223"/>
    <n v="1"/>
    <x v="1"/>
  </r>
  <r>
    <d v="2024-05-22T03:32:11"/>
    <s v="Truck_8"/>
    <s v="-49.1450"/>
    <s v="-120.0898"/>
    <n v="399"/>
    <s v="Delayed"/>
    <n v="20.100000000000001"/>
    <n v="74.2"/>
    <s v="Detour"/>
    <n v="54"/>
    <n v="317"/>
    <n v="8"/>
    <s v="Mechanical Failure"/>
    <n v="88.2"/>
    <n v="143"/>
    <n v="1"/>
    <x v="1"/>
  </r>
  <r>
    <d v="2024-07-16T02:28:08"/>
    <s v="Truck_1"/>
    <s v="-87.3835"/>
    <s v="60.4609"/>
    <n v="271"/>
    <s v="Delivered"/>
    <n v="24.6"/>
    <n v="73"/>
    <s v="Detour"/>
    <n v="53"/>
    <n v="382"/>
    <n v="3"/>
    <s v="None"/>
    <n v="94.1"/>
    <n v="166"/>
    <n v="0"/>
    <x v="1"/>
  </r>
  <r>
    <d v="2024-01-20T21:06:05"/>
    <s v="Truck_1"/>
    <s v="69.6413"/>
    <s v="1.4327"/>
    <n v="332"/>
    <s v="Delayed"/>
    <n v="18.8"/>
    <n v="74.7"/>
    <s v="Heavy"/>
    <n v="16"/>
    <n v="279"/>
    <n v="2"/>
    <s v="None"/>
    <n v="61.8"/>
    <n v="289"/>
    <n v="1"/>
    <x v="0"/>
  </r>
  <r>
    <d v="2024-04-16T03:03:08"/>
    <s v="Truck_5"/>
    <s v="19.9466"/>
    <s v="-104.4665"/>
    <n v="445"/>
    <s v="Delivered"/>
    <n v="25.7"/>
    <n v="50.8"/>
    <s v="Heavy"/>
    <n v="28"/>
    <n v="414"/>
    <n v="2"/>
    <s v="Weather"/>
    <n v="75.5"/>
    <n v="140"/>
    <n v="1"/>
    <x v="1"/>
  </r>
  <r>
    <d v="2024-02-07T04:52:21"/>
    <s v="Truck_6"/>
    <s v="19.5573"/>
    <s v="171.8697"/>
    <n v="426"/>
    <s v="In Transit"/>
    <n v="23.6"/>
    <n v="58"/>
    <s v="Heavy"/>
    <n v="47"/>
    <n v="263"/>
    <n v="1"/>
    <s v="Traffic"/>
    <n v="92.9"/>
    <n v="136"/>
    <n v="1"/>
    <x v="1"/>
  </r>
  <r>
    <d v="2024-01-16T04:10:14"/>
    <s v="Truck_6"/>
    <s v="-46.9621"/>
    <s v="87.6972"/>
    <n v="419"/>
    <s v="In Transit"/>
    <n v="27"/>
    <n v="56.7"/>
    <s v="Detour"/>
    <n v="25"/>
    <n v="378"/>
    <n v="2"/>
    <s v="None"/>
    <n v="74.3"/>
    <n v="212"/>
    <n v="0"/>
    <x v="1"/>
  </r>
  <r>
    <d v="2024-01-12T02:20:39"/>
    <s v="Truck_4"/>
    <s v="-34.4433"/>
    <s v="-4.0669"/>
    <n v="128"/>
    <s v="Delayed"/>
    <n v="29"/>
    <n v="71"/>
    <s v="Detour"/>
    <n v="12"/>
    <n v="404"/>
    <n v="8"/>
    <s v="Traffic"/>
    <n v="81.3"/>
    <n v="272"/>
    <n v="1"/>
    <x v="1"/>
  </r>
  <r>
    <d v="2024-10-16T20:45:23"/>
    <s v="Truck_9"/>
    <s v="-7.8199"/>
    <s v="-78.2150"/>
    <n v="200"/>
    <s v="In Transit"/>
    <n v="19.2"/>
    <n v="67.7"/>
    <s v="Heavy"/>
    <n v="11"/>
    <n v="349"/>
    <n v="6"/>
    <s v="None"/>
    <n v="73.599999999999994"/>
    <n v="299"/>
    <n v="1"/>
    <x v="0"/>
  </r>
  <r>
    <d v="2024-08-01T09:16:16"/>
    <s v="Truck_8"/>
    <s v="11.6611"/>
    <s v="44.7505"/>
    <n v="434"/>
    <s v="Delivered"/>
    <n v="29.4"/>
    <n v="76.3"/>
    <s v="Heavy"/>
    <n v="30"/>
    <n v="166"/>
    <n v="1"/>
    <s v="None"/>
    <n v="94.6"/>
    <n v="220"/>
    <n v="1"/>
    <x v="1"/>
  </r>
  <r>
    <d v="2024-01-13T21:07:39"/>
    <s v="Truck_1"/>
    <s v="-12.4175"/>
    <s v="135.9866"/>
    <n v="339"/>
    <s v="Delayed"/>
    <n v="26.4"/>
    <n v="73.8"/>
    <s v="Clear"/>
    <n v="58"/>
    <n v="488"/>
    <n v="3"/>
    <s v="None"/>
    <n v="89.3"/>
    <n v="299"/>
    <n v="1"/>
    <x v="0"/>
  </r>
  <r>
    <d v="2024-03-27T04:33:58"/>
    <s v="Truck_10"/>
    <s v="-79.3451"/>
    <s v="-52.5151"/>
    <n v="224"/>
    <s v="Delivered"/>
    <n v="19"/>
    <n v="79.900000000000006"/>
    <s v="Heavy"/>
    <n v="17"/>
    <n v="139"/>
    <n v="4"/>
    <s v="Weather"/>
    <n v="96.1"/>
    <n v="279"/>
    <n v="1"/>
    <x v="1"/>
  </r>
  <r>
    <d v="2024-03-15T14:48:46"/>
    <s v="Truck_10"/>
    <s v="24.4216"/>
    <s v="-7.0649"/>
    <n v="387"/>
    <s v="Delayed"/>
    <n v="18.399999999999999"/>
    <n v="79.5"/>
    <s v="Clear"/>
    <n v="17"/>
    <n v="456"/>
    <n v="2"/>
    <s v="Weather"/>
    <n v="65.900000000000006"/>
    <n v="155"/>
    <n v="1"/>
    <x v="1"/>
  </r>
  <r>
    <d v="2024-04-25T10:07:09"/>
    <s v="Truck_8"/>
    <s v="71.7196"/>
    <s v="-107.3427"/>
    <n v="146"/>
    <s v="Delayed"/>
    <n v="26"/>
    <n v="57.2"/>
    <s v="Clear"/>
    <n v="47"/>
    <n v="188"/>
    <n v="4"/>
    <s v="Mechanical Failure"/>
    <n v="76"/>
    <n v="131"/>
    <n v="1"/>
    <x v="1"/>
  </r>
  <r>
    <d v="2024-08-20T01:28:08"/>
    <s v="Truck_4"/>
    <s v="-69.6585"/>
    <s v="23.6323"/>
    <n v="177"/>
    <s v="In Transit"/>
    <n v="18.600000000000001"/>
    <n v="74.5"/>
    <s v="Heavy"/>
    <n v="16"/>
    <n v="429"/>
    <n v="1"/>
    <s v="Traffic"/>
    <n v="72.400000000000006"/>
    <n v="132"/>
    <n v="1"/>
    <x v="1"/>
  </r>
  <r>
    <d v="2024-07-02T13:50:19"/>
    <s v="Truck_1"/>
    <s v="67.3650"/>
    <s v="71.5047"/>
    <n v="316"/>
    <s v="Delayed"/>
    <n v="26.4"/>
    <n v="60"/>
    <s v="Detour"/>
    <n v="36"/>
    <n v="274"/>
    <n v="1"/>
    <s v="Weather"/>
    <n v="68.2"/>
    <n v="218"/>
    <n v="1"/>
    <x v="1"/>
  </r>
  <r>
    <d v="2024-07-06T13:05:43"/>
    <s v="Truck_9"/>
    <s v="-31.9611"/>
    <s v="-75.8092"/>
    <n v="458"/>
    <s v="In Transit"/>
    <n v="25"/>
    <n v="79.599999999999994"/>
    <s v="Heavy"/>
    <n v="56"/>
    <n v="303"/>
    <n v="1"/>
    <s v="None"/>
    <n v="73.8"/>
    <n v="206"/>
    <n v="1"/>
    <x v="1"/>
  </r>
  <r>
    <d v="2024-06-16T11:37:07"/>
    <s v="Truck_4"/>
    <s v="-82.4812"/>
    <s v="139.0580"/>
    <n v="481"/>
    <s v="Delivered"/>
    <n v="24"/>
    <n v="72.5"/>
    <s v="Detour"/>
    <n v="34"/>
    <n v="152"/>
    <n v="4"/>
    <s v="Mechanical Failure"/>
    <n v="79.8"/>
    <n v="299"/>
    <n v="0"/>
    <x v="0"/>
  </r>
  <r>
    <d v="2024-06-12T09:44:35"/>
    <s v="Truck_5"/>
    <s v="25.3254"/>
    <s v="132.6264"/>
    <n v="231"/>
    <s v="Delivered"/>
    <n v="19.399999999999999"/>
    <n v="66.599999999999994"/>
    <s v="Heavy"/>
    <n v="32"/>
    <n v="289"/>
    <n v="8"/>
    <s v="Mechanical Failure"/>
    <n v="77.599999999999994"/>
    <n v="240"/>
    <n v="1"/>
    <x v="1"/>
  </r>
  <r>
    <d v="2024-07-20T20:03:39"/>
    <s v="Truck_5"/>
    <s v="40.7401"/>
    <s v="110.4737"/>
    <n v="129"/>
    <s v="Delivered"/>
    <n v="19.2"/>
    <n v="77.900000000000006"/>
    <s v="Detour"/>
    <n v="11"/>
    <n v="448"/>
    <n v="4"/>
    <s v="None"/>
    <n v="68.900000000000006"/>
    <n v="132"/>
    <n v="0"/>
    <x v="1"/>
  </r>
  <r>
    <d v="2024-10-16T14:41:08"/>
    <s v="Truck_1"/>
    <s v="-53.7790"/>
    <s v="30.8863"/>
    <n v="398"/>
    <s v="Delivered"/>
    <n v="29.1"/>
    <n v="75.3"/>
    <s v="Detour"/>
    <n v="58"/>
    <n v="172"/>
    <n v="1"/>
    <s v="Traffic"/>
    <n v="99.3"/>
    <n v="194"/>
    <n v="0"/>
    <x v="1"/>
  </r>
  <r>
    <d v="2024-09-02T03:17:19"/>
    <s v="Truck_5"/>
    <s v="-39.3791"/>
    <s v="-53.1316"/>
    <n v="149"/>
    <s v="Delayed"/>
    <n v="19.8"/>
    <n v="51.3"/>
    <s v="Heavy"/>
    <n v="24"/>
    <n v="386"/>
    <n v="6"/>
    <s v="Mechanical Failure"/>
    <n v="87.2"/>
    <n v="208"/>
    <n v="1"/>
    <x v="1"/>
  </r>
  <r>
    <d v="2024-07-20T16:26:17"/>
    <s v="Truck_5"/>
    <s v="46.2788"/>
    <s v="41.3453"/>
    <n v="338"/>
    <s v="In Transit"/>
    <n v="20.6"/>
    <n v="65"/>
    <s v="Detour"/>
    <n v="56"/>
    <n v="421"/>
    <n v="2"/>
    <s v="Mechanical Failure"/>
    <n v="86.9"/>
    <n v="142"/>
    <n v="0"/>
    <x v="1"/>
  </r>
  <r>
    <d v="2024-08-19T00:05:12"/>
    <s v="Truck_7"/>
    <s v="-65.9199"/>
    <s v="-160.2292"/>
    <n v="252"/>
    <s v="In Transit"/>
    <n v="27.1"/>
    <n v="59.8"/>
    <s v="Detour"/>
    <n v="53"/>
    <n v="457"/>
    <n v="8"/>
    <s v="Traffic"/>
    <n v="95.4"/>
    <n v="273"/>
    <n v="0"/>
    <x v="1"/>
  </r>
  <r>
    <d v="2024-03-04T10:19:51"/>
    <s v="Truck_5"/>
    <s v="-32.2707"/>
    <s v="98.1472"/>
    <n v="330"/>
    <s v="Delivered"/>
    <n v="26.5"/>
    <n v="59.2"/>
    <s v="Clear"/>
    <n v="51"/>
    <n v="274"/>
    <n v="3"/>
    <s v="Traffic"/>
    <n v="69.099999999999994"/>
    <n v="139"/>
    <n v="0"/>
    <x v="1"/>
  </r>
  <r>
    <d v="2024-10-01T07:42:57"/>
    <s v="Truck_5"/>
    <s v="73.3920"/>
    <s v="-62.3138"/>
    <n v="464"/>
    <s v="Delayed"/>
    <n v="28.2"/>
    <n v="61.4"/>
    <s v="Heavy"/>
    <n v="20"/>
    <n v="177"/>
    <n v="3"/>
    <s v="Weather"/>
    <n v="60.3"/>
    <n v="279"/>
    <n v="1"/>
    <x v="1"/>
  </r>
  <r>
    <d v="2024-02-02T12:51:41"/>
    <s v="Truck_8"/>
    <s v="77.7678"/>
    <s v="-165.1979"/>
    <n v="141"/>
    <s v="Delayed"/>
    <n v="27.7"/>
    <n v="55"/>
    <s v="Clear"/>
    <n v="12"/>
    <n v="432"/>
    <n v="10"/>
    <s v="Mechanical Failure"/>
    <n v="87.5"/>
    <n v="278"/>
    <n v="1"/>
    <x v="1"/>
  </r>
  <r>
    <d v="2024-10-31T06:24:27"/>
    <s v="Truck_5"/>
    <s v="-2.8228"/>
    <s v="75.2804"/>
    <n v="463"/>
    <s v="In Transit"/>
    <n v="19.5"/>
    <n v="64.400000000000006"/>
    <s v="Detour"/>
    <n v="32"/>
    <n v="244"/>
    <n v="1"/>
    <s v="Traffic"/>
    <n v="69.8"/>
    <n v="294"/>
    <n v="0"/>
    <x v="0"/>
  </r>
  <r>
    <d v="2024-12-01T04:41:08"/>
    <s v="Truck_8"/>
    <s v="-74.2780"/>
    <s v="137.4560"/>
    <n v="223"/>
    <s v="In Transit"/>
    <n v="25.2"/>
    <n v="54.1"/>
    <s v="Detour"/>
    <n v="45"/>
    <n v="121"/>
    <n v="1"/>
    <s v="Mechanical Failure"/>
    <n v="85.9"/>
    <n v="153"/>
    <n v="0"/>
    <x v="1"/>
  </r>
  <r>
    <d v="2024-03-15T02:17:56"/>
    <s v="Truck_10"/>
    <s v="-21.5797"/>
    <s v="129.7599"/>
    <n v="301"/>
    <s v="In Transit"/>
    <n v="18.5"/>
    <n v="75.3"/>
    <s v="Clear"/>
    <n v="39"/>
    <n v="140"/>
    <n v="6"/>
    <s v="Weather"/>
    <n v="78.5"/>
    <n v="208"/>
    <n v="0"/>
    <x v="1"/>
  </r>
  <r>
    <d v="2024-03-05T22:52:24"/>
    <s v="Truck_10"/>
    <s v="35.9521"/>
    <s v="5.7750"/>
    <n v="195"/>
    <s v="Delivered"/>
    <n v="26.9"/>
    <n v="79.8"/>
    <s v="Clear"/>
    <n v="57"/>
    <n v="190"/>
    <n v="2"/>
    <s v="Traffic"/>
    <n v="60.6"/>
    <n v="235"/>
    <n v="0"/>
    <x v="1"/>
  </r>
  <r>
    <d v="2024-10-26T23:46:59"/>
    <s v="Truck_7"/>
    <s v="-8.7267"/>
    <s v="-140.3988"/>
    <n v="310"/>
    <s v="Delivered"/>
    <n v="23.8"/>
    <n v="72.400000000000006"/>
    <s v="Clear"/>
    <n v="53"/>
    <n v="277"/>
    <n v="4"/>
    <s v="Mechanical Failure"/>
    <n v="91.3"/>
    <n v="122"/>
    <n v="0"/>
    <x v="2"/>
  </r>
  <r>
    <d v="2024-03-17T17:11:29"/>
    <s v="Truck_2"/>
    <s v="-56.1219"/>
    <s v="135.4235"/>
    <n v="100"/>
    <s v="In Transit"/>
    <n v="23.6"/>
    <n v="64.3"/>
    <s v="Detour"/>
    <n v="29"/>
    <n v="276"/>
    <n v="5"/>
    <s v="Mechanical Failure"/>
    <n v="89.1"/>
    <n v="198"/>
    <n v="0"/>
    <x v="1"/>
  </r>
  <r>
    <d v="2024-01-13T15:51:27"/>
    <s v="Truck_1"/>
    <s v="23.2259"/>
    <s v="110.6901"/>
    <n v="147"/>
    <s v="In Transit"/>
    <n v="18.7"/>
    <n v="68.5"/>
    <s v="Heavy"/>
    <n v="25"/>
    <n v="439"/>
    <n v="9"/>
    <s v="None"/>
    <n v="75.2"/>
    <n v="266"/>
    <n v="1"/>
    <x v="1"/>
  </r>
  <r>
    <d v="2024-05-30T23:00:59"/>
    <s v="Truck_9"/>
    <s v="-53.6993"/>
    <s v="79.0096"/>
    <n v="251"/>
    <s v="Delayed"/>
    <n v="22.8"/>
    <n v="62.9"/>
    <s v="Heavy"/>
    <n v="52"/>
    <n v="173"/>
    <n v="3"/>
    <s v="Mechanical Failure"/>
    <n v="72.900000000000006"/>
    <n v="268"/>
    <n v="1"/>
    <x v="1"/>
  </r>
  <r>
    <d v="2024-07-31T22:57:20"/>
    <s v="Truck_7"/>
    <s v="-3.8220"/>
    <s v="-40.3169"/>
    <n v="108"/>
    <s v="Delivered"/>
    <n v="26.6"/>
    <n v="61.7"/>
    <s v="Detour"/>
    <n v="47"/>
    <n v="122"/>
    <n v="7"/>
    <s v="Weather"/>
    <n v="64.599999999999994"/>
    <n v="116"/>
    <n v="0"/>
    <x v="2"/>
  </r>
  <r>
    <d v="2024-06-13T04:47:01"/>
    <s v="Truck_6"/>
    <s v="-48.0530"/>
    <s v="-175.0849"/>
    <n v="340"/>
    <s v="In Transit"/>
    <n v="27.9"/>
    <n v="69.099999999999994"/>
    <s v="Clear"/>
    <n v="32"/>
    <n v="162"/>
    <n v="2"/>
    <s v="Weather"/>
    <n v="90.9"/>
    <n v="300"/>
    <n v="0"/>
    <x v="0"/>
  </r>
  <r>
    <d v="2024-07-06T15:59:22"/>
    <s v="Truck_3"/>
    <s v="68.1320"/>
    <s v="-51.5071"/>
    <n v="167"/>
    <s v="Delayed"/>
    <n v="21.6"/>
    <n v="54.6"/>
    <s v="Clear"/>
    <n v="46"/>
    <n v="240"/>
    <n v="10"/>
    <s v="Weather"/>
    <n v="60.5"/>
    <n v="278"/>
    <n v="1"/>
    <x v="1"/>
  </r>
  <r>
    <d v="2024-02-28T12:30:38"/>
    <s v="Truck_3"/>
    <s v="-80.4289"/>
    <s v="177.5580"/>
    <n v="488"/>
    <s v="Delivered"/>
    <n v="24.9"/>
    <n v="79.2"/>
    <s v="Heavy"/>
    <n v="52"/>
    <n v="290"/>
    <n v="10"/>
    <s v="Traffic"/>
    <n v="82.5"/>
    <n v="248"/>
    <n v="1"/>
    <x v="1"/>
  </r>
  <r>
    <d v="2024-03-22T06:45:28"/>
    <s v="Truck_8"/>
    <s v="42.9526"/>
    <s v="146.6224"/>
    <n v="330"/>
    <s v="Delivered"/>
    <n v="24.4"/>
    <n v="79.5"/>
    <s v="Clear"/>
    <n v="19"/>
    <n v="110"/>
    <n v="7"/>
    <s v="None"/>
    <n v="66.3"/>
    <n v="109"/>
    <n v="0"/>
    <x v="2"/>
  </r>
  <r>
    <d v="2024-01-29T19:22:37"/>
    <s v="Truck_9"/>
    <s v="-40.5556"/>
    <s v="55.0777"/>
    <n v="177"/>
    <s v="Delivered"/>
    <n v="25.6"/>
    <n v="71.900000000000006"/>
    <s v="Detour"/>
    <n v="20"/>
    <n v="193"/>
    <n v="6"/>
    <s v="Mechanical Failure"/>
    <n v="95.5"/>
    <n v="182"/>
    <n v="0"/>
    <x v="1"/>
  </r>
  <r>
    <d v="2024-07-09T02:11:05"/>
    <s v="Truck_4"/>
    <s v="-12.7845"/>
    <s v="-147.2449"/>
    <n v="132"/>
    <s v="Delivered"/>
    <n v="22.9"/>
    <n v="66.5"/>
    <s v="Clear"/>
    <n v="35"/>
    <n v="209"/>
    <n v="6"/>
    <s v="Mechanical Failure"/>
    <n v="94.3"/>
    <n v="122"/>
    <n v="0"/>
    <x v="2"/>
  </r>
  <r>
    <d v="2024-06-20T13:30:09"/>
    <s v="Truck_6"/>
    <s v="-63.6304"/>
    <s v="164.1850"/>
    <n v="208"/>
    <s v="Delayed"/>
    <n v="22.5"/>
    <n v="65.900000000000006"/>
    <s v="Heavy"/>
    <n v="38"/>
    <n v="462"/>
    <n v="7"/>
    <s v="Weather"/>
    <n v="83.1"/>
    <n v="193"/>
    <n v="1"/>
    <x v="1"/>
  </r>
  <r>
    <d v="2024-06-01T00:41:56"/>
    <s v="Truck_6"/>
    <s v="21.8816"/>
    <s v="128.7922"/>
    <n v="348"/>
    <s v="Delayed"/>
    <n v="25.8"/>
    <n v="62.9"/>
    <s v="Detour"/>
    <n v="24"/>
    <n v="352"/>
    <n v="6"/>
    <s v="Weather"/>
    <n v="96.5"/>
    <n v="164"/>
    <n v="1"/>
    <x v="1"/>
  </r>
  <r>
    <d v="2024-03-23T20:27:30"/>
    <s v="Truck_4"/>
    <s v="-85.9619"/>
    <s v="103.5733"/>
    <n v="156"/>
    <s v="In Transit"/>
    <n v="19.399999999999999"/>
    <n v="75.2"/>
    <s v="Heavy"/>
    <n v="44"/>
    <n v="135"/>
    <n v="1"/>
    <s v="Weather"/>
    <n v="66.599999999999994"/>
    <n v="108"/>
    <n v="1"/>
    <x v="2"/>
  </r>
  <r>
    <d v="2024-04-18T04:50:13"/>
    <s v="Truck_5"/>
    <s v="-36.6154"/>
    <s v="-46.3008"/>
    <n v="468"/>
    <s v="Delivered"/>
    <n v="26.6"/>
    <n v="59"/>
    <s v="Heavy"/>
    <n v="16"/>
    <n v="144"/>
    <n v="4"/>
    <s v="Weather"/>
    <n v="86.8"/>
    <n v="276"/>
    <n v="1"/>
    <x v="1"/>
  </r>
  <r>
    <d v="2024-06-26T09:25:46"/>
    <s v="Truck_7"/>
    <s v="-85.0916"/>
    <s v="68.3039"/>
    <n v="142"/>
    <s v="Delayed"/>
    <n v="28.4"/>
    <n v="67.3"/>
    <s v="Detour"/>
    <n v="30"/>
    <n v="181"/>
    <n v="6"/>
    <s v="Weather"/>
    <n v="84.3"/>
    <n v="104"/>
    <n v="1"/>
    <x v="2"/>
  </r>
  <r>
    <d v="2024-02-04T01:08:26"/>
    <s v="Truck_10"/>
    <s v="-13.6168"/>
    <s v="-165.0825"/>
    <n v="349"/>
    <s v="In Transit"/>
    <n v="21.1"/>
    <n v="55.1"/>
    <s v="Heavy"/>
    <n v="13"/>
    <n v="453"/>
    <n v="10"/>
    <s v="Weather"/>
    <n v="65.099999999999994"/>
    <n v="111"/>
    <n v="1"/>
    <x v="2"/>
  </r>
  <r>
    <d v="2024-04-01T16:27:12"/>
    <s v="Truck_4"/>
    <s v="42.6032"/>
    <s v="146.1485"/>
    <n v="226"/>
    <s v="Delivered"/>
    <n v="23.9"/>
    <n v="61.2"/>
    <s v="Heavy"/>
    <n v="13"/>
    <n v="211"/>
    <n v="2"/>
    <s v="Mechanical Failure"/>
    <n v="67.5"/>
    <n v="232"/>
    <n v="1"/>
    <x v="1"/>
  </r>
  <r>
    <d v="2024-08-14T21:28:50"/>
    <s v="Truck_2"/>
    <s v="86.8195"/>
    <s v="-21.0786"/>
    <n v="481"/>
    <s v="In Transit"/>
    <n v="22.4"/>
    <n v="77.900000000000006"/>
    <s v="Detour"/>
    <n v="25"/>
    <n v="143"/>
    <n v="8"/>
    <s v="Traffic"/>
    <n v="71.400000000000006"/>
    <n v="124"/>
    <n v="0"/>
    <x v="2"/>
  </r>
  <r>
    <d v="2024-10-03T18:21:52"/>
    <s v="Truck_5"/>
    <s v="-82.6294"/>
    <s v="-72.3332"/>
    <n v="448"/>
    <s v="Delivered"/>
    <n v="20.100000000000001"/>
    <n v="65.7"/>
    <s v="Clear"/>
    <n v="20"/>
    <n v="180"/>
    <n v="7"/>
    <s v="Mechanical Failure"/>
    <n v="61.7"/>
    <n v="253"/>
    <n v="0"/>
    <x v="1"/>
  </r>
  <r>
    <d v="2024-03-25T12:22:10"/>
    <s v="Truck_5"/>
    <s v="41.9728"/>
    <s v="81.4274"/>
    <n v="441"/>
    <s v="Delayed"/>
    <n v="18.899999999999999"/>
    <n v="67"/>
    <s v="Detour"/>
    <n v="48"/>
    <n v="359"/>
    <n v="8"/>
    <s v="Mechanical Failure"/>
    <n v="76"/>
    <n v="300"/>
    <n v="1"/>
    <x v="0"/>
  </r>
  <r>
    <d v="2024-09-12T22:46:47"/>
    <s v="Truck_10"/>
    <s v="-7.3863"/>
    <s v="-44.8767"/>
    <n v="470"/>
    <s v="Delivered"/>
    <n v="25.1"/>
    <n v="70.3"/>
    <s v="Heavy"/>
    <n v="11"/>
    <n v="417"/>
    <n v="3"/>
    <s v="Mechanical Failure"/>
    <n v="76.5"/>
    <n v="126"/>
    <n v="1"/>
    <x v="1"/>
  </r>
  <r>
    <d v="2024-05-03T22:24:53"/>
    <s v="Truck_10"/>
    <s v="-21.2573"/>
    <s v="12.4574"/>
    <n v="459"/>
    <s v="In Transit"/>
    <n v="26.4"/>
    <n v="50.6"/>
    <s v="Heavy"/>
    <n v="17"/>
    <n v="222"/>
    <n v="9"/>
    <s v="Traffic"/>
    <n v="94.9"/>
    <n v="265"/>
    <n v="1"/>
    <x v="1"/>
  </r>
  <r>
    <d v="2024-05-27T09:56:34"/>
    <s v="Truck_6"/>
    <s v="-33.9378"/>
    <s v="-176.3102"/>
    <n v="324"/>
    <s v="In Transit"/>
    <n v="27.7"/>
    <n v="54.8"/>
    <s v="Clear"/>
    <n v="46"/>
    <n v="344"/>
    <n v="10"/>
    <s v="Traffic"/>
    <n v="70.7"/>
    <n v="105"/>
    <n v="0"/>
    <x v="2"/>
  </r>
  <r>
    <d v="2024-05-25T08:35:36"/>
    <s v="Truck_8"/>
    <s v="23.9115"/>
    <s v="179.0046"/>
    <n v="194"/>
    <s v="Delayed"/>
    <n v="24.9"/>
    <n v="57.9"/>
    <s v="Detour"/>
    <n v="10"/>
    <n v="220"/>
    <n v="3"/>
    <s v="None"/>
    <n v="77.3"/>
    <n v="172"/>
    <n v="1"/>
    <x v="1"/>
  </r>
  <r>
    <d v="2024-03-20T08:55:41"/>
    <s v="Truck_9"/>
    <s v="-80.5196"/>
    <s v="-2.9668"/>
    <n v="334"/>
    <s v="Delivered"/>
    <n v="22.8"/>
    <n v="61.1"/>
    <s v="Clear"/>
    <n v="52"/>
    <n v="389"/>
    <n v="2"/>
    <s v="Traffic"/>
    <n v="88"/>
    <n v="123"/>
    <n v="0"/>
    <x v="2"/>
  </r>
  <r>
    <d v="2024-05-23T15:33:36"/>
    <s v="Truck_2"/>
    <s v="45.8603"/>
    <s v="148.4775"/>
    <n v="179"/>
    <s v="Delivered"/>
    <n v="25.5"/>
    <n v="75.8"/>
    <s v="Clear"/>
    <n v="19"/>
    <n v="139"/>
    <n v="9"/>
    <s v="Traffic"/>
    <n v="83.5"/>
    <n v="282"/>
    <n v="0"/>
    <x v="1"/>
  </r>
  <r>
    <d v="2024-10-19T23:58:05"/>
    <s v="Truck_8"/>
    <s v="60.0491"/>
    <s v="-175.5019"/>
    <n v="401"/>
    <s v="Delayed"/>
    <n v="27.1"/>
    <n v="67.2"/>
    <s v="Detour"/>
    <n v="51"/>
    <n v="487"/>
    <n v="3"/>
    <s v="Weather"/>
    <n v="86.3"/>
    <n v="238"/>
    <n v="1"/>
    <x v="1"/>
  </r>
  <r>
    <d v="2024-04-11T04:39:16"/>
    <s v="Truck_10"/>
    <s v="-33.9528"/>
    <s v="-54.2201"/>
    <n v="384"/>
    <s v="In Transit"/>
    <n v="24.2"/>
    <n v="72.5"/>
    <s v="Heavy"/>
    <n v="50"/>
    <n v="131"/>
    <n v="3"/>
    <s v="Weather"/>
    <n v="80.099999999999994"/>
    <n v="141"/>
    <n v="1"/>
    <x v="1"/>
  </r>
  <r>
    <d v="2024-03-10T06:12:13"/>
    <s v="Truck_9"/>
    <s v="7.9549"/>
    <s v="-109.2897"/>
    <n v="434"/>
    <s v="Delivered"/>
    <n v="22"/>
    <n v="69.2"/>
    <s v="Heavy"/>
    <n v="17"/>
    <n v="233"/>
    <n v="10"/>
    <s v="None"/>
    <n v="63.4"/>
    <n v="138"/>
    <n v="1"/>
    <x v="1"/>
  </r>
  <r>
    <d v="2024-12-28T10:46:03"/>
    <s v="Truck_10"/>
    <s v="-6.9237"/>
    <s v="20.9631"/>
    <n v="366"/>
    <s v="Delayed"/>
    <n v="18.7"/>
    <n v="59.1"/>
    <s v="Detour"/>
    <n v="39"/>
    <n v="466"/>
    <n v="6"/>
    <s v="Traffic"/>
    <n v="82.7"/>
    <n v="109"/>
    <n v="1"/>
    <x v="2"/>
  </r>
  <r>
    <d v="2024-05-06T07:22:22"/>
    <s v="Truck_3"/>
    <s v="-80.5883"/>
    <s v="-167.4673"/>
    <n v="269"/>
    <s v="In Transit"/>
    <n v="27.7"/>
    <n v="57.5"/>
    <s v="Detour"/>
    <n v="54"/>
    <n v="288"/>
    <n v="6"/>
    <s v="None"/>
    <n v="89.8"/>
    <n v="116"/>
    <n v="0"/>
    <x v="2"/>
  </r>
  <r>
    <d v="2024-01-17T04:29:26"/>
    <s v="Truck_1"/>
    <s v="-60.3563"/>
    <s v="95.7232"/>
    <n v="292"/>
    <s v="Delivered"/>
    <n v="22.7"/>
    <n v="61"/>
    <s v="Clear"/>
    <n v="42"/>
    <n v="358"/>
    <n v="9"/>
    <s v="Mechanical Failure"/>
    <n v="77.7"/>
    <n v="256"/>
    <n v="0"/>
    <x v="1"/>
  </r>
  <r>
    <d v="2024-09-28T01:41:47"/>
    <s v="Truck_6"/>
    <s v="-83.3207"/>
    <s v="19.9119"/>
    <n v="288"/>
    <s v="Delivered"/>
    <n v="25.4"/>
    <n v="62"/>
    <s v="Clear"/>
    <n v="54"/>
    <n v="154"/>
    <n v="2"/>
    <s v="Traffic"/>
    <n v="71.900000000000006"/>
    <n v="211"/>
    <n v="0"/>
    <x v="1"/>
  </r>
  <r>
    <d v="2024-03-06T02:39:46"/>
    <s v="Truck_8"/>
    <s v="-54.4964"/>
    <s v="-93.8603"/>
    <n v="286"/>
    <s v="Delivered"/>
    <n v="20.7"/>
    <n v="59"/>
    <s v="Heavy"/>
    <n v="43"/>
    <n v="387"/>
    <n v="4"/>
    <s v="Traffic"/>
    <n v="60.7"/>
    <n v="134"/>
    <n v="1"/>
    <x v="1"/>
  </r>
  <r>
    <d v="2024-08-16T05:55:39"/>
    <s v="Truck_7"/>
    <s v="66.5399"/>
    <s v="160.5510"/>
    <n v="155"/>
    <s v="Delayed"/>
    <n v="24"/>
    <n v="72.400000000000006"/>
    <s v="Detour"/>
    <n v="28"/>
    <n v="398"/>
    <n v="6"/>
    <s v="Traffic"/>
    <n v="63.8"/>
    <n v="278"/>
    <n v="1"/>
    <x v="1"/>
  </r>
  <r>
    <d v="2024-08-07T09:39:53"/>
    <s v="Truck_8"/>
    <s v="16.1144"/>
    <s v="-24.4118"/>
    <n v="488"/>
    <s v="Delivered"/>
    <n v="26.5"/>
    <n v="66.599999999999994"/>
    <s v="Heavy"/>
    <n v="41"/>
    <n v="104"/>
    <n v="1"/>
    <s v="Mechanical Failure"/>
    <n v="67.099999999999994"/>
    <n v="151"/>
    <n v="1"/>
    <x v="1"/>
  </r>
  <r>
    <d v="2024-04-30T20:36:22"/>
    <s v="Truck_8"/>
    <s v="-84.9601"/>
    <s v="17.4992"/>
    <n v="386"/>
    <s v="In Transit"/>
    <n v="21.8"/>
    <n v="79.7"/>
    <s v="Detour"/>
    <n v="15"/>
    <n v="463"/>
    <n v="1"/>
    <s v="Traffic"/>
    <n v="75"/>
    <n v="224"/>
    <n v="0"/>
    <x v="1"/>
  </r>
  <r>
    <d v="2024-07-03T12:38:53"/>
    <s v="Truck_3"/>
    <s v="-62.6441"/>
    <s v="-34.4446"/>
    <n v="153"/>
    <s v="Delivered"/>
    <n v="20.7"/>
    <n v="55.3"/>
    <s v="Detour"/>
    <n v="55"/>
    <n v="304"/>
    <n v="8"/>
    <s v="None"/>
    <n v="79.5"/>
    <n v="147"/>
    <n v="0"/>
    <x v="1"/>
  </r>
  <r>
    <d v="2024-04-27T09:13:01"/>
    <s v="Truck_5"/>
    <s v="82.9727"/>
    <s v="171.1469"/>
    <n v="317"/>
    <s v="Delayed"/>
    <n v="26.5"/>
    <n v="52.7"/>
    <s v="Heavy"/>
    <n v="37"/>
    <n v="427"/>
    <n v="2"/>
    <s v="Traffic"/>
    <n v="69.900000000000006"/>
    <n v="233"/>
    <n v="1"/>
    <x v="1"/>
  </r>
  <r>
    <d v="2024-12-11T16:22:11"/>
    <s v="Truck_5"/>
    <s v="-50.8081"/>
    <s v="11.3148"/>
    <n v="281"/>
    <s v="In Transit"/>
    <n v="28"/>
    <n v="73.5"/>
    <s v="Detour"/>
    <n v="43"/>
    <n v="390"/>
    <n v="5"/>
    <s v="Mechanical Failure"/>
    <n v="86.4"/>
    <n v="153"/>
    <n v="0"/>
    <x v="1"/>
  </r>
  <r>
    <d v="2024-04-30T19:31:45"/>
    <s v="Truck_8"/>
    <s v="67.8612"/>
    <s v="174.7961"/>
    <n v="473"/>
    <s v="Delayed"/>
    <n v="24.8"/>
    <n v="61.7"/>
    <s v="Heavy"/>
    <n v="19"/>
    <n v="360"/>
    <n v="10"/>
    <s v="Weather"/>
    <n v="97.3"/>
    <n v="186"/>
    <n v="1"/>
    <x v="1"/>
  </r>
  <r>
    <d v="2024-03-26T15:40:51"/>
    <s v="Truck_7"/>
    <s v="52.0415"/>
    <s v="-64.6403"/>
    <n v="221"/>
    <s v="Delivered"/>
    <n v="25.2"/>
    <n v="68.5"/>
    <s v="Detour"/>
    <n v="41"/>
    <n v="101"/>
    <n v="9"/>
    <s v="None"/>
    <n v="99.3"/>
    <n v="287"/>
    <n v="0"/>
    <x v="0"/>
  </r>
  <r>
    <d v="2024-02-19T23:24:03"/>
    <s v="Truck_2"/>
    <s v="-74.9003"/>
    <s v="146.0765"/>
    <n v="276"/>
    <s v="In Transit"/>
    <n v="29.2"/>
    <n v="77.099999999999994"/>
    <s v="Clear"/>
    <n v="39"/>
    <n v="483"/>
    <n v="7"/>
    <s v="None"/>
    <n v="71.5"/>
    <n v="157"/>
    <n v="0"/>
    <x v="1"/>
  </r>
  <r>
    <d v="2024-09-15T01:08:22"/>
    <s v="Truck_5"/>
    <s v="-10.7414"/>
    <s v="-56.5849"/>
    <n v="331"/>
    <s v="Delivered"/>
    <n v="21.6"/>
    <n v="61.2"/>
    <s v="Heavy"/>
    <n v="24"/>
    <n v="450"/>
    <n v="8"/>
    <s v="Traffic"/>
    <n v="64.400000000000006"/>
    <n v="123"/>
    <n v="1"/>
    <x v="2"/>
  </r>
  <r>
    <d v="2024-05-07T12:49:54"/>
    <s v="Truck_2"/>
    <s v="77.4360"/>
    <s v="42.5290"/>
    <n v="249"/>
    <s v="Delivered"/>
    <n v="24.3"/>
    <n v="78.8"/>
    <s v="Heavy"/>
    <n v="13"/>
    <n v="125"/>
    <n v="2"/>
    <s v="Mechanical Failure"/>
    <n v="78.7"/>
    <n v="165"/>
    <n v="1"/>
    <x v="1"/>
  </r>
  <r>
    <d v="2024-06-30T04:50:57"/>
    <s v="Truck_1"/>
    <s v="-39.7010"/>
    <s v="158.9084"/>
    <n v="379"/>
    <s v="Delayed"/>
    <n v="23.8"/>
    <n v="78.8"/>
    <s v="Detour"/>
    <n v="22"/>
    <n v="361"/>
    <n v="5"/>
    <s v="Weather"/>
    <n v="89.3"/>
    <n v="112"/>
    <n v="1"/>
    <x v="2"/>
  </r>
  <r>
    <d v="2024-11-08T03:31:33"/>
    <s v="Truck_10"/>
    <s v="65.9337"/>
    <s v="130.6003"/>
    <n v="489"/>
    <s v="In Transit"/>
    <n v="18.399999999999999"/>
    <n v="59.9"/>
    <s v="Detour"/>
    <n v="28"/>
    <n v="136"/>
    <n v="9"/>
    <s v="Traffic"/>
    <n v="74.3"/>
    <n v="272"/>
    <n v="0"/>
    <x v="1"/>
  </r>
  <r>
    <d v="2024-09-27T15:16:09"/>
    <s v="Truck_8"/>
    <s v="-3.7749"/>
    <s v="-110.6148"/>
    <n v="211"/>
    <s v="In Transit"/>
    <n v="19.8"/>
    <n v="52.8"/>
    <s v="Heavy"/>
    <n v="23"/>
    <n v="423"/>
    <n v="1"/>
    <s v="Traffic"/>
    <n v="80.599999999999994"/>
    <n v="185"/>
    <n v="1"/>
    <x v="1"/>
  </r>
  <r>
    <d v="2024-10-26T22:42:24"/>
    <s v="Truck_8"/>
    <s v="-22.1627"/>
    <s v="-58.0963"/>
    <n v="454"/>
    <s v="In Transit"/>
    <n v="18.899999999999999"/>
    <n v="50.9"/>
    <s v="Detour"/>
    <n v="45"/>
    <n v="230"/>
    <n v="7"/>
    <s v="Weather"/>
    <n v="70.2"/>
    <n v="116"/>
    <n v="0"/>
    <x v="2"/>
  </r>
  <r>
    <d v="2024-09-23T14:50:23"/>
    <s v="Truck_10"/>
    <s v="-7.7974"/>
    <s v="-150.3367"/>
    <n v="427"/>
    <s v="In Transit"/>
    <n v="23.9"/>
    <n v="56.2"/>
    <s v="Heavy"/>
    <n v="31"/>
    <n v="443"/>
    <n v="3"/>
    <s v="None"/>
    <n v="89"/>
    <n v="148"/>
    <n v="1"/>
    <x v="1"/>
  </r>
  <r>
    <d v="2024-08-19T08:18:25"/>
    <s v="Truck_7"/>
    <s v="-47.9015"/>
    <s v="-121.4183"/>
    <n v="332"/>
    <s v="In Transit"/>
    <n v="24.4"/>
    <n v="69.5"/>
    <s v="Heavy"/>
    <n v="27"/>
    <n v="343"/>
    <n v="5"/>
    <s v="Traffic"/>
    <n v="87.6"/>
    <n v="235"/>
    <n v="1"/>
    <x v="1"/>
  </r>
  <r>
    <d v="2024-10-20T12:32:47"/>
    <s v="Truck_1"/>
    <s v="64.0594"/>
    <s v="-102.2596"/>
    <n v="195"/>
    <s v="In Transit"/>
    <n v="19.3"/>
    <n v="70.599999999999994"/>
    <s v="Heavy"/>
    <n v="34"/>
    <n v="134"/>
    <n v="2"/>
    <s v="Traffic"/>
    <n v="98.2"/>
    <n v="220"/>
    <n v="1"/>
    <x v="1"/>
  </r>
  <r>
    <d v="2024-07-27T09:16:20"/>
    <s v="Truck_9"/>
    <s v="38.5127"/>
    <s v="-17.3878"/>
    <n v="249"/>
    <s v="Delivered"/>
    <n v="23.6"/>
    <n v="74.3"/>
    <s v="Detour"/>
    <n v="45"/>
    <n v="482"/>
    <n v="7"/>
    <s v="Mechanical Failure"/>
    <n v="66.8"/>
    <n v="246"/>
    <n v="0"/>
    <x v="1"/>
  </r>
  <r>
    <d v="2024-11-26T11:25:34"/>
    <s v="Truck_4"/>
    <s v="53.4470"/>
    <s v="-162.7863"/>
    <n v="274"/>
    <s v="Delayed"/>
    <n v="22"/>
    <n v="51.1"/>
    <s v="Heavy"/>
    <n v="38"/>
    <n v="175"/>
    <n v="4"/>
    <s v="Traffic"/>
    <n v="64"/>
    <n v="271"/>
    <n v="1"/>
    <x v="1"/>
  </r>
  <r>
    <d v="2024-05-23T20:20:51"/>
    <s v="Truck_6"/>
    <s v="77.9980"/>
    <s v="-97.0043"/>
    <n v="272"/>
    <s v="In Transit"/>
    <n v="19"/>
    <n v="72.099999999999994"/>
    <s v="Detour"/>
    <n v="32"/>
    <n v="113"/>
    <n v="6"/>
    <s v="None"/>
    <n v="94.9"/>
    <n v="119"/>
    <n v="0"/>
    <x v="2"/>
  </r>
  <r>
    <d v="2024-08-26T13:29:17"/>
    <s v="Truck_1"/>
    <s v="-83.1143"/>
    <s v="74.2100"/>
    <n v="214"/>
    <s v="Delayed"/>
    <n v="27"/>
    <n v="55"/>
    <s v="Clear"/>
    <n v="18"/>
    <n v="319"/>
    <n v="3"/>
    <s v="Mechanical Failure"/>
    <n v="67"/>
    <n v="127"/>
    <n v="1"/>
    <x v="1"/>
  </r>
  <r>
    <d v="2024-01-15T08:13:04"/>
    <s v="Truck_6"/>
    <s v="14.4593"/>
    <s v="157.9293"/>
    <n v="487"/>
    <s v="Delayed"/>
    <n v="18.7"/>
    <n v="62"/>
    <s v="Detour"/>
    <n v="35"/>
    <n v="432"/>
    <n v="9"/>
    <s v="None"/>
    <n v="72.3"/>
    <n v="247"/>
    <n v="1"/>
    <x v="1"/>
  </r>
  <r>
    <d v="2024-10-11T10:29:57"/>
    <s v="Truck_10"/>
    <s v="-48.6056"/>
    <s v="-11.5509"/>
    <n v="420"/>
    <s v="Delayed"/>
    <n v="29.9"/>
    <n v="64.599999999999994"/>
    <s v="Heavy"/>
    <n v="34"/>
    <n v="282"/>
    <n v="10"/>
    <s v="Mechanical Failure"/>
    <n v="79.400000000000006"/>
    <n v="134"/>
    <n v="1"/>
    <x v="1"/>
  </r>
  <r>
    <d v="2024-05-17T11:54:58"/>
    <s v="Truck_5"/>
    <s v="-11.6172"/>
    <s v="47.7390"/>
    <n v="135"/>
    <s v="Delayed"/>
    <n v="24.7"/>
    <n v="67.099999999999994"/>
    <s v="Heavy"/>
    <n v="26"/>
    <n v="380"/>
    <n v="7"/>
    <s v="Traffic"/>
    <n v="64.599999999999994"/>
    <n v="109"/>
    <n v="1"/>
    <x v="2"/>
  </r>
  <r>
    <d v="2024-08-16T22:23:42"/>
    <s v="Truck_1"/>
    <s v="17.7318"/>
    <s v="-166.4083"/>
    <n v="269"/>
    <s v="In Transit"/>
    <n v="25.2"/>
    <n v="63.5"/>
    <s v="Detour"/>
    <n v="19"/>
    <n v="262"/>
    <n v="7"/>
    <s v="Weather"/>
    <n v="71.599999999999994"/>
    <n v="295"/>
    <n v="0"/>
    <x v="0"/>
  </r>
  <r>
    <d v="2024-08-22T09:00:38"/>
    <s v="Truck_2"/>
    <s v="-31.4958"/>
    <s v="-37.5932"/>
    <n v="419"/>
    <s v="Delivered"/>
    <n v="21"/>
    <n v="74.2"/>
    <s v="Clear"/>
    <n v="29"/>
    <n v="386"/>
    <n v="9"/>
    <s v="Traffic"/>
    <n v="95.1"/>
    <n v="186"/>
    <n v="0"/>
    <x v="1"/>
  </r>
  <r>
    <d v="2024-09-02T16:36:48"/>
    <s v="Truck_6"/>
    <s v="79.6896"/>
    <s v="84.1175"/>
    <n v="407"/>
    <s v="Delivered"/>
    <n v="23.5"/>
    <n v="77.7"/>
    <s v="Detour"/>
    <n v="55"/>
    <n v="351"/>
    <n v="6"/>
    <s v="None"/>
    <n v="68.400000000000006"/>
    <n v="168"/>
    <n v="0"/>
    <x v="1"/>
  </r>
  <r>
    <d v="2024-12-16T12:03:58"/>
    <s v="Truck_9"/>
    <s v="-79.5331"/>
    <s v="-178.6658"/>
    <n v="331"/>
    <s v="In Transit"/>
    <n v="24.2"/>
    <n v="74"/>
    <s v="Detour"/>
    <n v="60"/>
    <n v="225"/>
    <n v="8"/>
    <s v="None"/>
    <n v="61"/>
    <n v="142"/>
    <n v="0"/>
    <x v="1"/>
  </r>
  <r>
    <d v="2024-02-27T15:58:37"/>
    <s v="Truck_1"/>
    <s v="63.9549"/>
    <s v="-128.7581"/>
    <n v="444"/>
    <s v="In Transit"/>
    <n v="20.8"/>
    <n v="63.9"/>
    <s v="Heavy"/>
    <n v="38"/>
    <n v="203"/>
    <n v="1"/>
    <s v="Weather"/>
    <n v="73.7"/>
    <n v="201"/>
    <n v="1"/>
    <x v="1"/>
  </r>
  <r>
    <d v="2024-10-16T12:27:49"/>
    <s v="Truck_1"/>
    <s v="61.1522"/>
    <s v="5.9286"/>
    <n v="319"/>
    <s v="In Transit"/>
    <n v="29.1"/>
    <n v="61.3"/>
    <s v="Detour"/>
    <n v="24"/>
    <n v="392"/>
    <n v="7"/>
    <s v="None"/>
    <n v="72.8"/>
    <n v="123"/>
    <n v="0"/>
    <x v="2"/>
  </r>
  <r>
    <d v="2024-04-27T12:02:57"/>
    <s v="Truck_10"/>
    <s v="-26.3913"/>
    <s v="-155.6326"/>
    <n v="402"/>
    <s v="Delivered"/>
    <n v="21"/>
    <n v="66.3"/>
    <s v="Clear"/>
    <n v="52"/>
    <n v="306"/>
    <n v="10"/>
    <s v="Weather"/>
    <n v="70.099999999999994"/>
    <n v="251"/>
    <n v="0"/>
    <x v="1"/>
  </r>
  <r>
    <d v="2024-08-07T08:25:04"/>
    <s v="Truck_10"/>
    <s v="14.8779"/>
    <s v="-139.1721"/>
    <n v="269"/>
    <s v="Delayed"/>
    <n v="19"/>
    <n v="73.599999999999994"/>
    <s v="Clear"/>
    <n v="50"/>
    <n v="307"/>
    <n v="3"/>
    <s v="Mechanical Failure"/>
    <n v="68.099999999999994"/>
    <n v="102"/>
    <n v="1"/>
    <x v="2"/>
  </r>
  <r>
    <d v="2024-07-23T23:11:06"/>
    <s v="Truck_10"/>
    <s v="49.6418"/>
    <s v="-121.3862"/>
    <n v="318"/>
    <s v="In Transit"/>
    <n v="22.5"/>
    <n v="59.3"/>
    <s v="Heavy"/>
    <n v="18"/>
    <n v="331"/>
    <n v="9"/>
    <s v="None"/>
    <n v="97.3"/>
    <n v="273"/>
    <n v="1"/>
    <x v="1"/>
  </r>
  <r>
    <d v="2024-09-23T02:31:52"/>
    <s v="Truck_3"/>
    <s v="-48.6654"/>
    <s v="115.3562"/>
    <n v="388"/>
    <s v="Delivered"/>
    <n v="24.6"/>
    <n v="74.3"/>
    <s v="Detour"/>
    <n v="29"/>
    <n v="461"/>
    <n v="1"/>
    <s v="Mechanical Failure"/>
    <n v="68.099999999999994"/>
    <n v="159"/>
    <n v="0"/>
    <x v="1"/>
  </r>
  <r>
    <d v="2024-10-18T06:34:56"/>
    <s v="Truck_6"/>
    <s v="38.0470"/>
    <s v="-80.0446"/>
    <n v="166"/>
    <s v="Delayed"/>
    <n v="26.9"/>
    <n v="58.3"/>
    <s v="Clear"/>
    <n v="29"/>
    <n v="283"/>
    <n v="3"/>
    <s v="Weather"/>
    <n v="64.099999999999994"/>
    <n v="113"/>
    <n v="1"/>
    <x v="2"/>
  </r>
  <r>
    <d v="2024-04-23T08:06:46"/>
    <s v="Truck_10"/>
    <s v="9.8934"/>
    <s v="13.9028"/>
    <n v="338"/>
    <s v="Delivered"/>
    <n v="28.7"/>
    <n v="65.599999999999994"/>
    <s v="Heavy"/>
    <n v="45"/>
    <n v="348"/>
    <n v="8"/>
    <s v="Traffic"/>
    <n v="96.1"/>
    <n v="230"/>
    <n v="1"/>
    <x v="1"/>
  </r>
  <r>
    <d v="2024-02-15T19:39:56"/>
    <s v="Truck_4"/>
    <s v="-43.0411"/>
    <s v="-154.0658"/>
    <n v="457"/>
    <s v="In Transit"/>
    <n v="18.7"/>
    <n v="52.7"/>
    <s v="Clear"/>
    <n v="52"/>
    <n v="366"/>
    <n v="4"/>
    <s v="None"/>
    <n v="93.1"/>
    <n v="275"/>
    <n v="0"/>
    <x v="1"/>
  </r>
  <r>
    <d v="2024-06-17T14:27:56"/>
    <s v="Truck_6"/>
    <s v="-71.8307"/>
    <s v="-53.6072"/>
    <n v="274"/>
    <s v="Delivered"/>
    <n v="21.5"/>
    <n v="74"/>
    <s v="Heavy"/>
    <n v="23"/>
    <n v="448"/>
    <n v="5"/>
    <s v="Mechanical Failure"/>
    <n v="74.7"/>
    <n v="200"/>
    <n v="1"/>
    <x v="1"/>
  </r>
  <r>
    <d v="2024-07-19T13:04:45"/>
    <s v="Truck_7"/>
    <s v="16.1221"/>
    <s v="79.0279"/>
    <n v="332"/>
    <s v="Delayed"/>
    <n v="19.2"/>
    <n v="56.9"/>
    <s v="Detour"/>
    <n v="27"/>
    <n v="357"/>
    <n v="2"/>
    <s v="None"/>
    <n v="87.8"/>
    <n v="217"/>
    <n v="1"/>
    <x v="1"/>
  </r>
  <r>
    <d v="2024-09-30T14:31:08"/>
    <s v="Truck_4"/>
    <s v="1.3877"/>
    <s v="64.0078"/>
    <n v="388"/>
    <s v="In Transit"/>
    <n v="27.4"/>
    <n v="50.6"/>
    <s v="Detour"/>
    <n v="58"/>
    <n v="401"/>
    <n v="5"/>
    <s v="Mechanical Failure"/>
    <n v="81.400000000000006"/>
    <n v="196"/>
    <n v="0"/>
    <x v="1"/>
  </r>
  <r>
    <d v="2024-08-06T22:02:54"/>
    <s v="Truck_10"/>
    <s v="30.3691"/>
    <s v="-111.1134"/>
    <n v="377"/>
    <s v="Delivered"/>
    <n v="18.2"/>
    <n v="51.7"/>
    <s v="Detour"/>
    <n v="34"/>
    <n v="306"/>
    <n v="8"/>
    <s v="Traffic"/>
    <n v="87.9"/>
    <n v="139"/>
    <n v="0"/>
    <x v="1"/>
  </r>
  <r>
    <d v="2024-03-04T23:39:01"/>
    <s v="Truck_2"/>
    <s v="53.5170"/>
    <s v="152.1576"/>
    <n v="265"/>
    <s v="Delivered"/>
    <n v="23.5"/>
    <n v="78.400000000000006"/>
    <s v="Clear"/>
    <n v="60"/>
    <n v="107"/>
    <n v="3"/>
    <s v="Weather"/>
    <n v="62.4"/>
    <n v="237"/>
    <n v="0"/>
    <x v="1"/>
  </r>
  <r>
    <d v="2024-06-09T06:11:00"/>
    <s v="Truck_8"/>
    <s v="-20.9840"/>
    <s v="-125.2428"/>
    <n v="316"/>
    <s v="Delayed"/>
    <n v="19.8"/>
    <n v="70.599999999999994"/>
    <s v="Detour"/>
    <n v="18"/>
    <n v="194"/>
    <n v="4"/>
    <s v="Mechanical Failure"/>
    <n v="95.8"/>
    <n v="240"/>
    <n v="1"/>
    <x v="1"/>
  </r>
  <r>
    <d v="2024-08-03T20:36:10"/>
    <s v="Truck_6"/>
    <s v="-59.8257"/>
    <s v="-2.9502"/>
    <n v="239"/>
    <s v="In Transit"/>
    <n v="28.7"/>
    <n v="64"/>
    <s v="Clear"/>
    <n v="35"/>
    <n v="469"/>
    <n v="3"/>
    <s v="Weather"/>
    <n v="63.9"/>
    <n v="293"/>
    <n v="0"/>
    <x v="0"/>
  </r>
  <r>
    <d v="2024-04-14T08:17:18"/>
    <s v="Truck_3"/>
    <s v="-49.2845"/>
    <s v="40.5814"/>
    <n v="241"/>
    <s v="Delayed"/>
    <n v="21.4"/>
    <n v="70.900000000000006"/>
    <s v="Clear"/>
    <n v="48"/>
    <n v="121"/>
    <n v="4"/>
    <s v="Weather"/>
    <n v="75.3"/>
    <n v="195"/>
    <n v="1"/>
    <x v="1"/>
  </r>
  <r>
    <d v="2024-07-28T07:33:03"/>
    <s v="Truck_10"/>
    <s v="88.2246"/>
    <s v="-148.6037"/>
    <n v="326"/>
    <s v="Delayed"/>
    <n v="27.2"/>
    <n v="69.3"/>
    <s v="Detour"/>
    <n v="24"/>
    <n v="492"/>
    <n v="9"/>
    <s v="Weather"/>
    <n v="72.5"/>
    <n v="223"/>
    <n v="1"/>
    <x v="1"/>
  </r>
  <r>
    <d v="2024-09-13T12:35:37"/>
    <s v="Truck_2"/>
    <s v="-13.5350"/>
    <s v="94.6256"/>
    <n v="357"/>
    <s v="Delivered"/>
    <n v="24"/>
    <n v="76.099999999999994"/>
    <s v="Detour"/>
    <n v="39"/>
    <n v="339"/>
    <n v="9"/>
    <s v="Traffic"/>
    <n v="97.8"/>
    <n v="146"/>
    <n v="0"/>
    <x v="1"/>
  </r>
  <r>
    <d v="2024-09-05T05:28:16"/>
    <s v="Truck_6"/>
    <s v="57.1287"/>
    <s v="148.1805"/>
    <n v="279"/>
    <s v="Delivered"/>
    <n v="19.600000000000001"/>
    <n v="55.9"/>
    <s v="Heavy"/>
    <n v="30"/>
    <n v="187"/>
    <n v="9"/>
    <s v="Traffic"/>
    <n v="90.5"/>
    <n v="126"/>
    <n v="1"/>
    <x v="1"/>
  </r>
  <r>
    <d v="2024-01-02T07:22:55"/>
    <s v="Truck_2"/>
    <s v="-61.8546"/>
    <s v="43.8074"/>
    <n v="106"/>
    <s v="Delivered"/>
    <n v="26.7"/>
    <n v="53.3"/>
    <s v="Detour"/>
    <n v="39"/>
    <n v="128"/>
    <n v="5"/>
    <s v="Weather"/>
    <n v="88"/>
    <n v="117"/>
    <n v="0"/>
    <x v="2"/>
  </r>
  <r>
    <d v="2024-11-08T05:03:59"/>
    <s v="Truck_7"/>
    <s v="9.0931"/>
    <s v="-155.6411"/>
    <n v="381"/>
    <s v="In Transit"/>
    <n v="20"/>
    <n v="52.9"/>
    <s v="Clear"/>
    <n v="13"/>
    <n v="216"/>
    <n v="5"/>
    <s v="Weather"/>
    <n v="87.3"/>
    <n v="160"/>
    <n v="0"/>
    <x v="1"/>
  </r>
  <r>
    <d v="2024-11-15T06:42:17"/>
    <s v="Truck_7"/>
    <s v="-19.6632"/>
    <s v="-133.2353"/>
    <n v="416"/>
    <s v="Delivered"/>
    <n v="20.5"/>
    <n v="61.9"/>
    <s v="Detour"/>
    <n v="51"/>
    <n v="172"/>
    <n v="1"/>
    <s v="Weather"/>
    <n v="75.5"/>
    <n v="112"/>
    <n v="0"/>
    <x v="2"/>
  </r>
  <r>
    <d v="2024-12-16T21:09:29"/>
    <s v="Truck_9"/>
    <s v="43.4429"/>
    <s v="-106.3154"/>
    <n v="147"/>
    <s v="Delayed"/>
    <n v="19"/>
    <n v="73.2"/>
    <s v="Detour"/>
    <n v="60"/>
    <n v="260"/>
    <n v="5"/>
    <s v="Mechanical Failure"/>
    <n v="77.2"/>
    <n v="216"/>
    <n v="1"/>
    <x v="1"/>
  </r>
  <r>
    <d v="2024-03-27T02:27:30"/>
    <s v="Truck_3"/>
    <s v="-24.6226"/>
    <s v="30.2486"/>
    <n v="277"/>
    <s v="In Transit"/>
    <n v="28.1"/>
    <n v="55.1"/>
    <s v="Clear"/>
    <n v="44"/>
    <n v="111"/>
    <n v="3"/>
    <s v="Weather"/>
    <n v="91.8"/>
    <n v="282"/>
    <n v="0"/>
    <x v="1"/>
  </r>
  <r>
    <d v="2024-09-29T14:00:13"/>
    <s v="Truck_1"/>
    <s v="5.6237"/>
    <s v="177.8639"/>
    <n v="116"/>
    <s v="Delivered"/>
    <n v="23"/>
    <n v="79.599999999999994"/>
    <s v="Detour"/>
    <n v="55"/>
    <n v="362"/>
    <n v="1"/>
    <s v="None"/>
    <n v="96.6"/>
    <n v="222"/>
    <n v="0"/>
    <x v="1"/>
  </r>
  <r>
    <d v="2024-10-08T14:00:54"/>
    <s v="Truck_7"/>
    <s v="-49.8421"/>
    <s v="-83.2963"/>
    <n v="324"/>
    <s v="Delivered"/>
    <n v="22.2"/>
    <n v="62.9"/>
    <s v="Heavy"/>
    <n v="50"/>
    <n v="365"/>
    <n v="7"/>
    <s v="Weather"/>
    <n v="95.8"/>
    <n v="210"/>
    <n v="1"/>
    <x v="1"/>
  </r>
  <r>
    <d v="2024-12-23T22:24:48"/>
    <s v="Truck_1"/>
    <s v="22.5359"/>
    <s v="82.6248"/>
    <n v="325"/>
    <s v="In Transit"/>
    <n v="26"/>
    <n v="56"/>
    <s v="Clear"/>
    <n v="34"/>
    <n v="359"/>
    <n v="4"/>
    <s v="None"/>
    <n v="72.2"/>
    <n v="248"/>
    <n v="0"/>
    <x v="1"/>
  </r>
  <r>
    <d v="2024-06-03T09:40:42"/>
    <s v="Truck_10"/>
    <s v="30.8916"/>
    <s v="173.4833"/>
    <n v="245"/>
    <s v="Delivered"/>
    <n v="22"/>
    <n v="61.2"/>
    <s v="Detour"/>
    <n v="22"/>
    <n v="480"/>
    <n v="6"/>
    <s v="Weather"/>
    <n v="89.3"/>
    <n v="284"/>
    <n v="0"/>
    <x v="1"/>
  </r>
  <r>
    <d v="2024-06-26T11:19:42"/>
    <s v="Truck_5"/>
    <s v="3.0051"/>
    <s v="-89.4957"/>
    <n v="424"/>
    <s v="Delivered"/>
    <n v="23.2"/>
    <n v="50.2"/>
    <s v="Clear"/>
    <n v="55"/>
    <n v="385"/>
    <n v="9"/>
    <s v="Weather"/>
    <n v="83.2"/>
    <n v="228"/>
    <n v="0"/>
    <x v="1"/>
  </r>
  <r>
    <d v="2024-12-13T17:26:27"/>
    <s v="Truck_5"/>
    <s v="-9.8416"/>
    <s v="87.3444"/>
    <n v="467"/>
    <s v="Delayed"/>
    <n v="26.5"/>
    <n v="62.1"/>
    <s v="Heavy"/>
    <n v="54"/>
    <n v="222"/>
    <n v="2"/>
    <s v="Traffic"/>
    <n v="97.3"/>
    <n v="259"/>
    <n v="1"/>
    <x v="1"/>
  </r>
  <r>
    <d v="2024-03-24T12:07:04"/>
    <s v="Truck_4"/>
    <s v="-84.6425"/>
    <s v="70.4570"/>
    <n v="262"/>
    <s v="In Transit"/>
    <n v="23.4"/>
    <n v="62"/>
    <s v="Heavy"/>
    <n v="36"/>
    <n v="272"/>
    <n v="7"/>
    <s v="None"/>
    <n v="82.9"/>
    <n v="146"/>
    <n v="1"/>
    <x v="1"/>
  </r>
  <r>
    <d v="2024-09-17T03:48:24"/>
    <s v="Truck_7"/>
    <s v="1.8375"/>
    <s v="71.8110"/>
    <n v="356"/>
    <s v="Delivered"/>
    <n v="21.6"/>
    <n v="60.4"/>
    <s v="Clear"/>
    <n v="45"/>
    <n v="292"/>
    <n v="1"/>
    <s v="Mechanical Failure"/>
    <n v="94.3"/>
    <n v="196"/>
    <n v="0"/>
    <x v="1"/>
  </r>
  <r>
    <d v="2024-09-23T17:43:36"/>
    <s v="Truck_6"/>
    <s v="-69.8671"/>
    <s v="-68.0730"/>
    <n v="166"/>
    <s v="Delayed"/>
    <n v="20.399999999999999"/>
    <n v="70.2"/>
    <s v="Clear"/>
    <n v="19"/>
    <n v="391"/>
    <n v="5"/>
    <s v="None"/>
    <n v="74"/>
    <n v="238"/>
    <n v="1"/>
    <x v="1"/>
  </r>
  <r>
    <d v="2024-11-19T04:06:22"/>
    <s v="Truck_4"/>
    <s v="72.8374"/>
    <s v="179.4522"/>
    <n v="349"/>
    <s v="In Transit"/>
    <n v="25.6"/>
    <n v="53.9"/>
    <s v="Heavy"/>
    <n v="26"/>
    <n v="189"/>
    <n v="9"/>
    <s v="Weather"/>
    <n v="77.099999999999994"/>
    <n v="285"/>
    <n v="1"/>
    <x v="0"/>
  </r>
  <r>
    <d v="2024-08-13T01:42:45"/>
    <s v="Truck_7"/>
    <s v="50.8775"/>
    <s v="-155.5478"/>
    <n v="338"/>
    <s v="Delivered"/>
    <n v="26.8"/>
    <n v="68.3"/>
    <s v="Detour"/>
    <n v="45"/>
    <n v="458"/>
    <n v="9"/>
    <s v="Mechanical Failure"/>
    <n v="76.7"/>
    <n v="191"/>
    <n v="0"/>
    <x v="1"/>
  </r>
  <r>
    <d v="2024-08-08T13:11:48"/>
    <s v="Truck_5"/>
    <s v="23.7118"/>
    <s v="-92.9098"/>
    <n v="273"/>
    <s v="Delivered"/>
    <n v="19.899999999999999"/>
    <n v="63.6"/>
    <s v="Clear"/>
    <n v="27"/>
    <n v="265"/>
    <n v="8"/>
    <s v="Weather"/>
    <n v="77"/>
    <n v="243"/>
    <n v="0"/>
    <x v="1"/>
  </r>
  <r>
    <d v="2024-09-09T10:53:12"/>
    <s v="Truck_7"/>
    <s v="65.9641"/>
    <s v="85.9925"/>
    <n v="239"/>
    <s v="In Transit"/>
    <n v="25.8"/>
    <n v="56"/>
    <s v="Detour"/>
    <n v="50"/>
    <n v="274"/>
    <n v="7"/>
    <s v="Weather"/>
    <n v="88.3"/>
    <n v="261"/>
    <n v="0"/>
    <x v="1"/>
  </r>
  <r>
    <d v="2024-11-27T09:05:44"/>
    <s v="Truck_9"/>
    <s v="41.7285"/>
    <s v="131.8376"/>
    <n v="278"/>
    <s v="Delivered"/>
    <n v="22.8"/>
    <n v="52.9"/>
    <s v="Heavy"/>
    <n v="18"/>
    <n v="104"/>
    <n v="4"/>
    <s v="Traffic"/>
    <n v="71.2"/>
    <n v="190"/>
    <n v="1"/>
    <x v="1"/>
  </r>
  <r>
    <d v="2024-04-29T15:32:06"/>
    <s v="Truck_1"/>
    <s v="-79.2933"/>
    <s v="52.6196"/>
    <n v="412"/>
    <s v="Delayed"/>
    <n v="20.2"/>
    <n v="65"/>
    <s v="Clear"/>
    <n v="14"/>
    <n v="230"/>
    <n v="2"/>
    <s v="Mechanical Failure"/>
    <n v="72.900000000000006"/>
    <n v="249"/>
    <n v="1"/>
    <x v="1"/>
  </r>
  <r>
    <d v="2024-12-30T19:22:58"/>
    <s v="Truck_6"/>
    <s v="78.1285"/>
    <s v="162.4365"/>
    <n v="125"/>
    <s v="In Transit"/>
    <n v="25.4"/>
    <n v="61.5"/>
    <s v="Detour"/>
    <n v="50"/>
    <n v="408"/>
    <n v="6"/>
    <s v="None"/>
    <n v="83.4"/>
    <n v="221"/>
    <n v="0"/>
    <x v="1"/>
  </r>
  <r>
    <d v="2024-12-19T21:18:37"/>
    <s v="Truck_8"/>
    <s v="56.5445"/>
    <s v="31.2501"/>
    <n v="404"/>
    <s v="Delivered"/>
    <n v="24.7"/>
    <n v="74.2"/>
    <s v="Heavy"/>
    <n v="23"/>
    <n v="459"/>
    <n v="1"/>
    <s v="Traffic"/>
    <n v="71.7"/>
    <n v="127"/>
    <n v="1"/>
    <x v="1"/>
  </r>
  <r>
    <d v="2024-09-06T12:53:25"/>
    <s v="Truck_9"/>
    <s v="44.2451"/>
    <s v="-34.2571"/>
    <n v="392"/>
    <s v="Delivered"/>
    <n v="29.1"/>
    <n v="51.3"/>
    <s v="Clear"/>
    <n v="35"/>
    <n v="434"/>
    <n v="7"/>
    <s v="None"/>
    <n v="70.8"/>
    <n v="249"/>
    <n v="0"/>
    <x v="1"/>
  </r>
  <r>
    <d v="2024-12-30T07:08:49"/>
    <s v="Truck_7"/>
    <s v="-27.8944"/>
    <s v="104.5170"/>
    <n v="145"/>
    <s v="Delivered"/>
    <n v="29.8"/>
    <n v="75.7"/>
    <s v="Detour"/>
    <n v="60"/>
    <n v="287"/>
    <n v="9"/>
    <s v="Traffic"/>
    <n v="87.6"/>
    <n v="216"/>
    <n v="0"/>
    <x v="1"/>
  </r>
  <r>
    <d v="2024-11-16T16:38:18"/>
    <s v="Truck_4"/>
    <s v="77.0206"/>
    <s v="0.8221"/>
    <n v="485"/>
    <s v="Delayed"/>
    <n v="24.6"/>
    <n v="50.3"/>
    <s v="Heavy"/>
    <n v="11"/>
    <n v="155"/>
    <n v="1"/>
    <s v="Mechanical Failure"/>
    <n v="84.9"/>
    <n v="161"/>
    <n v="1"/>
    <x v="1"/>
  </r>
  <r>
    <d v="2024-06-08T09:09:10"/>
    <s v="Truck_4"/>
    <s v="72.3311"/>
    <s v="-105.9002"/>
    <n v="312"/>
    <s v="Delayed"/>
    <n v="19.100000000000001"/>
    <n v="52"/>
    <s v="Detour"/>
    <n v="50"/>
    <n v="263"/>
    <n v="2"/>
    <s v="None"/>
    <n v="87.6"/>
    <n v="123"/>
    <n v="1"/>
    <x v="2"/>
  </r>
  <r>
    <d v="2024-04-24T17:57:19"/>
    <s v="Truck_6"/>
    <s v="-30.4204"/>
    <s v="70.9998"/>
    <n v="286"/>
    <s v="In Transit"/>
    <n v="25.1"/>
    <n v="56.2"/>
    <s v="Detour"/>
    <n v="50"/>
    <n v="408"/>
    <n v="10"/>
    <s v="Traffic"/>
    <n v="99.3"/>
    <n v="148"/>
    <n v="0"/>
    <x v="1"/>
  </r>
  <r>
    <d v="2024-03-01T20:32:48"/>
    <s v="Truck_3"/>
    <s v="-71.5279"/>
    <s v="-171.9428"/>
    <n v="396"/>
    <s v="In Transit"/>
    <n v="23"/>
    <n v="61.1"/>
    <s v="Clear"/>
    <n v="14"/>
    <n v="439"/>
    <n v="8"/>
    <s v="None"/>
    <n v="91.9"/>
    <n v="119"/>
    <n v="0"/>
    <x v="2"/>
  </r>
  <r>
    <d v="2024-02-23T18:40:35"/>
    <s v="Truck_1"/>
    <s v="-53.2492"/>
    <s v="-17.1180"/>
    <n v="352"/>
    <s v="Delivered"/>
    <n v="26.6"/>
    <n v="70.3"/>
    <s v="Detour"/>
    <n v="12"/>
    <n v="260"/>
    <n v="7"/>
    <s v="Traffic"/>
    <n v="77.400000000000006"/>
    <n v="267"/>
    <n v="0"/>
    <x v="1"/>
  </r>
  <r>
    <d v="2024-09-25T05:14:38"/>
    <s v="Truck_7"/>
    <s v="-30.8076"/>
    <s v="-167.4756"/>
    <n v="410"/>
    <s v="Delivered"/>
    <n v="28.4"/>
    <n v="52.7"/>
    <s v="Detour"/>
    <n v="48"/>
    <n v="352"/>
    <n v="8"/>
    <s v="Weather"/>
    <n v="95.5"/>
    <n v="213"/>
    <n v="0"/>
    <x v="1"/>
  </r>
  <r>
    <d v="2024-03-09T19:11:05"/>
    <s v="Truck_10"/>
    <s v="-44.7640"/>
    <s v="-118.3579"/>
    <n v="484"/>
    <s v="Delayed"/>
    <n v="22.8"/>
    <n v="53.7"/>
    <s v="Clear"/>
    <n v="18"/>
    <n v="176"/>
    <n v="4"/>
    <s v="Weather"/>
    <n v="73.7"/>
    <n v="131"/>
    <n v="1"/>
    <x v="1"/>
  </r>
  <r>
    <d v="2024-01-29T14:54:57"/>
    <s v="Truck_1"/>
    <s v="47.5743"/>
    <s v="144.9980"/>
    <n v="152"/>
    <s v="In Transit"/>
    <n v="18.7"/>
    <n v="68.599999999999994"/>
    <s v="Clear"/>
    <n v="51"/>
    <n v="483"/>
    <n v="2"/>
    <s v="Weather"/>
    <n v="87.8"/>
    <n v="163"/>
    <n v="0"/>
    <x v="1"/>
  </r>
  <r>
    <d v="2024-10-07T17:53:55"/>
    <s v="Truck_5"/>
    <s v="-23.2761"/>
    <s v="-88.0696"/>
    <n v="329"/>
    <s v="Delivered"/>
    <n v="27.3"/>
    <n v="68.400000000000006"/>
    <s v="Detour"/>
    <n v="57"/>
    <n v="418"/>
    <n v="1"/>
    <s v="Traffic"/>
    <n v="90"/>
    <n v="101"/>
    <n v="0"/>
    <x v="2"/>
  </r>
  <r>
    <d v="2024-10-17T15:23:46"/>
    <s v="Truck_3"/>
    <s v="-18.8295"/>
    <s v="76.8645"/>
    <n v="314"/>
    <s v="Delayed"/>
    <n v="23.8"/>
    <n v="63.7"/>
    <s v="Detour"/>
    <n v="41"/>
    <n v="117"/>
    <n v="8"/>
    <s v="None"/>
    <n v="69.5"/>
    <n v="147"/>
    <n v="1"/>
    <x v="1"/>
  </r>
  <r>
    <d v="2024-01-30T00:58:41"/>
    <s v="Truck_3"/>
    <s v="58.3197"/>
    <s v="0.0698"/>
    <n v="121"/>
    <s v="In Transit"/>
    <n v="27.2"/>
    <n v="71.099999999999994"/>
    <s v="Detour"/>
    <n v="44"/>
    <n v="340"/>
    <n v="8"/>
    <s v="None"/>
    <n v="74.599999999999994"/>
    <n v="286"/>
    <n v="0"/>
    <x v="0"/>
  </r>
  <r>
    <d v="2024-08-15T08:04:23"/>
    <s v="Truck_1"/>
    <s v="-84.8788"/>
    <s v="-37.2609"/>
    <n v="428"/>
    <s v="Delivered"/>
    <n v="24.1"/>
    <n v="58.4"/>
    <s v="Detour"/>
    <n v="11"/>
    <n v="111"/>
    <n v="6"/>
    <s v="Weather"/>
    <n v="81.099999999999994"/>
    <n v="111"/>
    <n v="0"/>
    <x v="2"/>
  </r>
  <r>
    <d v="2024-02-06T09:01:38"/>
    <s v="Truck_10"/>
    <s v="28.3870"/>
    <s v="33.4827"/>
    <n v="113"/>
    <s v="In Transit"/>
    <n v="23"/>
    <n v="73.400000000000006"/>
    <s v="Detour"/>
    <n v="50"/>
    <n v="309"/>
    <n v="8"/>
    <s v="Traffic"/>
    <n v="71.7"/>
    <n v="293"/>
    <n v="0"/>
    <x v="0"/>
  </r>
  <r>
    <d v="2024-01-08T14:39:40"/>
    <s v="Truck_7"/>
    <s v="87.0180"/>
    <s v="-27.3053"/>
    <n v="201"/>
    <s v="Delayed"/>
    <n v="27.9"/>
    <n v="64.400000000000006"/>
    <s v="Clear"/>
    <n v="30"/>
    <n v="198"/>
    <n v="7"/>
    <s v="Weather"/>
    <n v="93.9"/>
    <n v="276"/>
    <n v="1"/>
    <x v="1"/>
  </r>
  <r>
    <d v="2024-04-11T06:00:56"/>
    <s v="Truck_8"/>
    <s v="-9.7509"/>
    <s v="-86.2981"/>
    <n v="227"/>
    <s v="Delayed"/>
    <n v="28.3"/>
    <n v="62.8"/>
    <s v="Detour"/>
    <n v="30"/>
    <n v="400"/>
    <n v="4"/>
    <s v="Traffic"/>
    <n v="68.2"/>
    <n v="194"/>
    <n v="1"/>
    <x v="1"/>
  </r>
  <r>
    <d v="2024-03-20T21:32:29"/>
    <s v="Truck_2"/>
    <s v="79.8212"/>
    <s v="-21.6975"/>
    <n v="445"/>
    <s v="Delivered"/>
    <n v="25.3"/>
    <n v="57.9"/>
    <s v="Detour"/>
    <n v="38"/>
    <n v="364"/>
    <n v="1"/>
    <s v="Traffic"/>
    <n v="93.6"/>
    <n v="275"/>
    <n v="0"/>
    <x v="1"/>
  </r>
  <r>
    <d v="2024-04-29T10:31:08"/>
    <s v="Truck_2"/>
    <s v="33.0027"/>
    <s v="-70.5854"/>
    <n v="407"/>
    <s v="In Transit"/>
    <n v="29.6"/>
    <n v="64.3"/>
    <s v="Heavy"/>
    <n v="10"/>
    <n v="102"/>
    <n v="6"/>
    <s v="None"/>
    <n v="98.5"/>
    <n v="133"/>
    <n v="1"/>
    <x v="1"/>
  </r>
  <r>
    <d v="2024-12-20T11:12:28"/>
    <s v="Truck_8"/>
    <s v="-12.4520"/>
    <s v="-174.3397"/>
    <n v="135"/>
    <s v="In Transit"/>
    <n v="22.9"/>
    <n v="60.9"/>
    <s v="Heavy"/>
    <n v="42"/>
    <n v="379"/>
    <n v="8"/>
    <s v="Traffic"/>
    <n v="93.2"/>
    <n v="159"/>
    <n v="1"/>
    <x v="1"/>
  </r>
  <r>
    <d v="2024-07-05T18:54:49"/>
    <s v="Truck_1"/>
    <s v="-19.6171"/>
    <s v="-163.0539"/>
    <n v="160"/>
    <s v="Delivered"/>
    <n v="22.3"/>
    <n v="69.7"/>
    <s v="Detour"/>
    <n v="37"/>
    <n v="255"/>
    <n v="7"/>
    <s v="Traffic"/>
    <n v="66.8"/>
    <n v="170"/>
    <n v="0"/>
    <x v="1"/>
  </r>
  <r>
    <d v="2024-02-27T01:39:05"/>
    <s v="Truck_5"/>
    <s v="13.7939"/>
    <s v="25.2973"/>
    <n v="472"/>
    <s v="In Transit"/>
    <n v="22.7"/>
    <n v="53"/>
    <s v="Heavy"/>
    <n v="30"/>
    <n v="389"/>
    <n v="6"/>
    <s v="Weather"/>
    <n v="86.8"/>
    <n v="232"/>
    <n v="1"/>
    <x v="1"/>
  </r>
  <r>
    <d v="2024-10-11T19:36:19"/>
    <s v="Truck_10"/>
    <s v="-46.8643"/>
    <s v="158.7293"/>
    <n v="408"/>
    <s v="In Transit"/>
    <n v="19.5"/>
    <n v="65.2"/>
    <s v="Detour"/>
    <n v="25"/>
    <n v="230"/>
    <n v="3"/>
    <s v="Traffic"/>
    <n v="61.9"/>
    <n v="245"/>
    <n v="0"/>
    <x v="1"/>
  </r>
  <r>
    <d v="2024-12-28T10:23:37"/>
    <s v="Truck_4"/>
    <s v="-35.2452"/>
    <s v="78.2544"/>
    <n v="306"/>
    <s v="Delayed"/>
    <n v="26.1"/>
    <n v="74.8"/>
    <s v="Heavy"/>
    <n v="37"/>
    <n v="232"/>
    <n v="7"/>
    <s v="None"/>
    <n v="77.099999999999994"/>
    <n v="289"/>
    <n v="1"/>
    <x v="0"/>
  </r>
  <r>
    <d v="2024-01-28T02:18:52"/>
    <s v="Truck_3"/>
    <s v="17.5448"/>
    <s v="-68.5291"/>
    <n v="107"/>
    <s v="In Transit"/>
    <n v="28.6"/>
    <n v="54.6"/>
    <s v="Detour"/>
    <n v="52"/>
    <n v="180"/>
    <n v="1"/>
    <s v="Traffic"/>
    <n v="89.8"/>
    <n v="194"/>
    <n v="0"/>
    <x v="1"/>
  </r>
  <r>
    <d v="2024-10-11T05:31:10"/>
    <s v="Truck_2"/>
    <s v="-87.1408"/>
    <s v="-147.3922"/>
    <n v="155"/>
    <s v="Delivered"/>
    <n v="26.9"/>
    <n v="75"/>
    <s v="Detour"/>
    <n v="25"/>
    <n v="446"/>
    <n v="5"/>
    <s v="Mechanical Failure"/>
    <n v="96.8"/>
    <n v="176"/>
    <n v="0"/>
    <x v="1"/>
  </r>
  <r>
    <d v="2024-10-07T13:44:52"/>
    <s v="Truck_10"/>
    <s v="-73.5498"/>
    <s v="115.0268"/>
    <n v="414"/>
    <s v="Delivered"/>
    <n v="26.8"/>
    <n v="73.900000000000006"/>
    <s v="Heavy"/>
    <n v="14"/>
    <n v="130"/>
    <n v="1"/>
    <s v="Mechanical Failure"/>
    <n v="86.9"/>
    <n v="267"/>
    <n v="1"/>
    <x v="1"/>
  </r>
  <r>
    <d v="2024-06-07T10:37:34"/>
    <s v="Truck_5"/>
    <s v="75.2230"/>
    <s v="158.8602"/>
    <n v="177"/>
    <s v="Delayed"/>
    <n v="19.899999999999999"/>
    <n v="58.4"/>
    <s v="Clear"/>
    <n v="57"/>
    <n v="335"/>
    <n v="5"/>
    <s v="Weather"/>
    <n v="98.6"/>
    <n v="283"/>
    <n v="1"/>
    <x v="1"/>
  </r>
  <r>
    <d v="2024-12-20T04:15:05"/>
    <s v="Truck_9"/>
    <s v="-40.8267"/>
    <s v="51.4673"/>
    <n v="118"/>
    <s v="Delivered"/>
    <n v="26.8"/>
    <n v="65.400000000000006"/>
    <s v="Detour"/>
    <n v="21"/>
    <n v="475"/>
    <n v="1"/>
    <s v="Mechanical Failure"/>
    <n v="96.9"/>
    <n v="165"/>
    <n v="0"/>
    <x v="1"/>
  </r>
  <r>
    <d v="2024-02-11T21:05:23"/>
    <s v="Truck_1"/>
    <s v="-80.2129"/>
    <s v="116.4288"/>
    <n v="438"/>
    <s v="In Transit"/>
    <n v="25"/>
    <n v="65.2"/>
    <s v="Detour"/>
    <n v="49"/>
    <n v="421"/>
    <n v="3"/>
    <s v="None"/>
    <n v="82.4"/>
    <n v="273"/>
    <n v="0"/>
    <x v="1"/>
  </r>
  <r>
    <d v="2024-02-22T20:07:47"/>
    <s v="Truck_1"/>
    <s v="18.7610"/>
    <s v="139.9566"/>
    <n v="154"/>
    <s v="Delayed"/>
    <n v="26.8"/>
    <n v="56"/>
    <s v="Clear"/>
    <n v="13"/>
    <n v="413"/>
    <n v="8"/>
    <s v="Traffic"/>
    <n v="73.8"/>
    <n v="220"/>
    <n v="1"/>
    <x v="1"/>
  </r>
  <r>
    <d v="2024-05-25T08:22:12"/>
    <s v="Truck_8"/>
    <s v="9.1346"/>
    <s v="9.0052"/>
    <n v="320"/>
    <s v="In Transit"/>
    <n v="24.3"/>
    <n v="77"/>
    <s v="Clear"/>
    <n v="56"/>
    <n v="410"/>
    <n v="3"/>
    <s v="Traffic"/>
    <n v="73.400000000000006"/>
    <n v="141"/>
    <n v="0"/>
    <x v="1"/>
  </r>
  <r>
    <d v="2024-07-03T12:21:01"/>
    <s v="Truck_1"/>
    <s v="-28.6942"/>
    <s v="-75.4244"/>
    <n v="402"/>
    <s v="Delayed"/>
    <n v="20.3"/>
    <n v="56.6"/>
    <s v="Detour"/>
    <n v="52"/>
    <n v="149"/>
    <n v="4"/>
    <s v="Weather"/>
    <n v="82.6"/>
    <n v="158"/>
    <n v="1"/>
    <x v="1"/>
  </r>
  <r>
    <d v="2024-01-28T23:24:51"/>
    <s v="Truck_7"/>
    <s v="23.9592"/>
    <s v="-88.7602"/>
    <n v="443"/>
    <s v="Delivered"/>
    <n v="18.899999999999999"/>
    <n v="68.8"/>
    <s v="Clear"/>
    <n v="36"/>
    <n v="159"/>
    <n v="2"/>
    <s v="Weather"/>
    <n v="86.3"/>
    <n v="171"/>
    <n v="0"/>
    <x v="1"/>
  </r>
  <r>
    <d v="2024-06-10T09:00:08"/>
    <s v="Truck_7"/>
    <s v="68.1545"/>
    <s v="43.8007"/>
    <n v="246"/>
    <s v="In Transit"/>
    <n v="22"/>
    <n v="58.1"/>
    <s v="Heavy"/>
    <n v="54"/>
    <n v="128"/>
    <n v="7"/>
    <s v="Traffic"/>
    <n v="61"/>
    <n v="265"/>
    <n v="1"/>
    <x v="1"/>
  </r>
  <r>
    <d v="2024-03-08T23:13:09"/>
    <s v="Truck_9"/>
    <s v="76.0358"/>
    <s v="53.0430"/>
    <n v="146"/>
    <s v="In Transit"/>
    <n v="20.7"/>
    <n v="50.6"/>
    <s v="Clear"/>
    <n v="28"/>
    <n v="201"/>
    <n v="10"/>
    <s v="Weather"/>
    <n v="75.900000000000006"/>
    <n v="178"/>
    <n v="0"/>
    <x v="1"/>
  </r>
  <r>
    <d v="2024-07-27T10:13:09"/>
    <s v="Truck_1"/>
    <s v="-30.0307"/>
    <s v="157.1442"/>
    <n v="108"/>
    <s v="Delivered"/>
    <n v="23"/>
    <n v="73.400000000000006"/>
    <s v="Clear"/>
    <n v="13"/>
    <n v="324"/>
    <n v="2"/>
    <s v="Mechanical Failure"/>
    <n v="77.900000000000006"/>
    <n v="233"/>
    <n v="0"/>
    <x v="1"/>
  </r>
  <r>
    <d v="2024-09-10T19:41:42"/>
    <s v="Truck_1"/>
    <s v="-79.2584"/>
    <s v="125.5026"/>
    <n v="152"/>
    <s v="Delivered"/>
    <n v="22.8"/>
    <n v="65.2"/>
    <s v="Heavy"/>
    <n v="33"/>
    <n v="386"/>
    <n v="4"/>
    <s v="Weather"/>
    <n v="63.3"/>
    <n v="227"/>
    <n v="1"/>
    <x v="1"/>
  </r>
  <r>
    <d v="2024-04-27T03:04:28"/>
    <s v="Truck_10"/>
    <s v="-86.6606"/>
    <s v="29.6786"/>
    <n v="361"/>
    <s v="Delayed"/>
    <n v="29.7"/>
    <n v="62.2"/>
    <s v="Detour"/>
    <n v="35"/>
    <n v="131"/>
    <n v="9"/>
    <s v="None"/>
    <n v="61.8"/>
    <n v="253"/>
    <n v="1"/>
    <x v="1"/>
  </r>
  <r>
    <d v="2024-04-22T22:47:46"/>
    <s v="Truck_2"/>
    <s v="-60.0975"/>
    <s v="-13.7518"/>
    <n v="495"/>
    <s v="In Transit"/>
    <n v="23.8"/>
    <n v="69.8"/>
    <s v="Heavy"/>
    <n v="22"/>
    <n v="487"/>
    <n v="9"/>
    <s v="Weather"/>
    <n v="86.1"/>
    <n v="108"/>
    <n v="1"/>
    <x v="2"/>
  </r>
  <r>
    <d v="2024-01-09T03:30:54"/>
    <s v="Truck_5"/>
    <s v="50.4750"/>
    <s v="-168.8578"/>
    <n v="187"/>
    <s v="In Transit"/>
    <n v="24.5"/>
    <n v="73.099999999999994"/>
    <s v="Clear"/>
    <n v="23"/>
    <n v="382"/>
    <n v="7"/>
    <s v="Weather"/>
    <n v="67.400000000000006"/>
    <n v="149"/>
    <n v="0"/>
    <x v="1"/>
  </r>
  <r>
    <d v="2024-12-09T09:35:15"/>
    <s v="Truck_3"/>
    <s v="20.9244"/>
    <s v="-59.3367"/>
    <n v="202"/>
    <s v="Delayed"/>
    <n v="26.5"/>
    <n v="77.8"/>
    <s v="Clear"/>
    <n v="31"/>
    <n v="298"/>
    <n v="8"/>
    <s v="None"/>
    <n v="60.6"/>
    <n v="102"/>
    <n v="1"/>
    <x v="2"/>
  </r>
  <r>
    <d v="2024-03-07T03:32:02"/>
    <s v="Truck_4"/>
    <s v="-8.4784"/>
    <s v="117.2494"/>
    <n v="384"/>
    <s v="Delivered"/>
    <n v="24.5"/>
    <n v="62.2"/>
    <s v="Clear"/>
    <n v="45"/>
    <n v="418"/>
    <n v="7"/>
    <s v="None"/>
    <n v="75.8"/>
    <n v="298"/>
    <n v="0"/>
    <x v="0"/>
  </r>
  <r>
    <d v="2024-08-04T03:11:01"/>
    <s v="Truck_8"/>
    <s v="-30.8090"/>
    <s v="-126.7483"/>
    <n v="486"/>
    <s v="In Transit"/>
    <n v="25.8"/>
    <n v="64.900000000000006"/>
    <s v="Clear"/>
    <n v="31"/>
    <n v="136"/>
    <n v="9"/>
    <s v="Traffic"/>
    <n v="85.4"/>
    <n v="178"/>
    <n v="0"/>
    <x v="1"/>
  </r>
  <r>
    <d v="2024-12-10T18:38:52"/>
    <s v="Truck_8"/>
    <s v="17.9831"/>
    <s v="-135.1026"/>
    <n v="488"/>
    <s v="In Transit"/>
    <n v="25.4"/>
    <n v="64.3"/>
    <s v="Clear"/>
    <n v="14"/>
    <n v="254"/>
    <n v="1"/>
    <s v="Weather"/>
    <n v="84"/>
    <n v="250"/>
    <n v="0"/>
    <x v="1"/>
  </r>
  <r>
    <d v="2024-11-17T12:35:32"/>
    <s v="Truck_8"/>
    <s v="-28.2385"/>
    <s v="-87.7617"/>
    <n v="244"/>
    <s v="Delayed"/>
    <n v="29.1"/>
    <n v="67.2"/>
    <s v="Heavy"/>
    <n v="18"/>
    <n v="118"/>
    <n v="5"/>
    <s v="Traffic"/>
    <n v="70.5"/>
    <n v="290"/>
    <n v="1"/>
    <x v="0"/>
  </r>
  <r>
    <d v="2024-11-03T00:16:47"/>
    <s v="Truck_2"/>
    <s v="18.1994"/>
    <s v="40.5771"/>
    <n v="193"/>
    <s v="In Transit"/>
    <n v="25.7"/>
    <n v="64"/>
    <s v="Heavy"/>
    <n v="33"/>
    <n v="335"/>
    <n v="8"/>
    <s v="Mechanical Failure"/>
    <n v="90"/>
    <n v="240"/>
    <n v="1"/>
    <x v="1"/>
  </r>
  <r>
    <d v="2024-10-20T02:07:47"/>
    <s v="Truck_7"/>
    <s v="-3.5038"/>
    <s v="21.9533"/>
    <n v="268"/>
    <s v="Delivered"/>
    <n v="18.7"/>
    <n v="69.5"/>
    <s v="Heavy"/>
    <n v="39"/>
    <n v="101"/>
    <n v="9"/>
    <s v="Mechanical Failure"/>
    <n v="77.099999999999994"/>
    <n v="205"/>
    <n v="1"/>
    <x v="1"/>
  </r>
  <r>
    <d v="2024-01-09T21:49:29"/>
    <s v="Truck_2"/>
    <s v="88.5280"/>
    <s v="-0.3595"/>
    <n v="375"/>
    <s v="Delayed"/>
    <n v="19.2"/>
    <n v="72.900000000000006"/>
    <s v="Detour"/>
    <n v="58"/>
    <n v="119"/>
    <n v="7"/>
    <s v="None"/>
    <n v="96.9"/>
    <n v="213"/>
    <n v="1"/>
    <x v="1"/>
  </r>
  <r>
    <d v="2024-07-22T11:45:54"/>
    <s v="Truck_9"/>
    <s v="-24.7838"/>
    <s v="-21.1760"/>
    <n v="465"/>
    <s v="In Transit"/>
    <n v="28"/>
    <n v="59.6"/>
    <s v="Clear"/>
    <n v="51"/>
    <n v="305"/>
    <n v="10"/>
    <s v="Mechanical Failure"/>
    <n v="96.9"/>
    <n v="153"/>
    <n v="0"/>
    <x v="1"/>
  </r>
  <r>
    <d v="2024-08-30T12:04:18"/>
    <s v="Truck_10"/>
    <s v="56.1373"/>
    <s v="82.4192"/>
    <n v="258"/>
    <s v="Delayed"/>
    <n v="19.3"/>
    <n v="74.2"/>
    <s v="Detour"/>
    <n v="52"/>
    <n v="407"/>
    <n v="8"/>
    <s v="Weather"/>
    <n v="84.7"/>
    <n v="245"/>
    <n v="1"/>
    <x v="1"/>
  </r>
  <r>
    <d v="2024-11-20T18:45:34"/>
    <s v="Truck_1"/>
    <s v="-13.2882"/>
    <s v="-171.9473"/>
    <n v="254"/>
    <s v="Delivered"/>
    <n v="27.3"/>
    <n v="71.7"/>
    <s v="Detour"/>
    <n v="38"/>
    <n v="279"/>
    <n v="10"/>
    <s v="Traffic"/>
    <n v="91.5"/>
    <n v="111"/>
    <n v="0"/>
    <x v="2"/>
  </r>
  <r>
    <d v="2024-11-24T01:13:40"/>
    <s v="Truck_10"/>
    <s v="68.9345"/>
    <s v="172.1520"/>
    <n v="456"/>
    <s v="In Transit"/>
    <n v="20.9"/>
    <n v="71.2"/>
    <s v="Clear"/>
    <n v="46"/>
    <n v="414"/>
    <n v="10"/>
    <s v="Mechanical Failure"/>
    <n v="90.6"/>
    <n v="280"/>
    <n v="0"/>
    <x v="1"/>
  </r>
  <r>
    <d v="2024-01-26T17:18:01"/>
    <s v="Truck_7"/>
    <s v="-80.9601"/>
    <s v="52.6140"/>
    <n v="158"/>
    <s v="In Transit"/>
    <n v="29.7"/>
    <n v="78.2"/>
    <s v="Heavy"/>
    <n v="43"/>
    <n v="334"/>
    <n v="5"/>
    <s v="Weather"/>
    <n v="72.7"/>
    <n v="181"/>
    <n v="1"/>
    <x v="1"/>
  </r>
  <r>
    <d v="2024-07-23T23:58:44"/>
    <s v="Truck_5"/>
    <s v="57.2271"/>
    <s v="59.2588"/>
    <n v="158"/>
    <s v="Delayed"/>
    <n v="25.9"/>
    <n v="51.3"/>
    <s v="Detour"/>
    <n v="46"/>
    <n v="308"/>
    <n v="7"/>
    <s v="None"/>
    <n v="64.599999999999994"/>
    <n v="115"/>
    <n v="1"/>
    <x v="2"/>
  </r>
  <r>
    <d v="2024-04-21T07:23:11"/>
    <s v="Truck_10"/>
    <s v="82.6307"/>
    <s v="-111.6216"/>
    <n v="260"/>
    <s v="Delivered"/>
    <n v="23.2"/>
    <n v="56.3"/>
    <s v="Clear"/>
    <n v="57"/>
    <n v="329"/>
    <n v="7"/>
    <s v="Mechanical Failure"/>
    <n v="77.900000000000006"/>
    <n v="258"/>
    <n v="0"/>
    <x v="1"/>
  </r>
  <r>
    <d v="2024-05-29T19:41:42"/>
    <s v="Truck_2"/>
    <s v="53.0221"/>
    <s v="110.4363"/>
    <n v="249"/>
    <s v="In Transit"/>
    <n v="21.4"/>
    <n v="56.6"/>
    <s v="Detour"/>
    <n v="49"/>
    <n v="398"/>
    <n v="10"/>
    <s v="Mechanical Failure"/>
    <n v="67.3"/>
    <n v="279"/>
    <n v="0"/>
    <x v="1"/>
  </r>
  <r>
    <d v="2024-02-15T12:50:05"/>
    <s v="Truck_6"/>
    <s v="21.6362"/>
    <s v="35.7292"/>
    <n v="224"/>
    <s v="Delayed"/>
    <n v="28.3"/>
    <n v="69"/>
    <s v="Clear"/>
    <n v="20"/>
    <n v="445"/>
    <n v="6"/>
    <s v="None"/>
    <n v="60.1"/>
    <n v="259"/>
    <n v="1"/>
    <x v="1"/>
  </r>
  <r>
    <d v="2024-04-21T22:20:02"/>
    <s v="Truck_8"/>
    <s v="-0.5646"/>
    <s v="175.2938"/>
    <n v="162"/>
    <s v="Delivered"/>
    <n v="29.4"/>
    <n v="65.900000000000006"/>
    <s v="Detour"/>
    <n v="40"/>
    <n v="262"/>
    <n v="2"/>
    <s v="Traffic"/>
    <n v="61.5"/>
    <n v="298"/>
    <n v="0"/>
    <x v="0"/>
  </r>
  <r>
    <d v="2024-09-07T01:59:11"/>
    <s v="Truck_4"/>
    <s v="-53.9744"/>
    <s v="-52.4536"/>
    <n v="160"/>
    <s v="Delivered"/>
    <n v="20.7"/>
    <n v="63.1"/>
    <s v="Clear"/>
    <n v="52"/>
    <n v="488"/>
    <n v="3"/>
    <s v="Mechanical Failure"/>
    <n v="79.599999999999994"/>
    <n v="246"/>
    <n v="0"/>
    <x v="1"/>
  </r>
  <r>
    <d v="2024-04-26T07:24:41"/>
    <s v="Truck_8"/>
    <s v="70.9071"/>
    <s v="-64.7863"/>
    <n v="260"/>
    <s v="Delivered"/>
    <n v="18.8"/>
    <n v="55"/>
    <s v="Detour"/>
    <n v="13"/>
    <n v="428"/>
    <n v="2"/>
    <s v="Weather"/>
    <n v="73.900000000000006"/>
    <n v="198"/>
    <n v="0"/>
    <x v="1"/>
  </r>
  <r>
    <d v="2024-03-23T13:50:53"/>
    <s v="Truck_7"/>
    <s v="-32.3196"/>
    <s v="-16.4458"/>
    <n v="245"/>
    <s v="In Transit"/>
    <n v="23.3"/>
    <n v="59.8"/>
    <s v="Clear"/>
    <n v="28"/>
    <n v="142"/>
    <n v="5"/>
    <s v="None"/>
    <n v="80.7"/>
    <n v="160"/>
    <n v="0"/>
    <x v="1"/>
  </r>
  <r>
    <d v="2024-04-05T13:50:11"/>
    <s v="Truck_7"/>
    <s v="-9.6291"/>
    <s v="39.6506"/>
    <n v="495"/>
    <s v="Delivered"/>
    <n v="25.1"/>
    <n v="75.5"/>
    <s v="Detour"/>
    <n v="39"/>
    <n v="234"/>
    <n v="1"/>
    <s v="None"/>
    <n v="74.8"/>
    <n v="203"/>
    <n v="0"/>
    <x v="1"/>
  </r>
  <r>
    <d v="2024-08-24T01:36:22"/>
    <s v="Truck_8"/>
    <s v="-69.5639"/>
    <s v="-74.6473"/>
    <n v="236"/>
    <s v="Delayed"/>
    <n v="18.2"/>
    <n v="50.5"/>
    <s v="Clear"/>
    <n v="20"/>
    <n v="260"/>
    <n v="2"/>
    <s v="Weather"/>
    <n v="61.1"/>
    <n v="278"/>
    <n v="1"/>
    <x v="1"/>
  </r>
  <r>
    <d v="2024-11-07T04:03:32"/>
    <s v="Truck_9"/>
    <s v="49.0430"/>
    <s v="-4.5352"/>
    <n v="259"/>
    <s v="Delivered"/>
    <n v="21.3"/>
    <n v="79.3"/>
    <s v="Detour"/>
    <n v="49"/>
    <n v="276"/>
    <n v="2"/>
    <s v="None"/>
    <n v="99.1"/>
    <n v="259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8058-C500-47E8-9547-C837BA182CE4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10:B15" firstHeaderRow="1" firstDataRow="1" firstDataCol="1"/>
  <pivotFields count="16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Logistics_Delay" fld="15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2" type="button" dataOnly="0" labelOnly="1" outline="0" axis="axisRow" fieldPosition="0"/>
    </format>
    <format dxfId="12">
      <pivotArea dataOnly="0" labelOnly="1" fieldPosition="0">
        <references count="1">
          <reference field="12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66541-C899-47AF-9A38-C3422C6E7132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I2:L7" firstHeaderRow="1" firstDataRow="2" firstDataCol="1"/>
  <pivotFields count="16"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uenta de Traffic_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1414D-3C02-4065-9C42-665C981FB7B9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2:F7" firstHeaderRow="1" firstDataRow="1" firstDataCol="1"/>
  <pivotFields count="16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Logistics_Delay_Reaso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386DD-2A17-466E-B105-74BC8D4D95BF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:B6" firstHeaderRow="1" firstDataRow="1" firstDataCol="1"/>
  <pivotFields count="16">
    <pivotField numFmtId="22"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hipment_Status" fld="5" subtotal="count" baseField="0" baseItem="0"/>
  </dataFields>
  <formats count="1"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6E5C2-4568-4BD6-8134-F1627299A11A}" name="TablaDinámica1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N2:O6" firstHeaderRow="1" firstDataRow="1" firstDataCol="1"/>
  <pivotFields count="1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Logistics_Delay" fld="15" subtotal="average" baseField="16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7021E-29B4-4E76-A904-3D3EB374464A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I19:L31" firstHeaderRow="1" firstDataRow="2" firstDataCol="1"/>
  <pivotFields count="16">
    <pivotField numFmtId="22" showAll="0"/>
    <pivotField axis="axisRow" showAll="0">
      <items count="11">
        <item x="9"/>
        <item x="2"/>
        <item x="5"/>
        <item x="7"/>
        <item x="4"/>
        <item x="8"/>
        <item x="1"/>
        <item x="0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Suma de Logistics_Delay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Q1001" headerRowDxfId="52" dataDxfId="51">
  <autoFilter ref="A1:Q1001" xr:uid="{00000000-000C-0000-FFFF-FFFF00000000}"/>
  <tableColumns count="17">
    <tableColumn id="1" xr3:uid="{00000000-0010-0000-0000-000001000000}" name="Timestamp" totalsRowLabel="Total" dataDxfId="50" totalsRowDxfId="49"/>
    <tableColumn id="2" xr3:uid="{00000000-0010-0000-0000-000002000000}" name="Asset_ID" dataDxfId="48" totalsRowDxfId="47"/>
    <tableColumn id="3" xr3:uid="{00000000-0010-0000-0000-000003000000}" name="Latitude" dataDxfId="46" totalsRowDxfId="45"/>
    <tableColumn id="4" xr3:uid="{00000000-0010-0000-0000-000004000000}" name="Longitude" dataDxfId="44" totalsRowDxfId="43"/>
    <tableColumn id="5" xr3:uid="{00000000-0010-0000-0000-000005000000}" name="Inventory_Level" dataDxfId="42" totalsRowDxfId="41"/>
    <tableColumn id="6" xr3:uid="{00000000-0010-0000-0000-000006000000}" name="Shipment_Status" dataDxfId="40" totalsRowDxfId="39"/>
    <tableColumn id="7" xr3:uid="{00000000-0010-0000-0000-000007000000}" name="Temperature" dataDxfId="38" totalsRowDxfId="37"/>
    <tableColumn id="8" xr3:uid="{00000000-0010-0000-0000-000008000000}" name="Humidity" dataDxfId="36" totalsRowDxfId="35"/>
    <tableColumn id="9" xr3:uid="{00000000-0010-0000-0000-000009000000}" name="Traffic_Status" dataDxfId="34" totalsRowDxfId="33"/>
    <tableColumn id="10" xr3:uid="{00000000-0010-0000-0000-00000A000000}" name="Waiting_Time" dataDxfId="32" totalsRowDxfId="31"/>
    <tableColumn id="11" xr3:uid="{00000000-0010-0000-0000-00000B000000}" name="User_Transaction_Amount" dataDxfId="30" totalsRowDxfId="29"/>
    <tableColumn id="12" xr3:uid="{00000000-0010-0000-0000-00000C000000}" name="User_Purchase_Frequency" dataDxfId="28" totalsRowDxfId="27"/>
    <tableColumn id="13" xr3:uid="{00000000-0010-0000-0000-00000D000000}" name="Logistics_Delay_Reason" dataDxfId="26" totalsRowDxfId="25"/>
    <tableColumn id="14" xr3:uid="{00000000-0010-0000-0000-00000E000000}" name="Asset_Utilization" dataDxfId="24" totalsRowDxfId="23"/>
    <tableColumn id="15" xr3:uid="{00000000-0010-0000-0000-00000F000000}" name="Demand_Forecast" dataDxfId="22" totalsRowDxfId="21"/>
    <tableColumn id="16" xr3:uid="{00000000-0010-0000-0000-000010000000}" name="Logistics_Delay" totalsRowFunction="sum" dataDxfId="20" totalsRowDxfId="19"/>
    <tableColumn id="17" xr3:uid="{186D6D2C-5654-4D28-8ECF-39B2510919EC}" name="Demand_category" dataDxfId="18" totalsRowDxfId="17">
      <calculatedColumnFormula>+IF(Tabla2[[#This Row],[Demand_Forecast]]&lt;= 125,"Low demand",IF(Tabla2[[#This Row],[Demand_Forecast]] &gt;=285,"High demand","Mid demand"))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1:B9" totalsRowShown="0">
  <autoFilter ref="A1:B9" xr:uid="{00000000-0009-0000-0100-000004000000}"/>
  <tableColumns count="2">
    <tableColumn id="1" xr3:uid="{00000000-0010-0000-0100-000001000000}" name="Detalles"/>
    <tableColumn id="2" xr3:uid="{00000000-0010-0000-0100-000002000000}" name="Datos recopilad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40384D-7771-42D7-B4E7-1D622275A023}" name="Tabla7" displayName="Tabla7" ref="A1:B1001" totalsRowShown="0" headerRowDxfId="7" tableBorderDxfId="6">
  <autoFilter ref="A1:B1001" xr:uid="{7B40384D-7771-42D7-B4E7-1D622275A023}"/>
  <tableColumns count="2">
    <tableColumn id="1" xr3:uid="{1A87A666-2F81-4825-8873-C430DF207AAD}" name="Waiting_Category" dataDxfId="5"/>
    <tableColumn id="2" xr3:uid="{2F2BE7B5-DAD9-4B5D-98A9-2D4EB81996D9}" name="Columna1" dataDxfId="4">
      <calculatedColumnFormula>+IF(A2&lt;= 20,"Low",IF(A2 &gt; 40,"High","mid"))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7B862A-46A8-4DBB-A4B7-45F925FA72DF}" name="Tabla9" displayName="Tabla9" ref="F1:H1001" totalsRowShown="0" tableBorderDxfId="3">
  <autoFilter ref="F1:H1001" xr:uid="{547B862A-46A8-4DBB-A4B7-45F925FA72DF}"/>
  <tableColumns count="3">
    <tableColumn id="1" xr3:uid="{B3288CF4-103B-4A97-BBB2-7FAF1F1CBA42}" name="Asset_ID" dataDxfId="2"/>
    <tableColumn id="2" xr3:uid="{80B43F6C-29A5-4301-B493-A75047609477}" name="Asset_Utilization" dataDxfId="1"/>
    <tableColumn id="3" xr3:uid="{1E1969A7-8812-4D0F-8DD0-917C40F7430A}" name="Ranks" dataDxfId="0">
      <calculatedColumnFormula>+IF(Waiting_status!$G2&lt;= 40,"Bajo",IF(Waiting_status!$G2 &gt;70,"High","Mid"))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A973" workbookViewId="0">
      <selection activeCell="N1" sqref="N1:N1001"/>
    </sheetView>
  </sheetViews>
  <sheetFormatPr baseColWidth="10" defaultRowHeight="15" x14ac:dyDescent="0.25"/>
  <cols>
    <col min="1" max="1" width="15.7109375" bestFit="1" customWidth="1"/>
    <col min="5" max="5" width="15.28515625" bestFit="1" customWidth="1"/>
    <col min="6" max="6" width="16.140625" bestFit="1" customWidth="1"/>
    <col min="7" max="7" width="12.5703125" bestFit="1" customWidth="1"/>
    <col min="8" max="8" width="9.140625" bestFit="1" customWidth="1"/>
    <col min="9" max="9" width="13" bestFit="1" customWidth="1"/>
    <col min="10" max="10" width="13.28515625" bestFit="1" customWidth="1"/>
    <col min="11" max="12" width="24.5703125" bestFit="1" customWidth="1"/>
    <col min="13" max="13" width="22.140625" bestFit="1" customWidth="1"/>
    <col min="14" max="14" width="16.140625" bestFit="1" customWidth="1"/>
    <col min="15" max="15" width="17" bestFit="1" customWidth="1"/>
    <col min="16" max="16" width="14.42578125" bestFit="1" customWidth="1"/>
  </cols>
  <sheetData>
    <row r="1" spans="1:16" ht="45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</row>
    <row r="2" spans="1:16" x14ac:dyDescent="0.25">
      <c r="A2" s="26">
        <v>45371.007800925923</v>
      </c>
      <c r="B2" s="25" t="s">
        <v>16</v>
      </c>
      <c r="C2" s="25" t="s">
        <v>17</v>
      </c>
      <c r="D2" s="25" t="s">
        <v>18</v>
      </c>
      <c r="E2" s="25">
        <v>390</v>
      </c>
      <c r="F2" s="25" t="s">
        <v>19</v>
      </c>
      <c r="G2" s="25">
        <v>27</v>
      </c>
      <c r="H2" s="25">
        <v>67.8</v>
      </c>
      <c r="I2" s="25" t="s">
        <v>20</v>
      </c>
      <c r="J2" s="25">
        <v>38</v>
      </c>
      <c r="K2" s="25">
        <v>320</v>
      </c>
      <c r="L2" s="25">
        <v>4</v>
      </c>
      <c r="M2" s="25" t="s">
        <v>21</v>
      </c>
      <c r="N2" s="25">
        <v>60.1</v>
      </c>
      <c r="O2" s="25">
        <v>285</v>
      </c>
      <c r="P2" s="25">
        <v>1</v>
      </c>
    </row>
    <row r="3" spans="1:16" x14ac:dyDescent="0.25">
      <c r="A3" s="26">
        <v>45595.329062500001</v>
      </c>
      <c r="B3" s="25" t="s">
        <v>22</v>
      </c>
      <c r="C3" s="25" t="s">
        <v>23</v>
      </c>
      <c r="D3" s="25" t="s">
        <v>24</v>
      </c>
      <c r="E3" s="25">
        <v>491</v>
      </c>
      <c r="F3" s="25" t="s">
        <v>25</v>
      </c>
      <c r="G3" s="25">
        <v>22.5</v>
      </c>
      <c r="H3" s="25">
        <v>54.3</v>
      </c>
      <c r="I3" s="25" t="s">
        <v>26</v>
      </c>
      <c r="J3" s="25">
        <v>16</v>
      </c>
      <c r="K3" s="25">
        <v>439</v>
      </c>
      <c r="L3" s="25">
        <v>7</v>
      </c>
      <c r="M3" s="25" t="s">
        <v>27</v>
      </c>
      <c r="N3" s="25">
        <v>80.900000000000006</v>
      </c>
      <c r="O3" s="25">
        <v>174</v>
      </c>
      <c r="P3" s="25">
        <v>1</v>
      </c>
    </row>
    <row r="4" spans="1:16" x14ac:dyDescent="0.25">
      <c r="A4" s="26">
        <v>45502.779722222222</v>
      </c>
      <c r="B4" s="25" t="s">
        <v>28</v>
      </c>
      <c r="C4" s="25" t="s">
        <v>29</v>
      </c>
      <c r="D4" s="25" t="s">
        <v>30</v>
      </c>
      <c r="E4" s="25">
        <v>190</v>
      </c>
      <c r="F4" s="25" t="s">
        <v>25</v>
      </c>
      <c r="G4" s="25">
        <v>25.2</v>
      </c>
      <c r="H4" s="25">
        <v>62.2</v>
      </c>
      <c r="I4" s="25" t="s">
        <v>20</v>
      </c>
      <c r="J4" s="25">
        <v>34</v>
      </c>
      <c r="K4" s="25">
        <v>355</v>
      </c>
      <c r="L4" s="25">
        <v>3</v>
      </c>
      <c r="M4" s="25" t="s">
        <v>21</v>
      </c>
      <c r="N4" s="25">
        <v>99.2</v>
      </c>
      <c r="O4" s="25">
        <v>260</v>
      </c>
      <c r="P4" s="25">
        <v>0</v>
      </c>
    </row>
    <row r="5" spans="1:16" x14ac:dyDescent="0.25">
      <c r="A5" s="26">
        <v>45593.03534722222</v>
      </c>
      <c r="B5" s="25" t="s">
        <v>31</v>
      </c>
      <c r="C5" s="25" t="s">
        <v>32</v>
      </c>
      <c r="D5" s="25" t="s">
        <v>33</v>
      </c>
      <c r="E5" s="25">
        <v>330</v>
      </c>
      <c r="F5" s="25" t="s">
        <v>34</v>
      </c>
      <c r="G5" s="25">
        <v>25.4</v>
      </c>
      <c r="H5" s="25">
        <v>52.3</v>
      </c>
      <c r="I5" s="25" t="s">
        <v>26</v>
      </c>
      <c r="J5" s="25">
        <v>37</v>
      </c>
      <c r="K5" s="25">
        <v>227</v>
      </c>
      <c r="L5" s="25">
        <v>5</v>
      </c>
      <c r="M5" s="25" t="s">
        <v>35</v>
      </c>
      <c r="N5" s="25">
        <v>97.4</v>
      </c>
      <c r="O5" s="25">
        <v>160</v>
      </c>
      <c r="P5" s="25">
        <v>1</v>
      </c>
    </row>
    <row r="6" spans="1:16" x14ac:dyDescent="0.25">
      <c r="A6" s="26">
        <v>45562.661782407406</v>
      </c>
      <c r="B6" s="25" t="s">
        <v>16</v>
      </c>
      <c r="C6" s="25" t="s">
        <v>36</v>
      </c>
      <c r="D6" s="25" t="s">
        <v>37</v>
      </c>
      <c r="E6" s="25">
        <v>480</v>
      </c>
      <c r="F6" s="25" t="s">
        <v>19</v>
      </c>
      <c r="G6" s="25">
        <v>20.5</v>
      </c>
      <c r="H6" s="25">
        <v>57.2</v>
      </c>
      <c r="I6" s="25" t="s">
        <v>38</v>
      </c>
      <c r="J6" s="25">
        <v>56</v>
      </c>
      <c r="K6" s="25">
        <v>197</v>
      </c>
      <c r="L6" s="25">
        <v>6</v>
      </c>
      <c r="M6" s="25" t="s">
        <v>21</v>
      </c>
      <c r="N6" s="25">
        <v>71.599999999999994</v>
      </c>
      <c r="O6" s="25">
        <v>270</v>
      </c>
      <c r="P6" s="25">
        <v>1</v>
      </c>
    </row>
    <row r="7" spans="1:16" x14ac:dyDescent="0.25">
      <c r="A7" s="26">
        <v>45552.251562500001</v>
      </c>
      <c r="B7" s="25" t="s">
        <v>16</v>
      </c>
      <c r="C7" s="25" t="s">
        <v>39</v>
      </c>
      <c r="D7" s="25" t="s">
        <v>40</v>
      </c>
      <c r="E7" s="25">
        <v>118</v>
      </c>
      <c r="F7" s="25" t="s">
        <v>25</v>
      </c>
      <c r="G7" s="25">
        <v>24.3</v>
      </c>
      <c r="H7" s="25">
        <v>61.8</v>
      </c>
      <c r="I7" s="25" t="s">
        <v>38</v>
      </c>
      <c r="J7" s="25">
        <v>56</v>
      </c>
      <c r="K7" s="25">
        <v>258</v>
      </c>
      <c r="L7" s="25">
        <v>10</v>
      </c>
      <c r="M7" s="25" t="s">
        <v>21</v>
      </c>
      <c r="N7" s="25">
        <v>66.8</v>
      </c>
      <c r="O7" s="25">
        <v>189</v>
      </c>
      <c r="P7" s="25">
        <v>0</v>
      </c>
    </row>
    <row r="8" spans="1:16" x14ac:dyDescent="0.25">
      <c r="A8" s="26">
        <v>45327.36037037037</v>
      </c>
      <c r="B8" s="25" t="s">
        <v>41</v>
      </c>
      <c r="C8" s="25" t="s">
        <v>42</v>
      </c>
      <c r="D8" s="25" t="s">
        <v>43</v>
      </c>
      <c r="E8" s="25">
        <v>480</v>
      </c>
      <c r="F8" s="25" t="s">
        <v>19</v>
      </c>
      <c r="G8" s="25">
        <v>20.7</v>
      </c>
      <c r="H8" s="25">
        <v>75.400000000000006</v>
      </c>
      <c r="I8" s="25" t="s">
        <v>38</v>
      </c>
      <c r="J8" s="25">
        <v>32</v>
      </c>
      <c r="K8" s="25">
        <v>263</v>
      </c>
      <c r="L8" s="25">
        <v>3</v>
      </c>
      <c r="M8" s="25" t="s">
        <v>21</v>
      </c>
      <c r="N8" s="25">
        <v>73.3</v>
      </c>
      <c r="O8" s="25">
        <v>198</v>
      </c>
      <c r="P8" s="25">
        <v>1</v>
      </c>
    </row>
    <row r="9" spans="1:16" x14ac:dyDescent="0.25">
      <c r="A9" s="26">
        <v>45563.38082175926</v>
      </c>
      <c r="B9" s="25" t="s">
        <v>31</v>
      </c>
      <c r="C9" s="25" t="s">
        <v>44</v>
      </c>
      <c r="D9" s="25" t="s">
        <v>45</v>
      </c>
      <c r="E9" s="25">
        <v>222</v>
      </c>
      <c r="F9" s="25" t="s">
        <v>25</v>
      </c>
      <c r="G9" s="25">
        <v>23.3</v>
      </c>
      <c r="H9" s="25">
        <v>64.2</v>
      </c>
      <c r="I9" s="25" t="s">
        <v>20</v>
      </c>
      <c r="J9" s="25">
        <v>30</v>
      </c>
      <c r="K9" s="25">
        <v>459</v>
      </c>
      <c r="L9" s="25">
        <v>9</v>
      </c>
      <c r="M9" s="25" t="s">
        <v>35</v>
      </c>
      <c r="N9" s="25">
        <v>73.8</v>
      </c>
      <c r="O9" s="25">
        <v>253</v>
      </c>
      <c r="P9" s="25">
        <v>0</v>
      </c>
    </row>
    <row r="10" spans="1:16" x14ac:dyDescent="0.25">
      <c r="A10" s="26">
        <v>45309.352129629631</v>
      </c>
      <c r="B10" s="25" t="s">
        <v>31</v>
      </c>
      <c r="C10" s="25" t="s">
        <v>46</v>
      </c>
      <c r="D10" s="25" t="s">
        <v>47</v>
      </c>
      <c r="E10" s="25">
        <v>245</v>
      </c>
      <c r="F10" s="25" t="s">
        <v>34</v>
      </c>
      <c r="G10" s="25">
        <v>26.4</v>
      </c>
      <c r="H10" s="25">
        <v>77.2</v>
      </c>
      <c r="I10" s="25" t="s">
        <v>38</v>
      </c>
      <c r="J10" s="25">
        <v>14</v>
      </c>
      <c r="K10" s="25">
        <v>183</v>
      </c>
      <c r="L10" s="25">
        <v>2</v>
      </c>
      <c r="M10" s="25" t="s">
        <v>21</v>
      </c>
      <c r="N10" s="25">
        <v>69.599999999999994</v>
      </c>
      <c r="O10" s="25">
        <v>206</v>
      </c>
      <c r="P10" s="25">
        <v>0</v>
      </c>
    </row>
    <row r="11" spans="1:16" ht="30" customHeight="1" x14ac:dyDescent="0.25">
      <c r="A11" s="26">
        <v>45605.033634259256</v>
      </c>
      <c r="B11" s="25" t="s">
        <v>48</v>
      </c>
      <c r="C11" s="25" t="s">
        <v>49</v>
      </c>
      <c r="D11" s="25" t="s">
        <v>50</v>
      </c>
      <c r="E11" s="25">
        <v>389</v>
      </c>
      <c r="F11" s="25" t="s">
        <v>25</v>
      </c>
      <c r="G11" s="25">
        <v>21.9</v>
      </c>
      <c r="H11" s="25">
        <v>57.3</v>
      </c>
      <c r="I11" s="25" t="s">
        <v>38</v>
      </c>
      <c r="J11" s="25">
        <v>52</v>
      </c>
      <c r="K11" s="25">
        <v>127</v>
      </c>
      <c r="L11" s="25">
        <v>7</v>
      </c>
      <c r="M11" s="25" t="s">
        <v>51</v>
      </c>
      <c r="N11" s="25">
        <v>63.1</v>
      </c>
      <c r="O11" s="25">
        <v>224</v>
      </c>
      <c r="P11" s="25">
        <v>0</v>
      </c>
    </row>
    <row r="12" spans="1:16" x14ac:dyDescent="0.25">
      <c r="A12" s="26">
        <v>45300.972025462965</v>
      </c>
      <c r="B12" s="25" t="s">
        <v>31</v>
      </c>
      <c r="C12" s="25" t="s">
        <v>52</v>
      </c>
      <c r="D12" s="25" t="s">
        <v>53</v>
      </c>
      <c r="E12" s="25">
        <v>319</v>
      </c>
      <c r="F12" s="25" t="s">
        <v>19</v>
      </c>
      <c r="G12" s="25">
        <v>22</v>
      </c>
      <c r="H12" s="25">
        <v>53.5</v>
      </c>
      <c r="I12" s="25" t="s">
        <v>38</v>
      </c>
      <c r="J12" s="25">
        <v>28</v>
      </c>
      <c r="K12" s="25">
        <v>360</v>
      </c>
      <c r="L12" s="25">
        <v>4</v>
      </c>
      <c r="M12" s="25" t="s">
        <v>21</v>
      </c>
      <c r="N12" s="25">
        <v>69.8</v>
      </c>
      <c r="O12" s="25">
        <v>171</v>
      </c>
      <c r="P12" s="25">
        <v>1</v>
      </c>
    </row>
    <row r="13" spans="1:16" x14ac:dyDescent="0.25">
      <c r="A13" s="26">
        <v>45324.936296296299</v>
      </c>
      <c r="B13" s="25" t="s">
        <v>28</v>
      </c>
      <c r="C13" s="25" t="s">
        <v>54</v>
      </c>
      <c r="D13" s="25" t="s">
        <v>55</v>
      </c>
      <c r="E13" s="25">
        <v>234</v>
      </c>
      <c r="F13" s="25" t="s">
        <v>34</v>
      </c>
      <c r="G13" s="25">
        <v>29.7</v>
      </c>
      <c r="H13" s="25">
        <v>63.6</v>
      </c>
      <c r="I13" s="25" t="s">
        <v>20</v>
      </c>
      <c r="J13" s="25">
        <v>13</v>
      </c>
      <c r="K13" s="25">
        <v>406</v>
      </c>
      <c r="L13" s="25">
        <v>10</v>
      </c>
      <c r="M13" s="25" t="s">
        <v>35</v>
      </c>
      <c r="N13" s="25">
        <v>85.5</v>
      </c>
      <c r="O13" s="25">
        <v>238</v>
      </c>
      <c r="P13" s="25">
        <v>0</v>
      </c>
    </row>
    <row r="14" spans="1:16" x14ac:dyDescent="0.25">
      <c r="A14" s="26">
        <v>45339.885208333333</v>
      </c>
      <c r="B14" s="25" t="s">
        <v>56</v>
      </c>
      <c r="C14" s="25" t="s">
        <v>57</v>
      </c>
      <c r="D14" s="25" t="s">
        <v>58</v>
      </c>
      <c r="E14" s="25">
        <v>154</v>
      </c>
      <c r="F14" s="25" t="s">
        <v>25</v>
      </c>
      <c r="G14" s="25">
        <v>21.5</v>
      </c>
      <c r="H14" s="25">
        <v>74.2</v>
      </c>
      <c r="I14" s="25" t="s">
        <v>20</v>
      </c>
      <c r="J14" s="25">
        <v>38</v>
      </c>
      <c r="K14" s="25">
        <v>215</v>
      </c>
      <c r="L14" s="25">
        <v>3</v>
      </c>
      <c r="M14" s="25" t="s">
        <v>27</v>
      </c>
      <c r="N14" s="25">
        <v>84.4</v>
      </c>
      <c r="O14" s="25">
        <v>114</v>
      </c>
      <c r="P14" s="25">
        <v>0</v>
      </c>
    </row>
    <row r="15" spans="1:16" x14ac:dyDescent="0.25">
      <c r="A15" s="26">
        <v>45355.281134259261</v>
      </c>
      <c r="B15" s="25" t="s">
        <v>48</v>
      </c>
      <c r="C15" s="25" t="s">
        <v>59</v>
      </c>
      <c r="D15" s="25" t="s">
        <v>60</v>
      </c>
      <c r="E15" s="25">
        <v>348</v>
      </c>
      <c r="F15" s="25" t="s">
        <v>34</v>
      </c>
      <c r="G15" s="25">
        <v>27.3</v>
      </c>
      <c r="H15" s="25">
        <v>71.599999999999994</v>
      </c>
      <c r="I15" s="25" t="s">
        <v>20</v>
      </c>
      <c r="J15" s="25">
        <v>30</v>
      </c>
      <c r="K15" s="25">
        <v>211</v>
      </c>
      <c r="L15" s="25">
        <v>2</v>
      </c>
      <c r="M15" s="25" t="s">
        <v>21</v>
      </c>
      <c r="N15" s="25">
        <v>96.4</v>
      </c>
      <c r="O15" s="25">
        <v>115</v>
      </c>
      <c r="P15" s="25">
        <v>0</v>
      </c>
    </row>
    <row r="16" spans="1:16" x14ac:dyDescent="0.25">
      <c r="A16" s="26">
        <v>45532.513356481482</v>
      </c>
      <c r="B16" s="25" t="s">
        <v>61</v>
      </c>
      <c r="C16" s="25" t="s">
        <v>62</v>
      </c>
      <c r="D16" s="25" t="s">
        <v>63</v>
      </c>
      <c r="E16" s="25">
        <v>163</v>
      </c>
      <c r="F16" s="25" t="s">
        <v>25</v>
      </c>
      <c r="G16" s="25">
        <v>25.1</v>
      </c>
      <c r="H16" s="25">
        <v>76.8</v>
      </c>
      <c r="I16" s="25" t="s">
        <v>26</v>
      </c>
      <c r="J16" s="25">
        <v>54</v>
      </c>
      <c r="K16" s="25">
        <v>320</v>
      </c>
      <c r="L16" s="25">
        <v>5</v>
      </c>
      <c r="M16" s="25" t="s">
        <v>27</v>
      </c>
      <c r="N16" s="25">
        <v>93.2</v>
      </c>
      <c r="O16" s="25">
        <v>231</v>
      </c>
      <c r="P16" s="25">
        <v>1</v>
      </c>
    </row>
    <row r="17" spans="1:16" x14ac:dyDescent="0.25">
      <c r="A17" s="26">
        <v>45295.953275462962</v>
      </c>
      <c r="B17" s="25" t="s">
        <v>64</v>
      </c>
      <c r="C17" s="25" t="s">
        <v>65</v>
      </c>
      <c r="D17" s="25" t="s">
        <v>66</v>
      </c>
      <c r="E17" s="25">
        <v>130</v>
      </c>
      <c r="F17" s="25" t="s">
        <v>19</v>
      </c>
      <c r="G17" s="25">
        <v>23.7</v>
      </c>
      <c r="H17" s="25">
        <v>68.099999999999994</v>
      </c>
      <c r="I17" s="25" t="s">
        <v>38</v>
      </c>
      <c r="J17" s="25">
        <v>45</v>
      </c>
      <c r="K17" s="25">
        <v>487</v>
      </c>
      <c r="L17" s="25">
        <v>4</v>
      </c>
      <c r="M17" s="25" t="s">
        <v>35</v>
      </c>
      <c r="N17" s="25">
        <v>84.1</v>
      </c>
      <c r="O17" s="25">
        <v>256</v>
      </c>
      <c r="P17" s="25">
        <v>1</v>
      </c>
    </row>
    <row r="18" spans="1:16" x14ac:dyDescent="0.25">
      <c r="A18" s="26">
        <v>45595.744479166664</v>
      </c>
      <c r="B18" s="25" t="s">
        <v>41</v>
      </c>
      <c r="C18" s="25" t="s">
        <v>67</v>
      </c>
      <c r="D18" s="25" t="s">
        <v>68</v>
      </c>
      <c r="E18" s="25">
        <v>391</v>
      </c>
      <c r="F18" s="25" t="s">
        <v>19</v>
      </c>
      <c r="G18" s="25">
        <v>21.6</v>
      </c>
      <c r="H18" s="25">
        <v>72.5</v>
      </c>
      <c r="I18" s="25" t="s">
        <v>38</v>
      </c>
      <c r="J18" s="25">
        <v>58</v>
      </c>
      <c r="K18" s="25">
        <v>298</v>
      </c>
      <c r="L18" s="25">
        <v>7</v>
      </c>
      <c r="M18" s="25" t="s">
        <v>35</v>
      </c>
      <c r="N18" s="25">
        <v>61.5</v>
      </c>
      <c r="O18" s="25">
        <v>170</v>
      </c>
      <c r="P18" s="25">
        <v>1</v>
      </c>
    </row>
    <row r="19" spans="1:16" x14ac:dyDescent="0.25">
      <c r="A19" s="26">
        <v>45488.654189814813</v>
      </c>
      <c r="B19" s="25" t="s">
        <v>16</v>
      </c>
      <c r="C19" s="25" t="s">
        <v>69</v>
      </c>
      <c r="D19" s="25" t="s">
        <v>70</v>
      </c>
      <c r="E19" s="25">
        <v>344</v>
      </c>
      <c r="F19" s="25" t="s">
        <v>19</v>
      </c>
      <c r="G19" s="25">
        <v>21.4</v>
      </c>
      <c r="H19" s="25">
        <v>53.5</v>
      </c>
      <c r="I19" s="25" t="s">
        <v>20</v>
      </c>
      <c r="J19" s="25">
        <v>23</v>
      </c>
      <c r="K19" s="25">
        <v>461</v>
      </c>
      <c r="L19" s="25">
        <v>9</v>
      </c>
      <c r="M19" s="25" t="s">
        <v>21</v>
      </c>
      <c r="N19" s="25">
        <v>93.4</v>
      </c>
      <c r="O19" s="25">
        <v>106</v>
      </c>
      <c r="P19" s="25">
        <v>1</v>
      </c>
    </row>
    <row r="20" spans="1:16" x14ac:dyDescent="0.25">
      <c r="A20" s="26">
        <v>45310.279513888891</v>
      </c>
      <c r="B20" s="25" t="s">
        <v>64</v>
      </c>
      <c r="C20" s="25" t="s">
        <v>71</v>
      </c>
      <c r="D20" s="25" t="s">
        <v>72</v>
      </c>
      <c r="E20" s="25">
        <v>409</v>
      </c>
      <c r="F20" s="25" t="s">
        <v>19</v>
      </c>
      <c r="G20" s="25">
        <v>27.5</v>
      </c>
      <c r="H20" s="25">
        <v>66.599999999999994</v>
      </c>
      <c r="I20" s="25" t="s">
        <v>20</v>
      </c>
      <c r="J20" s="25">
        <v>29</v>
      </c>
      <c r="K20" s="25">
        <v>492</v>
      </c>
      <c r="L20" s="25">
        <v>3</v>
      </c>
      <c r="M20" s="25" t="s">
        <v>21</v>
      </c>
      <c r="N20" s="25">
        <v>72.599999999999994</v>
      </c>
      <c r="O20" s="25">
        <v>204</v>
      </c>
      <c r="P20" s="25">
        <v>1</v>
      </c>
    </row>
    <row r="21" spans="1:16" x14ac:dyDescent="0.25">
      <c r="A21" s="26">
        <v>45410.891365740739</v>
      </c>
      <c r="B21" s="25" t="s">
        <v>28</v>
      </c>
      <c r="C21" s="25" t="s">
        <v>73</v>
      </c>
      <c r="D21" s="25" t="s">
        <v>74</v>
      </c>
      <c r="E21" s="25">
        <v>457</v>
      </c>
      <c r="F21" s="25" t="s">
        <v>25</v>
      </c>
      <c r="G21" s="25">
        <v>25.5</v>
      </c>
      <c r="H21" s="25">
        <v>75.900000000000006</v>
      </c>
      <c r="I21" s="25" t="s">
        <v>38</v>
      </c>
      <c r="J21" s="25">
        <v>21</v>
      </c>
      <c r="K21" s="25">
        <v>315</v>
      </c>
      <c r="L21" s="25">
        <v>3</v>
      </c>
      <c r="M21" s="25" t="s">
        <v>35</v>
      </c>
      <c r="N21" s="25">
        <v>83.4</v>
      </c>
      <c r="O21" s="25">
        <v>248</v>
      </c>
      <c r="P21" s="25">
        <v>0</v>
      </c>
    </row>
    <row r="22" spans="1:16" ht="30" customHeight="1" x14ac:dyDescent="0.25">
      <c r="A22" s="26">
        <v>45357.833634259259</v>
      </c>
      <c r="B22" s="25" t="s">
        <v>64</v>
      </c>
      <c r="C22" s="25" t="s">
        <v>75</v>
      </c>
      <c r="D22" s="25" t="s">
        <v>76</v>
      </c>
      <c r="E22" s="25">
        <v>207</v>
      </c>
      <c r="F22" s="25" t="s">
        <v>34</v>
      </c>
      <c r="G22" s="25">
        <v>29.3</v>
      </c>
      <c r="H22" s="25">
        <v>59.4</v>
      </c>
      <c r="I22" s="25" t="s">
        <v>20</v>
      </c>
      <c r="J22" s="25">
        <v>31</v>
      </c>
      <c r="K22" s="25">
        <v>174</v>
      </c>
      <c r="L22" s="25">
        <v>5</v>
      </c>
      <c r="M22" s="25" t="s">
        <v>51</v>
      </c>
      <c r="N22" s="25">
        <v>65.900000000000006</v>
      </c>
      <c r="O22" s="25">
        <v>195</v>
      </c>
      <c r="P22" s="25">
        <v>0</v>
      </c>
    </row>
    <row r="23" spans="1:16" ht="30" customHeight="1" x14ac:dyDescent="0.25">
      <c r="A23" s="26">
        <v>45616.693136574075</v>
      </c>
      <c r="B23" s="25" t="s">
        <v>56</v>
      </c>
      <c r="C23" s="25" t="s">
        <v>77</v>
      </c>
      <c r="D23" s="25" t="s">
        <v>78</v>
      </c>
      <c r="E23" s="25">
        <v>155</v>
      </c>
      <c r="F23" s="25" t="s">
        <v>34</v>
      </c>
      <c r="G23" s="25">
        <v>19.399999999999999</v>
      </c>
      <c r="H23" s="25">
        <v>53.2</v>
      </c>
      <c r="I23" s="25" t="s">
        <v>26</v>
      </c>
      <c r="J23" s="25">
        <v>20</v>
      </c>
      <c r="K23" s="25">
        <v>152</v>
      </c>
      <c r="L23" s="25">
        <v>1</v>
      </c>
      <c r="M23" s="25" t="s">
        <v>51</v>
      </c>
      <c r="N23" s="25">
        <v>99.3</v>
      </c>
      <c r="O23" s="25">
        <v>235</v>
      </c>
      <c r="P23" s="25">
        <v>1</v>
      </c>
    </row>
    <row r="24" spans="1:16" x14ac:dyDescent="0.25">
      <c r="A24" s="26">
        <v>45298.384351851855</v>
      </c>
      <c r="B24" s="25" t="s">
        <v>22</v>
      </c>
      <c r="C24" s="25" t="s">
        <v>79</v>
      </c>
      <c r="D24" s="25" t="s">
        <v>80</v>
      </c>
      <c r="E24" s="25">
        <v>314</v>
      </c>
      <c r="F24" s="25" t="s">
        <v>34</v>
      </c>
      <c r="G24" s="25">
        <v>19.899999999999999</v>
      </c>
      <c r="H24" s="25">
        <v>64.8</v>
      </c>
      <c r="I24" s="25" t="s">
        <v>20</v>
      </c>
      <c r="J24" s="25">
        <v>57</v>
      </c>
      <c r="K24" s="25">
        <v>396</v>
      </c>
      <c r="L24" s="25">
        <v>10</v>
      </c>
      <c r="M24" s="25" t="s">
        <v>27</v>
      </c>
      <c r="N24" s="25">
        <v>78.599999999999994</v>
      </c>
      <c r="O24" s="25">
        <v>135</v>
      </c>
      <c r="P24" s="25">
        <v>0</v>
      </c>
    </row>
    <row r="25" spans="1:16" x14ac:dyDescent="0.25">
      <c r="A25" s="26">
        <v>45560.633472222224</v>
      </c>
      <c r="B25" s="25" t="s">
        <v>28</v>
      </c>
      <c r="C25" s="25" t="s">
        <v>81</v>
      </c>
      <c r="D25" s="25" t="s">
        <v>82</v>
      </c>
      <c r="E25" s="25">
        <v>156</v>
      </c>
      <c r="F25" s="25" t="s">
        <v>25</v>
      </c>
      <c r="G25" s="25">
        <v>27.2</v>
      </c>
      <c r="H25" s="25">
        <v>74.400000000000006</v>
      </c>
      <c r="I25" s="25" t="s">
        <v>38</v>
      </c>
      <c r="J25" s="25">
        <v>35</v>
      </c>
      <c r="K25" s="25">
        <v>354</v>
      </c>
      <c r="L25" s="25">
        <v>2</v>
      </c>
      <c r="M25" s="25" t="s">
        <v>27</v>
      </c>
      <c r="N25" s="25">
        <v>63.1</v>
      </c>
      <c r="O25" s="25">
        <v>282</v>
      </c>
      <c r="P25" s="25">
        <v>0</v>
      </c>
    </row>
    <row r="26" spans="1:16" x14ac:dyDescent="0.25">
      <c r="A26" s="26">
        <v>45333.562708333331</v>
      </c>
      <c r="B26" s="25" t="s">
        <v>48</v>
      </c>
      <c r="C26" s="25" t="s">
        <v>83</v>
      </c>
      <c r="D26" s="25" t="s">
        <v>84</v>
      </c>
      <c r="E26" s="25">
        <v>119</v>
      </c>
      <c r="F26" s="25" t="s">
        <v>25</v>
      </c>
      <c r="G26" s="25">
        <v>28.1</v>
      </c>
      <c r="H26" s="25">
        <v>72.400000000000006</v>
      </c>
      <c r="I26" s="25" t="s">
        <v>20</v>
      </c>
      <c r="J26" s="25">
        <v>41</v>
      </c>
      <c r="K26" s="25">
        <v>176</v>
      </c>
      <c r="L26" s="25">
        <v>2</v>
      </c>
      <c r="M26" s="25" t="s">
        <v>21</v>
      </c>
      <c r="N26" s="25">
        <v>60.9</v>
      </c>
      <c r="O26" s="25">
        <v>238</v>
      </c>
      <c r="P26" s="25">
        <v>0</v>
      </c>
    </row>
    <row r="27" spans="1:16" x14ac:dyDescent="0.25">
      <c r="A27" s="26">
        <v>45616.473761574074</v>
      </c>
      <c r="B27" s="25" t="s">
        <v>61</v>
      </c>
      <c r="C27" s="25" t="s">
        <v>85</v>
      </c>
      <c r="D27" s="25" t="s">
        <v>86</v>
      </c>
      <c r="E27" s="25">
        <v>112</v>
      </c>
      <c r="F27" s="25" t="s">
        <v>25</v>
      </c>
      <c r="G27" s="25">
        <v>19.7</v>
      </c>
      <c r="H27" s="25">
        <v>76.599999999999994</v>
      </c>
      <c r="I27" s="25" t="s">
        <v>20</v>
      </c>
      <c r="J27" s="25">
        <v>22</v>
      </c>
      <c r="K27" s="25">
        <v>121</v>
      </c>
      <c r="L27" s="25">
        <v>3</v>
      </c>
      <c r="M27" s="25" t="s">
        <v>35</v>
      </c>
      <c r="N27" s="25">
        <v>80.900000000000006</v>
      </c>
      <c r="O27" s="25">
        <v>262</v>
      </c>
      <c r="P27" s="25">
        <v>0</v>
      </c>
    </row>
    <row r="28" spans="1:16" x14ac:dyDescent="0.25">
      <c r="A28" s="26">
        <v>45468.101678240739</v>
      </c>
      <c r="B28" s="25" t="s">
        <v>61</v>
      </c>
      <c r="C28" s="25" t="s">
        <v>87</v>
      </c>
      <c r="D28" s="25" t="s">
        <v>88</v>
      </c>
      <c r="E28" s="25">
        <v>435</v>
      </c>
      <c r="F28" s="25" t="s">
        <v>34</v>
      </c>
      <c r="G28" s="25">
        <v>25.8</v>
      </c>
      <c r="H28" s="25">
        <v>78.599999999999994</v>
      </c>
      <c r="I28" s="25" t="s">
        <v>26</v>
      </c>
      <c r="J28" s="25">
        <v>22</v>
      </c>
      <c r="K28" s="25">
        <v>220</v>
      </c>
      <c r="L28" s="25">
        <v>7</v>
      </c>
      <c r="M28" s="25" t="s">
        <v>35</v>
      </c>
      <c r="N28" s="25">
        <v>90.8</v>
      </c>
      <c r="O28" s="25">
        <v>101</v>
      </c>
      <c r="P28" s="25">
        <v>1</v>
      </c>
    </row>
    <row r="29" spans="1:16" x14ac:dyDescent="0.25">
      <c r="A29" s="26">
        <v>45468.000833333332</v>
      </c>
      <c r="B29" s="25" t="s">
        <v>31</v>
      </c>
      <c r="C29" s="25" t="s">
        <v>89</v>
      </c>
      <c r="D29" s="25" t="s">
        <v>90</v>
      </c>
      <c r="E29" s="25">
        <v>422</v>
      </c>
      <c r="F29" s="25" t="s">
        <v>34</v>
      </c>
      <c r="G29" s="25">
        <v>20</v>
      </c>
      <c r="H29" s="25">
        <v>62.9</v>
      </c>
      <c r="I29" s="25" t="s">
        <v>26</v>
      </c>
      <c r="J29" s="25">
        <v>14</v>
      </c>
      <c r="K29" s="25">
        <v>184</v>
      </c>
      <c r="L29" s="25">
        <v>9</v>
      </c>
      <c r="M29" s="25" t="s">
        <v>35</v>
      </c>
      <c r="N29" s="25">
        <v>64</v>
      </c>
      <c r="O29" s="25">
        <v>248</v>
      </c>
      <c r="P29" s="25">
        <v>1</v>
      </c>
    </row>
    <row r="30" spans="1:16" x14ac:dyDescent="0.25">
      <c r="A30" s="26">
        <v>45414.106898148151</v>
      </c>
      <c r="B30" s="25" t="s">
        <v>41</v>
      </c>
      <c r="C30" s="25" t="s">
        <v>91</v>
      </c>
      <c r="D30" s="25" t="s">
        <v>92</v>
      </c>
      <c r="E30" s="25">
        <v>353</v>
      </c>
      <c r="F30" s="25" t="s">
        <v>25</v>
      </c>
      <c r="G30" s="25">
        <v>20.5</v>
      </c>
      <c r="H30" s="25">
        <v>52</v>
      </c>
      <c r="I30" s="25" t="s">
        <v>26</v>
      </c>
      <c r="J30" s="25">
        <v>26</v>
      </c>
      <c r="K30" s="25">
        <v>392</v>
      </c>
      <c r="L30" s="25">
        <v>7</v>
      </c>
      <c r="M30" s="25" t="s">
        <v>35</v>
      </c>
      <c r="N30" s="25">
        <v>76.400000000000006</v>
      </c>
      <c r="O30" s="25">
        <v>155</v>
      </c>
      <c r="P30" s="25">
        <v>1</v>
      </c>
    </row>
    <row r="31" spans="1:16" x14ac:dyDescent="0.25">
      <c r="A31" s="26">
        <v>45514.003240740742</v>
      </c>
      <c r="B31" s="25" t="s">
        <v>56</v>
      </c>
      <c r="C31" s="25" t="s">
        <v>93</v>
      </c>
      <c r="D31" s="25" t="s">
        <v>94</v>
      </c>
      <c r="E31" s="25">
        <v>299</v>
      </c>
      <c r="F31" s="25" t="s">
        <v>19</v>
      </c>
      <c r="G31" s="25">
        <v>23.9</v>
      </c>
      <c r="H31" s="25">
        <v>50.1</v>
      </c>
      <c r="I31" s="25" t="s">
        <v>26</v>
      </c>
      <c r="J31" s="25">
        <v>17</v>
      </c>
      <c r="K31" s="25">
        <v>315</v>
      </c>
      <c r="L31" s="25">
        <v>6</v>
      </c>
      <c r="M31" s="25" t="s">
        <v>21</v>
      </c>
      <c r="N31" s="25">
        <v>88.3</v>
      </c>
      <c r="O31" s="25">
        <v>252</v>
      </c>
      <c r="P31" s="25">
        <v>1</v>
      </c>
    </row>
    <row r="32" spans="1:16" ht="30" customHeight="1" x14ac:dyDescent="0.25">
      <c r="A32" s="26">
        <v>45425.139131944445</v>
      </c>
      <c r="B32" s="25" t="s">
        <v>95</v>
      </c>
      <c r="C32" s="25" t="s">
        <v>96</v>
      </c>
      <c r="D32" s="25" t="s">
        <v>97</v>
      </c>
      <c r="E32" s="25">
        <v>261</v>
      </c>
      <c r="F32" s="25" t="s">
        <v>19</v>
      </c>
      <c r="G32" s="25">
        <v>22.5</v>
      </c>
      <c r="H32" s="25">
        <v>78.400000000000006</v>
      </c>
      <c r="I32" s="25" t="s">
        <v>38</v>
      </c>
      <c r="J32" s="25">
        <v>41</v>
      </c>
      <c r="K32" s="25">
        <v>209</v>
      </c>
      <c r="L32" s="25">
        <v>6</v>
      </c>
      <c r="M32" s="25" t="s">
        <v>51</v>
      </c>
      <c r="N32" s="25">
        <v>71.8</v>
      </c>
      <c r="O32" s="25">
        <v>240</v>
      </c>
      <c r="P32" s="25">
        <v>1</v>
      </c>
    </row>
    <row r="33" spans="1:16" ht="30" customHeight="1" x14ac:dyDescent="0.25">
      <c r="A33" s="26">
        <v>45628.356099537035</v>
      </c>
      <c r="B33" s="25" t="s">
        <v>56</v>
      </c>
      <c r="C33" s="25" t="s">
        <v>98</v>
      </c>
      <c r="D33" s="25" t="s">
        <v>99</v>
      </c>
      <c r="E33" s="25">
        <v>425</v>
      </c>
      <c r="F33" s="25" t="s">
        <v>19</v>
      </c>
      <c r="G33" s="25">
        <v>19.3</v>
      </c>
      <c r="H33" s="25">
        <v>51.1</v>
      </c>
      <c r="I33" s="25" t="s">
        <v>26</v>
      </c>
      <c r="J33" s="25">
        <v>39</v>
      </c>
      <c r="K33" s="25">
        <v>235</v>
      </c>
      <c r="L33" s="25">
        <v>9</v>
      </c>
      <c r="M33" s="25" t="s">
        <v>51</v>
      </c>
      <c r="N33" s="25">
        <v>88.3</v>
      </c>
      <c r="O33" s="25">
        <v>242</v>
      </c>
      <c r="P33" s="25">
        <v>1</v>
      </c>
    </row>
    <row r="34" spans="1:16" x14ac:dyDescent="0.25">
      <c r="A34" s="26">
        <v>45334.266284722224</v>
      </c>
      <c r="B34" s="25" t="s">
        <v>16</v>
      </c>
      <c r="C34" s="25" t="s">
        <v>100</v>
      </c>
      <c r="D34" s="25" t="s">
        <v>101</v>
      </c>
      <c r="E34" s="25">
        <v>369</v>
      </c>
      <c r="F34" s="25" t="s">
        <v>34</v>
      </c>
      <c r="G34" s="25">
        <v>26.3</v>
      </c>
      <c r="H34" s="25">
        <v>52.1</v>
      </c>
      <c r="I34" s="25" t="s">
        <v>20</v>
      </c>
      <c r="J34" s="25">
        <v>48</v>
      </c>
      <c r="K34" s="25">
        <v>104</v>
      </c>
      <c r="L34" s="25">
        <v>7</v>
      </c>
      <c r="M34" s="25" t="s">
        <v>21</v>
      </c>
      <c r="N34" s="25">
        <v>66.7</v>
      </c>
      <c r="O34" s="25">
        <v>220</v>
      </c>
      <c r="P34" s="25">
        <v>0</v>
      </c>
    </row>
    <row r="35" spans="1:16" x14ac:dyDescent="0.25">
      <c r="A35" s="26">
        <v>45406.262060185189</v>
      </c>
      <c r="B35" s="25" t="s">
        <v>28</v>
      </c>
      <c r="C35" s="25" t="s">
        <v>102</v>
      </c>
      <c r="D35" s="25" t="s">
        <v>103</v>
      </c>
      <c r="E35" s="25">
        <v>223</v>
      </c>
      <c r="F35" s="25" t="s">
        <v>19</v>
      </c>
      <c r="G35" s="25">
        <v>24</v>
      </c>
      <c r="H35" s="25">
        <v>60.2</v>
      </c>
      <c r="I35" s="25" t="s">
        <v>26</v>
      </c>
      <c r="J35" s="25">
        <v>45</v>
      </c>
      <c r="K35" s="25">
        <v>292</v>
      </c>
      <c r="L35" s="25">
        <v>6</v>
      </c>
      <c r="M35" s="25" t="s">
        <v>27</v>
      </c>
      <c r="N35" s="25">
        <v>78.400000000000006</v>
      </c>
      <c r="O35" s="25">
        <v>205</v>
      </c>
      <c r="P35" s="25">
        <v>1</v>
      </c>
    </row>
    <row r="36" spans="1:16" x14ac:dyDescent="0.25">
      <c r="A36" s="26">
        <v>45632.795289351852</v>
      </c>
      <c r="B36" s="25" t="s">
        <v>48</v>
      </c>
      <c r="C36" s="25" t="s">
        <v>104</v>
      </c>
      <c r="D36" s="25" t="s">
        <v>105</v>
      </c>
      <c r="E36" s="25">
        <v>200</v>
      </c>
      <c r="F36" s="25" t="s">
        <v>34</v>
      </c>
      <c r="G36" s="25">
        <v>28.1</v>
      </c>
      <c r="H36" s="25">
        <v>72.099999999999994</v>
      </c>
      <c r="I36" s="25" t="s">
        <v>20</v>
      </c>
      <c r="J36" s="25">
        <v>28</v>
      </c>
      <c r="K36" s="25">
        <v>129</v>
      </c>
      <c r="L36" s="25">
        <v>9</v>
      </c>
      <c r="M36" s="25" t="s">
        <v>21</v>
      </c>
      <c r="N36" s="25">
        <v>74.3</v>
      </c>
      <c r="O36" s="25">
        <v>134</v>
      </c>
      <c r="P36" s="25">
        <v>0</v>
      </c>
    </row>
    <row r="37" spans="1:16" ht="30" customHeight="1" x14ac:dyDescent="0.25">
      <c r="A37" s="26">
        <v>45412.495335648149</v>
      </c>
      <c r="B37" s="25" t="s">
        <v>31</v>
      </c>
      <c r="C37" s="25" t="s">
        <v>106</v>
      </c>
      <c r="D37" s="25" t="s">
        <v>107</v>
      </c>
      <c r="E37" s="25">
        <v>466</v>
      </c>
      <c r="F37" s="25" t="s">
        <v>25</v>
      </c>
      <c r="G37" s="25">
        <v>26.1</v>
      </c>
      <c r="H37" s="25">
        <v>72.099999999999994</v>
      </c>
      <c r="I37" s="25" t="s">
        <v>20</v>
      </c>
      <c r="J37" s="25">
        <v>54</v>
      </c>
      <c r="K37" s="25">
        <v>475</v>
      </c>
      <c r="L37" s="25">
        <v>9</v>
      </c>
      <c r="M37" s="25" t="s">
        <v>51</v>
      </c>
      <c r="N37" s="25">
        <v>83.4</v>
      </c>
      <c r="O37" s="25">
        <v>222</v>
      </c>
      <c r="P37" s="25">
        <v>0</v>
      </c>
    </row>
    <row r="38" spans="1:16" ht="30" customHeight="1" x14ac:dyDescent="0.25">
      <c r="A38" s="26">
        <v>45554.954062500001</v>
      </c>
      <c r="B38" s="25" t="s">
        <v>56</v>
      </c>
      <c r="C38" s="25" t="s">
        <v>108</v>
      </c>
      <c r="D38" s="25" t="s">
        <v>109</v>
      </c>
      <c r="E38" s="25">
        <v>474</v>
      </c>
      <c r="F38" s="25" t="s">
        <v>25</v>
      </c>
      <c r="G38" s="25">
        <v>27.7</v>
      </c>
      <c r="H38" s="25">
        <v>71.2</v>
      </c>
      <c r="I38" s="25" t="s">
        <v>26</v>
      </c>
      <c r="J38" s="25">
        <v>50</v>
      </c>
      <c r="K38" s="25">
        <v>311</v>
      </c>
      <c r="L38" s="25">
        <v>3</v>
      </c>
      <c r="M38" s="25" t="s">
        <v>51</v>
      </c>
      <c r="N38" s="25">
        <v>91.6</v>
      </c>
      <c r="O38" s="25">
        <v>266</v>
      </c>
      <c r="P38" s="25">
        <v>1</v>
      </c>
    </row>
    <row r="39" spans="1:16" x14ac:dyDescent="0.25">
      <c r="A39" s="26">
        <v>45648.63071759259</v>
      </c>
      <c r="B39" s="25" t="s">
        <v>22</v>
      </c>
      <c r="C39" s="25" t="s">
        <v>110</v>
      </c>
      <c r="D39" s="25" t="s">
        <v>111</v>
      </c>
      <c r="E39" s="25">
        <v>490</v>
      </c>
      <c r="F39" s="25" t="s">
        <v>34</v>
      </c>
      <c r="G39" s="25">
        <v>23.1</v>
      </c>
      <c r="H39" s="25">
        <v>75.2</v>
      </c>
      <c r="I39" s="25" t="s">
        <v>26</v>
      </c>
      <c r="J39" s="25">
        <v>14</v>
      </c>
      <c r="K39" s="25">
        <v>460</v>
      </c>
      <c r="L39" s="25">
        <v>7</v>
      </c>
      <c r="M39" s="25" t="s">
        <v>21</v>
      </c>
      <c r="N39" s="25">
        <v>87.8</v>
      </c>
      <c r="O39" s="25">
        <v>261</v>
      </c>
      <c r="P39" s="25">
        <v>1</v>
      </c>
    </row>
    <row r="40" spans="1:16" x14ac:dyDescent="0.25">
      <c r="A40" s="26">
        <v>45519.239629629628</v>
      </c>
      <c r="B40" s="25" t="s">
        <v>64</v>
      </c>
      <c r="C40" s="25" t="s">
        <v>112</v>
      </c>
      <c r="D40" s="25" t="s">
        <v>113</v>
      </c>
      <c r="E40" s="25">
        <v>126</v>
      </c>
      <c r="F40" s="25" t="s">
        <v>34</v>
      </c>
      <c r="G40" s="25">
        <v>29.6</v>
      </c>
      <c r="H40" s="25">
        <v>67.599999999999994</v>
      </c>
      <c r="I40" s="25" t="s">
        <v>20</v>
      </c>
      <c r="J40" s="25">
        <v>19</v>
      </c>
      <c r="K40" s="25">
        <v>201</v>
      </c>
      <c r="L40" s="25">
        <v>9</v>
      </c>
      <c r="M40" s="25" t="s">
        <v>27</v>
      </c>
      <c r="N40" s="25">
        <v>84.1</v>
      </c>
      <c r="O40" s="25">
        <v>255</v>
      </c>
      <c r="P40" s="25">
        <v>0</v>
      </c>
    </row>
    <row r="41" spans="1:16" x14ac:dyDescent="0.25">
      <c r="A41" s="26">
        <v>45367.470625000002</v>
      </c>
      <c r="B41" s="25" t="s">
        <v>16</v>
      </c>
      <c r="C41" s="25" t="s">
        <v>114</v>
      </c>
      <c r="D41" s="25" t="s">
        <v>115</v>
      </c>
      <c r="E41" s="25">
        <v>164</v>
      </c>
      <c r="F41" s="25" t="s">
        <v>25</v>
      </c>
      <c r="G41" s="25">
        <v>18.2</v>
      </c>
      <c r="H41" s="25">
        <v>76.400000000000006</v>
      </c>
      <c r="I41" s="25" t="s">
        <v>38</v>
      </c>
      <c r="J41" s="25">
        <v>45</v>
      </c>
      <c r="K41" s="25">
        <v>466</v>
      </c>
      <c r="L41" s="25">
        <v>7</v>
      </c>
      <c r="M41" s="25" t="s">
        <v>21</v>
      </c>
      <c r="N41" s="25">
        <v>98.1</v>
      </c>
      <c r="O41" s="25">
        <v>196</v>
      </c>
      <c r="P41" s="25">
        <v>0</v>
      </c>
    </row>
    <row r="42" spans="1:16" ht="30" customHeight="1" x14ac:dyDescent="0.25">
      <c r="A42" s="26">
        <v>45654.486747685187</v>
      </c>
      <c r="B42" s="25" t="s">
        <v>48</v>
      </c>
      <c r="C42" s="25" t="s">
        <v>116</v>
      </c>
      <c r="D42" s="25" t="s">
        <v>117</v>
      </c>
      <c r="E42" s="25">
        <v>477</v>
      </c>
      <c r="F42" s="25" t="s">
        <v>19</v>
      </c>
      <c r="G42" s="25">
        <v>19.2</v>
      </c>
      <c r="H42" s="25">
        <v>79.400000000000006</v>
      </c>
      <c r="I42" s="25" t="s">
        <v>38</v>
      </c>
      <c r="J42" s="25">
        <v>12</v>
      </c>
      <c r="K42" s="25">
        <v>310</v>
      </c>
      <c r="L42" s="25">
        <v>5</v>
      </c>
      <c r="M42" s="25" t="s">
        <v>51</v>
      </c>
      <c r="N42" s="25">
        <v>63.7</v>
      </c>
      <c r="O42" s="25">
        <v>129</v>
      </c>
      <c r="P42" s="25">
        <v>1</v>
      </c>
    </row>
    <row r="43" spans="1:16" x14ac:dyDescent="0.25">
      <c r="A43" s="26">
        <v>45326.788865740738</v>
      </c>
      <c r="B43" s="25" t="s">
        <v>64</v>
      </c>
      <c r="C43" s="25" t="s">
        <v>118</v>
      </c>
      <c r="D43" s="25" t="s">
        <v>119</v>
      </c>
      <c r="E43" s="25">
        <v>245</v>
      </c>
      <c r="F43" s="25" t="s">
        <v>25</v>
      </c>
      <c r="G43" s="25">
        <v>24.2</v>
      </c>
      <c r="H43" s="25">
        <v>56.9</v>
      </c>
      <c r="I43" s="25" t="s">
        <v>20</v>
      </c>
      <c r="J43" s="25">
        <v>39</v>
      </c>
      <c r="K43" s="25">
        <v>379</v>
      </c>
      <c r="L43" s="25">
        <v>2</v>
      </c>
      <c r="M43" s="25" t="s">
        <v>35</v>
      </c>
      <c r="N43" s="25">
        <v>66.400000000000006</v>
      </c>
      <c r="O43" s="25">
        <v>183</v>
      </c>
      <c r="P43" s="25">
        <v>0</v>
      </c>
    </row>
    <row r="44" spans="1:16" x14ac:dyDescent="0.25">
      <c r="A44" s="26">
        <v>45482.092291666668</v>
      </c>
      <c r="B44" s="25" t="s">
        <v>64</v>
      </c>
      <c r="C44" s="25" t="s">
        <v>120</v>
      </c>
      <c r="D44" s="25" t="s">
        <v>121</v>
      </c>
      <c r="E44" s="25">
        <v>172</v>
      </c>
      <c r="F44" s="25" t="s">
        <v>19</v>
      </c>
      <c r="G44" s="25">
        <v>25.2</v>
      </c>
      <c r="H44" s="25">
        <v>67.599999999999994</v>
      </c>
      <c r="I44" s="25" t="s">
        <v>38</v>
      </c>
      <c r="J44" s="25">
        <v>40</v>
      </c>
      <c r="K44" s="25">
        <v>274</v>
      </c>
      <c r="L44" s="25">
        <v>7</v>
      </c>
      <c r="M44" s="25" t="s">
        <v>27</v>
      </c>
      <c r="N44" s="25">
        <v>66.3</v>
      </c>
      <c r="O44" s="25">
        <v>170</v>
      </c>
      <c r="P44" s="25">
        <v>1</v>
      </c>
    </row>
    <row r="45" spans="1:16" ht="30" customHeight="1" x14ac:dyDescent="0.25">
      <c r="A45" s="26">
        <v>45627.996018518519</v>
      </c>
      <c r="B45" s="25" t="s">
        <v>16</v>
      </c>
      <c r="C45" s="25" t="s">
        <v>122</v>
      </c>
      <c r="D45" s="25" t="s">
        <v>123</v>
      </c>
      <c r="E45" s="25">
        <v>206</v>
      </c>
      <c r="F45" s="25" t="s">
        <v>19</v>
      </c>
      <c r="G45" s="25">
        <v>20.7</v>
      </c>
      <c r="H45" s="25">
        <v>77.5</v>
      </c>
      <c r="I45" s="25" t="s">
        <v>38</v>
      </c>
      <c r="J45" s="25">
        <v>15</v>
      </c>
      <c r="K45" s="25">
        <v>308</v>
      </c>
      <c r="L45" s="25">
        <v>2</v>
      </c>
      <c r="M45" s="25" t="s">
        <v>51</v>
      </c>
      <c r="N45" s="25">
        <v>63.9</v>
      </c>
      <c r="O45" s="25">
        <v>209</v>
      </c>
      <c r="P45" s="25">
        <v>1</v>
      </c>
    </row>
    <row r="46" spans="1:16" x14ac:dyDescent="0.25">
      <c r="A46" s="26">
        <v>45465.559745370374</v>
      </c>
      <c r="B46" s="25" t="s">
        <v>22</v>
      </c>
      <c r="C46" s="25" t="s">
        <v>124</v>
      </c>
      <c r="D46" s="25" t="s">
        <v>125</v>
      </c>
      <c r="E46" s="25">
        <v>310</v>
      </c>
      <c r="F46" s="25" t="s">
        <v>25</v>
      </c>
      <c r="G46" s="25">
        <v>18.7</v>
      </c>
      <c r="H46" s="25">
        <v>54.7</v>
      </c>
      <c r="I46" s="25" t="s">
        <v>38</v>
      </c>
      <c r="J46" s="25">
        <v>52</v>
      </c>
      <c r="K46" s="25">
        <v>232</v>
      </c>
      <c r="L46" s="25">
        <v>9</v>
      </c>
      <c r="M46" s="25" t="s">
        <v>35</v>
      </c>
      <c r="N46" s="25">
        <v>72.599999999999994</v>
      </c>
      <c r="O46" s="25">
        <v>113</v>
      </c>
      <c r="P46" s="25">
        <v>0</v>
      </c>
    </row>
    <row r="47" spans="1:16" x14ac:dyDescent="0.25">
      <c r="A47" s="26">
        <v>45500.660254629627</v>
      </c>
      <c r="B47" s="25" t="s">
        <v>48</v>
      </c>
      <c r="C47" s="25" t="s">
        <v>126</v>
      </c>
      <c r="D47" s="25" t="s">
        <v>127</v>
      </c>
      <c r="E47" s="25">
        <v>225</v>
      </c>
      <c r="F47" s="25" t="s">
        <v>34</v>
      </c>
      <c r="G47" s="25">
        <v>19</v>
      </c>
      <c r="H47" s="25">
        <v>63</v>
      </c>
      <c r="I47" s="25" t="s">
        <v>26</v>
      </c>
      <c r="J47" s="25">
        <v>17</v>
      </c>
      <c r="K47" s="25">
        <v>282</v>
      </c>
      <c r="L47" s="25">
        <v>6</v>
      </c>
      <c r="M47" s="25" t="s">
        <v>27</v>
      </c>
      <c r="N47" s="25">
        <v>99.6</v>
      </c>
      <c r="O47" s="25">
        <v>265</v>
      </c>
      <c r="P47" s="25">
        <v>1</v>
      </c>
    </row>
    <row r="48" spans="1:16" x14ac:dyDescent="0.25">
      <c r="A48" s="26">
        <v>45540.591666666667</v>
      </c>
      <c r="B48" s="25" t="s">
        <v>61</v>
      </c>
      <c r="C48" s="25" t="s">
        <v>128</v>
      </c>
      <c r="D48" s="25" t="s">
        <v>129</v>
      </c>
      <c r="E48" s="25">
        <v>303</v>
      </c>
      <c r="F48" s="25" t="s">
        <v>19</v>
      </c>
      <c r="G48" s="25">
        <v>20.7</v>
      </c>
      <c r="H48" s="25">
        <v>70.599999999999994</v>
      </c>
      <c r="I48" s="25" t="s">
        <v>38</v>
      </c>
      <c r="J48" s="25">
        <v>47</v>
      </c>
      <c r="K48" s="25">
        <v>143</v>
      </c>
      <c r="L48" s="25">
        <v>10</v>
      </c>
      <c r="M48" s="25" t="s">
        <v>21</v>
      </c>
      <c r="N48" s="25">
        <v>98.1</v>
      </c>
      <c r="O48" s="25">
        <v>123</v>
      </c>
      <c r="P48" s="25">
        <v>1</v>
      </c>
    </row>
    <row r="49" spans="1:16" x14ac:dyDescent="0.25">
      <c r="A49" s="26">
        <v>45607.923530092594</v>
      </c>
      <c r="B49" s="25" t="s">
        <v>95</v>
      </c>
      <c r="C49" s="25" t="s">
        <v>130</v>
      </c>
      <c r="D49" s="25" t="s">
        <v>131</v>
      </c>
      <c r="E49" s="25">
        <v>237</v>
      </c>
      <c r="F49" s="25" t="s">
        <v>19</v>
      </c>
      <c r="G49" s="25">
        <v>20.7</v>
      </c>
      <c r="H49" s="25">
        <v>78.3</v>
      </c>
      <c r="I49" s="25" t="s">
        <v>26</v>
      </c>
      <c r="J49" s="25">
        <v>35</v>
      </c>
      <c r="K49" s="25">
        <v>491</v>
      </c>
      <c r="L49" s="25">
        <v>2</v>
      </c>
      <c r="M49" s="25" t="s">
        <v>21</v>
      </c>
      <c r="N49" s="25">
        <v>80.7</v>
      </c>
      <c r="O49" s="25">
        <v>189</v>
      </c>
      <c r="P49" s="25">
        <v>1</v>
      </c>
    </row>
    <row r="50" spans="1:16" ht="30" customHeight="1" x14ac:dyDescent="0.25">
      <c r="A50" s="26">
        <v>45413.934849537036</v>
      </c>
      <c r="B50" s="25" t="s">
        <v>22</v>
      </c>
      <c r="C50" s="25" t="s">
        <v>132</v>
      </c>
      <c r="D50" s="25" t="s">
        <v>133</v>
      </c>
      <c r="E50" s="25">
        <v>172</v>
      </c>
      <c r="F50" s="25" t="s">
        <v>34</v>
      </c>
      <c r="G50" s="25">
        <v>18.2</v>
      </c>
      <c r="H50" s="25">
        <v>79.900000000000006</v>
      </c>
      <c r="I50" s="25" t="s">
        <v>38</v>
      </c>
      <c r="J50" s="25">
        <v>46</v>
      </c>
      <c r="K50" s="25">
        <v>258</v>
      </c>
      <c r="L50" s="25">
        <v>3</v>
      </c>
      <c r="M50" s="25" t="s">
        <v>51</v>
      </c>
      <c r="N50" s="25">
        <v>60.1</v>
      </c>
      <c r="O50" s="25">
        <v>154</v>
      </c>
      <c r="P50" s="25">
        <v>0</v>
      </c>
    </row>
    <row r="51" spans="1:16" x14ac:dyDescent="0.25">
      <c r="A51" s="26">
        <v>45499.846539351849</v>
      </c>
      <c r="B51" s="25" t="s">
        <v>31</v>
      </c>
      <c r="C51" s="25" t="s">
        <v>134</v>
      </c>
      <c r="D51" s="25" t="s">
        <v>135</v>
      </c>
      <c r="E51" s="25">
        <v>214</v>
      </c>
      <c r="F51" s="25" t="s">
        <v>25</v>
      </c>
      <c r="G51" s="25">
        <v>21.7</v>
      </c>
      <c r="H51" s="25">
        <v>77</v>
      </c>
      <c r="I51" s="25" t="s">
        <v>26</v>
      </c>
      <c r="J51" s="25">
        <v>47</v>
      </c>
      <c r="K51" s="25">
        <v>187</v>
      </c>
      <c r="L51" s="25">
        <v>10</v>
      </c>
      <c r="M51" s="25" t="s">
        <v>21</v>
      </c>
      <c r="N51" s="25">
        <v>97.4</v>
      </c>
      <c r="O51" s="25">
        <v>175</v>
      </c>
      <c r="P51" s="25">
        <v>1</v>
      </c>
    </row>
    <row r="52" spans="1:16" ht="30" customHeight="1" x14ac:dyDescent="0.25">
      <c r="A52" s="26">
        <v>45513.05327546296</v>
      </c>
      <c r="B52" s="25" t="s">
        <v>61</v>
      </c>
      <c r="C52" s="25" t="s">
        <v>136</v>
      </c>
      <c r="D52" s="25" t="s">
        <v>137</v>
      </c>
      <c r="E52" s="25">
        <v>330</v>
      </c>
      <c r="F52" s="25" t="s">
        <v>19</v>
      </c>
      <c r="G52" s="25">
        <v>24</v>
      </c>
      <c r="H52" s="25">
        <v>52.9</v>
      </c>
      <c r="I52" s="25" t="s">
        <v>26</v>
      </c>
      <c r="J52" s="25">
        <v>14</v>
      </c>
      <c r="K52" s="25">
        <v>425</v>
      </c>
      <c r="L52" s="25">
        <v>1</v>
      </c>
      <c r="M52" s="25" t="s">
        <v>51</v>
      </c>
      <c r="N52" s="25">
        <v>89.8</v>
      </c>
      <c r="O52" s="25">
        <v>289</v>
      </c>
      <c r="P52" s="25">
        <v>1</v>
      </c>
    </row>
    <row r="53" spans="1:16" x14ac:dyDescent="0.25">
      <c r="A53" s="26">
        <v>45320.877870370372</v>
      </c>
      <c r="B53" s="25" t="s">
        <v>64</v>
      </c>
      <c r="C53" s="25" t="s">
        <v>138</v>
      </c>
      <c r="D53" s="25" t="s">
        <v>139</v>
      </c>
      <c r="E53" s="25">
        <v>130</v>
      </c>
      <c r="F53" s="25" t="s">
        <v>34</v>
      </c>
      <c r="G53" s="25">
        <v>18.100000000000001</v>
      </c>
      <c r="H53" s="25">
        <v>78.3</v>
      </c>
      <c r="I53" s="25" t="s">
        <v>26</v>
      </c>
      <c r="J53" s="25">
        <v>39</v>
      </c>
      <c r="K53" s="25">
        <v>424</v>
      </c>
      <c r="L53" s="25">
        <v>9</v>
      </c>
      <c r="M53" s="25" t="s">
        <v>35</v>
      </c>
      <c r="N53" s="25">
        <v>92.3</v>
      </c>
      <c r="O53" s="25">
        <v>143</v>
      </c>
      <c r="P53" s="25">
        <v>1</v>
      </c>
    </row>
    <row r="54" spans="1:16" x14ac:dyDescent="0.25">
      <c r="A54" s="26">
        <v>45374.533032407409</v>
      </c>
      <c r="B54" s="25" t="s">
        <v>48</v>
      </c>
      <c r="C54" s="25" t="s">
        <v>140</v>
      </c>
      <c r="D54" s="25" t="s">
        <v>141</v>
      </c>
      <c r="E54" s="25">
        <v>364</v>
      </c>
      <c r="F54" s="25" t="s">
        <v>19</v>
      </c>
      <c r="G54" s="25">
        <v>26.9</v>
      </c>
      <c r="H54" s="25">
        <v>67.8</v>
      </c>
      <c r="I54" s="25" t="s">
        <v>38</v>
      </c>
      <c r="J54" s="25">
        <v>55</v>
      </c>
      <c r="K54" s="25">
        <v>467</v>
      </c>
      <c r="L54" s="25">
        <v>7</v>
      </c>
      <c r="M54" s="25" t="s">
        <v>27</v>
      </c>
      <c r="N54" s="25">
        <v>95.2</v>
      </c>
      <c r="O54" s="25">
        <v>128</v>
      </c>
      <c r="P54" s="25">
        <v>1</v>
      </c>
    </row>
    <row r="55" spans="1:16" x14ac:dyDescent="0.25">
      <c r="A55" s="26">
        <v>45582.557303240741</v>
      </c>
      <c r="B55" s="25" t="s">
        <v>56</v>
      </c>
      <c r="C55" s="25" t="s">
        <v>142</v>
      </c>
      <c r="D55" s="25" t="s">
        <v>143</v>
      </c>
      <c r="E55" s="25">
        <v>430</v>
      </c>
      <c r="F55" s="25" t="s">
        <v>19</v>
      </c>
      <c r="G55" s="25">
        <v>26.4</v>
      </c>
      <c r="H55" s="25">
        <v>68.400000000000006</v>
      </c>
      <c r="I55" s="25" t="s">
        <v>26</v>
      </c>
      <c r="J55" s="25">
        <v>16</v>
      </c>
      <c r="K55" s="25">
        <v>277</v>
      </c>
      <c r="L55" s="25">
        <v>8</v>
      </c>
      <c r="M55" s="25" t="s">
        <v>21</v>
      </c>
      <c r="N55" s="25">
        <v>71.900000000000006</v>
      </c>
      <c r="O55" s="25">
        <v>137</v>
      </c>
      <c r="P55" s="25">
        <v>1</v>
      </c>
    </row>
    <row r="56" spans="1:16" x14ac:dyDescent="0.25">
      <c r="A56" s="26">
        <v>45484.296840277777</v>
      </c>
      <c r="B56" s="25" t="s">
        <v>56</v>
      </c>
      <c r="C56" s="25" t="s">
        <v>144</v>
      </c>
      <c r="D56" s="25" t="s">
        <v>145</v>
      </c>
      <c r="E56" s="25">
        <v>187</v>
      </c>
      <c r="F56" s="25" t="s">
        <v>25</v>
      </c>
      <c r="G56" s="25">
        <v>18.600000000000001</v>
      </c>
      <c r="H56" s="25">
        <v>67.7</v>
      </c>
      <c r="I56" s="25" t="s">
        <v>38</v>
      </c>
      <c r="J56" s="25">
        <v>12</v>
      </c>
      <c r="K56" s="25">
        <v>375</v>
      </c>
      <c r="L56" s="25">
        <v>5</v>
      </c>
      <c r="M56" s="25" t="s">
        <v>21</v>
      </c>
      <c r="N56" s="25">
        <v>85.4</v>
      </c>
      <c r="O56" s="25">
        <v>140</v>
      </c>
      <c r="P56" s="25">
        <v>0</v>
      </c>
    </row>
    <row r="57" spans="1:16" x14ac:dyDescent="0.25">
      <c r="A57" s="26">
        <v>45637.706805555557</v>
      </c>
      <c r="B57" s="25" t="s">
        <v>64</v>
      </c>
      <c r="C57" s="25" t="s">
        <v>146</v>
      </c>
      <c r="D57" s="25" t="s">
        <v>147</v>
      </c>
      <c r="E57" s="25">
        <v>323</v>
      </c>
      <c r="F57" s="25" t="s">
        <v>19</v>
      </c>
      <c r="G57" s="25">
        <v>28.3</v>
      </c>
      <c r="H57" s="25">
        <v>61.2</v>
      </c>
      <c r="I57" s="25" t="s">
        <v>20</v>
      </c>
      <c r="J57" s="25">
        <v>52</v>
      </c>
      <c r="K57" s="25">
        <v>139</v>
      </c>
      <c r="L57" s="25">
        <v>4</v>
      </c>
      <c r="M57" s="25" t="s">
        <v>27</v>
      </c>
      <c r="N57" s="25">
        <v>72.400000000000006</v>
      </c>
      <c r="O57" s="25">
        <v>127</v>
      </c>
      <c r="P57" s="25">
        <v>1</v>
      </c>
    </row>
    <row r="58" spans="1:16" x14ac:dyDescent="0.25">
      <c r="A58" s="26">
        <v>45301.045428240737</v>
      </c>
      <c r="B58" s="25" t="s">
        <v>31</v>
      </c>
      <c r="C58" s="25" t="s">
        <v>148</v>
      </c>
      <c r="D58" s="25" t="s">
        <v>149</v>
      </c>
      <c r="E58" s="25">
        <v>386</v>
      </c>
      <c r="F58" s="25" t="s">
        <v>34</v>
      </c>
      <c r="G58" s="25">
        <v>26.6</v>
      </c>
      <c r="H58" s="25">
        <v>78.2</v>
      </c>
      <c r="I58" s="25" t="s">
        <v>20</v>
      </c>
      <c r="J58" s="25">
        <v>19</v>
      </c>
      <c r="K58" s="25">
        <v>456</v>
      </c>
      <c r="L58" s="25">
        <v>7</v>
      </c>
      <c r="M58" s="25" t="s">
        <v>35</v>
      </c>
      <c r="N58" s="25">
        <v>87.6</v>
      </c>
      <c r="O58" s="25">
        <v>290</v>
      </c>
      <c r="P58" s="25">
        <v>0</v>
      </c>
    </row>
    <row r="59" spans="1:16" x14ac:dyDescent="0.25">
      <c r="A59" s="26">
        <v>45460.332916666666</v>
      </c>
      <c r="B59" s="25" t="s">
        <v>31</v>
      </c>
      <c r="C59" s="25" t="s">
        <v>150</v>
      </c>
      <c r="D59" s="25" t="s">
        <v>151</v>
      </c>
      <c r="E59" s="25">
        <v>422</v>
      </c>
      <c r="F59" s="25" t="s">
        <v>19</v>
      </c>
      <c r="G59" s="25">
        <v>19.600000000000001</v>
      </c>
      <c r="H59" s="25">
        <v>53.3</v>
      </c>
      <c r="I59" s="25" t="s">
        <v>26</v>
      </c>
      <c r="J59" s="25">
        <v>40</v>
      </c>
      <c r="K59" s="25">
        <v>205</v>
      </c>
      <c r="L59" s="25">
        <v>5</v>
      </c>
      <c r="M59" s="25" t="s">
        <v>27</v>
      </c>
      <c r="N59" s="25">
        <v>86.1</v>
      </c>
      <c r="O59" s="25">
        <v>242</v>
      </c>
      <c r="P59" s="25">
        <v>1</v>
      </c>
    </row>
    <row r="60" spans="1:16" x14ac:dyDescent="0.25">
      <c r="A60" s="26">
        <v>45468.078101851854</v>
      </c>
      <c r="B60" s="25" t="s">
        <v>31</v>
      </c>
      <c r="C60" s="25" t="s">
        <v>152</v>
      </c>
      <c r="D60" s="25" t="s">
        <v>153</v>
      </c>
      <c r="E60" s="25">
        <v>433</v>
      </c>
      <c r="F60" s="25" t="s">
        <v>19</v>
      </c>
      <c r="G60" s="25">
        <v>24</v>
      </c>
      <c r="H60" s="25">
        <v>77.8</v>
      </c>
      <c r="I60" s="25" t="s">
        <v>38</v>
      </c>
      <c r="J60" s="25">
        <v>37</v>
      </c>
      <c r="K60" s="25">
        <v>173</v>
      </c>
      <c r="L60" s="25">
        <v>9</v>
      </c>
      <c r="M60" s="25" t="s">
        <v>27</v>
      </c>
      <c r="N60" s="25">
        <v>89.6</v>
      </c>
      <c r="O60" s="25">
        <v>143</v>
      </c>
      <c r="P60" s="25">
        <v>1</v>
      </c>
    </row>
    <row r="61" spans="1:16" x14ac:dyDescent="0.25">
      <c r="A61" s="26">
        <v>45399.842569444445</v>
      </c>
      <c r="B61" s="25" t="s">
        <v>31</v>
      </c>
      <c r="C61" s="25" t="s">
        <v>154</v>
      </c>
      <c r="D61" s="25" t="s">
        <v>155</v>
      </c>
      <c r="E61" s="25">
        <v>318</v>
      </c>
      <c r="F61" s="25" t="s">
        <v>34</v>
      </c>
      <c r="G61" s="25">
        <v>26</v>
      </c>
      <c r="H61" s="25">
        <v>77.400000000000006</v>
      </c>
      <c r="I61" s="25" t="s">
        <v>38</v>
      </c>
      <c r="J61" s="25">
        <v>19</v>
      </c>
      <c r="K61" s="25">
        <v>314</v>
      </c>
      <c r="L61" s="25">
        <v>2</v>
      </c>
      <c r="M61" s="25" t="s">
        <v>21</v>
      </c>
      <c r="N61" s="25">
        <v>70.2</v>
      </c>
      <c r="O61" s="25">
        <v>250</v>
      </c>
      <c r="P61" s="25">
        <v>0</v>
      </c>
    </row>
    <row r="62" spans="1:16" ht="30" customHeight="1" x14ac:dyDescent="0.25">
      <c r="A62" s="26">
        <v>45574.768182870372</v>
      </c>
      <c r="B62" s="25" t="s">
        <v>31</v>
      </c>
      <c r="C62" s="25" t="s">
        <v>156</v>
      </c>
      <c r="D62" s="25" t="s">
        <v>157</v>
      </c>
      <c r="E62" s="25">
        <v>176</v>
      </c>
      <c r="F62" s="25" t="s">
        <v>25</v>
      </c>
      <c r="G62" s="25">
        <v>22.6</v>
      </c>
      <c r="H62" s="25">
        <v>73.3</v>
      </c>
      <c r="I62" s="25" t="s">
        <v>26</v>
      </c>
      <c r="J62" s="25">
        <v>37</v>
      </c>
      <c r="K62" s="25">
        <v>154</v>
      </c>
      <c r="L62" s="25">
        <v>4</v>
      </c>
      <c r="M62" s="25" t="s">
        <v>51</v>
      </c>
      <c r="N62" s="25">
        <v>91.4</v>
      </c>
      <c r="O62" s="25">
        <v>169</v>
      </c>
      <c r="P62" s="25">
        <v>1</v>
      </c>
    </row>
    <row r="63" spans="1:16" x14ac:dyDescent="0.25">
      <c r="A63" s="26">
        <v>45623.720682870371</v>
      </c>
      <c r="B63" s="25" t="s">
        <v>41</v>
      </c>
      <c r="C63" s="25" t="s">
        <v>158</v>
      </c>
      <c r="D63" s="25" t="s">
        <v>159</v>
      </c>
      <c r="E63" s="25">
        <v>125</v>
      </c>
      <c r="F63" s="25" t="s">
        <v>19</v>
      </c>
      <c r="G63" s="25">
        <v>23.4</v>
      </c>
      <c r="H63" s="25">
        <v>57.6</v>
      </c>
      <c r="I63" s="25" t="s">
        <v>26</v>
      </c>
      <c r="J63" s="25">
        <v>23</v>
      </c>
      <c r="K63" s="25">
        <v>191</v>
      </c>
      <c r="L63" s="25">
        <v>2</v>
      </c>
      <c r="M63" s="25" t="s">
        <v>35</v>
      </c>
      <c r="N63" s="25">
        <v>72</v>
      </c>
      <c r="O63" s="25">
        <v>241</v>
      </c>
      <c r="P63" s="25">
        <v>1</v>
      </c>
    </row>
    <row r="64" spans="1:16" x14ac:dyDescent="0.25">
      <c r="A64" s="26">
        <v>45455.117673611108</v>
      </c>
      <c r="B64" s="25" t="s">
        <v>22</v>
      </c>
      <c r="C64" s="25" t="s">
        <v>160</v>
      </c>
      <c r="D64" s="25" t="s">
        <v>161</v>
      </c>
      <c r="E64" s="25">
        <v>336</v>
      </c>
      <c r="F64" s="25" t="s">
        <v>25</v>
      </c>
      <c r="G64" s="25">
        <v>27.4</v>
      </c>
      <c r="H64" s="25">
        <v>58.9</v>
      </c>
      <c r="I64" s="25" t="s">
        <v>20</v>
      </c>
      <c r="J64" s="25">
        <v>49</v>
      </c>
      <c r="K64" s="25">
        <v>100</v>
      </c>
      <c r="L64" s="25">
        <v>10</v>
      </c>
      <c r="M64" s="25" t="s">
        <v>27</v>
      </c>
      <c r="N64" s="25">
        <v>70.7</v>
      </c>
      <c r="O64" s="25">
        <v>236</v>
      </c>
      <c r="P64" s="25">
        <v>0</v>
      </c>
    </row>
    <row r="65" spans="1:16" x14ac:dyDescent="0.25">
      <c r="A65" s="26">
        <v>45598.888726851852</v>
      </c>
      <c r="B65" s="25" t="s">
        <v>16</v>
      </c>
      <c r="C65" s="25" t="s">
        <v>162</v>
      </c>
      <c r="D65" s="25" t="s">
        <v>163</v>
      </c>
      <c r="E65" s="25">
        <v>244</v>
      </c>
      <c r="F65" s="25" t="s">
        <v>34</v>
      </c>
      <c r="G65" s="25">
        <v>21.3</v>
      </c>
      <c r="H65" s="25">
        <v>73.8</v>
      </c>
      <c r="I65" s="25" t="s">
        <v>26</v>
      </c>
      <c r="J65" s="25">
        <v>39</v>
      </c>
      <c r="K65" s="25">
        <v>229</v>
      </c>
      <c r="L65" s="25">
        <v>7</v>
      </c>
      <c r="M65" s="25" t="s">
        <v>21</v>
      </c>
      <c r="N65" s="25">
        <v>98.1</v>
      </c>
      <c r="O65" s="25">
        <v>197</v>
      </c>
      <c r="P65" s="25">
        <v>1</v>
      </c>
    </row>
    <row r="66" spans="1:16" x14ac:dyDescent="0.25">
      <c r="A66" s="26">
        <v>45351.633958333332</v>
      </c>
      <c r="B66" s="25" t="s">
        <v>41</v>
      </c>
      <c r="C66" s="25" t="s">
        <v>164</v>
      </c>
      <c r="D66" s="25" t="s">
        <v>165</v>
      </c>
      <c r="E66" s="25">
        <v>391</v>
      </c>
      <c r="F66" s="25" t="s">
        <v>25</v>
      </c>
      <c r="G66" s="25">
        <v>20.5</v>
      </c>
      <c r="H66" s="25">
        <v>71.2</v>
      </c>
      <c r="I66" s="25" t="s">
        <v>20</v>
      </c>
      <c r="J66" s="25">
        <v>12</v>
      </c>
      <c r="K66" s="25">
        <v>112</v>
      </c>
      <c r="L66" s="25">
        <v>7</v>
      </c>
      <c r="M66" s="25" t="s">
        <v>21</v>
      </c>
      <c r="N66" s="25">
        <v>78.3</v>
      </c>
      <c r="O66" s="25">
        <v>267</v>
      </c>
      <c r="P66" s="25">
        <v>0</v>
      </c>
    </row>
    <row r="67" spans="1:16" x14ac:dyDescent="0.25">
      <c r="A67" s="26">
        <v>45368.99114583333</v>
      </c>
      <c r="B67" s="25" t="s">
        <v>22</v>
      </c>
      <c r="C67" s="25" t="s">
        <v>166</v>
      </c>
      <c r="D67" s="25" t="s">
        <v>167</v>
      </c>
      <c r="E67" s="25">
        <v>425</v>
      </c>
      <c r="F67" s="25" t="s">
        <v>34</v>
      </c>
      <c r="G67" s="25">
        <v>24.2</v>
      </c>
      <c r="H67" s="25">
        <v>54.6</v>
      </c>
      <c r="I67" s="25" t="s">
        <v>20</v>
      </c>
      <c r="J67" s="25">
        <v>32</v>
      </c>
      <c r="K67" s="25">
        <v>193</v>
      </c>
      <c r="L67" s="25">
        <v>3</v>
      </c>
      <c r="M67" s="25" t="s">
        <v>27</v>
      </c>
      <c r="N67" s="25">
        <v>69.900000000000006</v>
      </c>
      <c r="O67" s="25">
        <v>260</v>
      </c>
      <c r="P67" s="25">
        <v>0</v>
      </c>
    </row>
    <row r="68" spans="1:16" x14ac:dyDescent="0.25">
      <c r="A68" s="26">
        <v>45621.443854166668</v>
      </c>
      <c r="B68" s="25" t="s">
        <v>64</v>
      </c>
      <c r="C68" s="25" t="s">
        <v>168</v>
      </c>
      <c r="D68" s="25" t="s">
        <v>169</v>
      </c>
      <c r="E68" s="25">
        <v>403</v>
      </c>
      <c r="F68" s="25" t="s">
        <v>25</v>
      </c>
      <c r="G68" s="25">
        <v>26.9</v>
      </c>
      <c r="H68" s="25">
        <v>60.6</v>
      </c>
      <c r="I68" s="25" t="s">
        <v>38</v>
      </c>
      <c r="J68" s="25">
        <v>50</v>
      </c>
      <c r="K68" s="25">
        <v>418</v>
      </c>
      <c r="L68" s="25">
        <v>1</v>
      </c>
      <c r="M68" s="25" t="s">
        <v>35</v>
      </c>
      <c r="N68" s="25">
        <v>67.8</v>
      </c>
      <c r="O68" s="25">
        <v>182</v>
      </c>
      <c r="P68" s="25">
        <v>0</v>
      </c>
    </row>
    <row r="69" spans="1:16" x14ac:dyDescent="0.25">
      <c r="A69" s="26">
        <v>45477.765648148146</v>
      </c>
      <c r="B69" s="25" t="s">
        <v>41</v>
      </c>
      <c r="C69" s="25" t="s">
        <v>170</v>
      </c>
      <c r="D69" s="25" t="s">
        <v>171</v>
      </c>
      <c r="E69" s="25">
        <v>438</v>
      </c>
      <c r="F69" s="25" t="s">
        <v>19</v>
      </c>
      <c r="G69" s="25">
        <v>26.5</v>
      </c>
      <c r="H69" s="25">
        <v>69.3</v>
      </c>
      <c r="I69" s="25" t="s">
        <v>26</v>
      </c>
      <c r="J69" s="25">
        <v>34</v>
      </c>
      <c r="K69" s="25">
        <v>378</v>
      </c>
      <c r="L69" s="25">
        <v>5</v>
      </c>
      <c r="M69" s="25" t="s">
        <v>27</v>
      </c>
      <c r="N69" s="25">
        <v>88.7</v>
      </c>
      <c r="O69" s="25">
        <v>256</v>
      </c>
      <c r="P69" s="25">
        <v>1</v>
      </c>
    </row>
    <row r="70" spans="1:16" x14ac:dyDescent="0.25">
      <c r="A70" s="26">
        <v>45370.224942129629</v>
      </c>
      <c r="B70" s="25" t="s">
        <v>95</v>
      </c>
      <c r="C70" s="25" t="s">
        <v>172</v>
      </c>
      <c r="D70" s="25" t="s">
        <v>173</v>
      </c>
      <c r="E70" s="25">
        <v>339</v>
      </c>
      <c r="F70" s="25" t="s">
        <v>25</v>
      </c>
      <c r="G70" s="25">
        <v>26.8</v>
      </c>
      <c r="H70" s="25">
        <v>64.5</v>
      </c>
      <c r="I70" s="25" t="s">
        <v>20</v>
      </c>
      <c r="J70" s="25">
        <v>24</v>
      </c>
      <c r="K70" s="25">
        <v>235</v>
      </c>
      <c r="L70" s="25">
        <v>6</v>
      </c>
      <c r="M70" s="25" t="s">
        <v>35</v>
      </c>
      <c r="N70" s="25">
        <v>69.3</v>
      </c>
      <c r="O70" s="25">
        <v>212</v>
      </c>
      <c r="P70" s="25">
        <v>0</v>
      </c>
    </row>
    <row r="71" spans="1:16" x14ac:dyDescent="0.25">
      <c r="A71" s="26">
        <v>45371.059293981481</v>
      </c>
      <c r="B71" s="25" t="s">
        <v>31</v>
      </c>
      <c r="C71" s="25" t="s">
        <v>174</v>
      </c>
      <c r="D71" s="25" t="s">
        <v>175</v>
      </c>
      <c r="E71" s="25">
        <v>203</v>
      </c>
      <c r="F71" s="25" t="s">
        <v>25</v>
      </c>
      <c r="G71" s="25">
        <v>18</v>
      </c>
      <c r="H71" s="25">
        <v>68.900000000000006</v>
      </c>
      <c r="I71" s="25" t="s">
        <v>26</v>
      </c>
      <c r="J71" s="25">
        <v>19</v>
      </c>
      <c r="K71" s="25">
        <v>370</v>
      </c>
      <c r="L71" s="25">
        <v>3</v>
      </c>
      <c r="M71" s="25" t="s">
        <v>35</v>
      </c>
      <c r="N71" s="25">
        <v>74.400000000000006</v>
      </c>
      <c r="O71" s="25">
        <v>254</v>
      </c>
      <c r="P71" s="25">
        <v>1</v>
      </c>
    </row>
    <row r="72" spans="1:16" x14ac:dyDescent="0.25">
      <c r="A72" s="26">
        <v>45491.47011574074</v>
      </c>
      <c r="B72" s="25" t="s">
        <v>41</v>
      </c>
      <c r="C72" s="25" t="s">
        <v>176</v>
      </c>
      <c r="D72" s="25" t="s">
        <v>177</v>
      </c>
      <c r="E72" s="25">
        <v>313</v>
      </c>
      <c r="F72" s="25" t="s">
        <v>34</v>
      </c>
      <c r="G72" s="25">
        <v>23.6</v>
      </c>
      <c r="H72" s="25">
        <v>65.2</v>
      </c>
      <c r="I72" s="25" t="s">
        <v>38</v>
      </c>
      <c r="J72" s="25">
        <v>49</v>
      </c>
      <c r="K72" s="25">
        <v>137</v>
      </c>
      <c r="L72" s="25">
        <v>6</v>
      </c>
      <c r="M72" s="25" t="s">
        <v>21</v>
      </c>
      <c r="N72" s="25">
        <v>100</v>
      </c>
      <c r="O72" s="25">
        <v>122</v>
      </c>
      <c r="P72" s="25">
        <v>0</v>
      </c>
    </row>
    <row r="73" spans="1:16" x14ac:dyDescent="0.25">
      <c r="A73" s="26">
        <v>45514.36141203704</v>
      </c>
      <c r="B73" s="25" t="s">
        <v>48</v>
      </c>
      <c r="C73" s="25" t="s">
        <v>178</v>
      </c>
      <c r="D73" s="25" t="s">
        <v>179</v>
      </c>
      <c r="E73" s="25">
        <v>261</v>
      </c>
      <c r="F73" s="25" t="s">
        <v>34</v>
      </c>
      <c r="G73" s="25">
        <v>27.1</v>
      </c>
      <c r="H73" s="25">
        <v>67.3</v>
      </c>
      <c r="I73" s="25" t="s">
        <v>20</v>
      </c>
      <c r="J73" s="25">
        <v>35</v>
      </c>
      <c r="K73" s="25">
        <v>496</v>
      </c>
      <c r="L73" s="25">
        <v>2</v>
      </c>
      <c r="M73" s="25" t="s">
        <v>27</v>
      </c>
      <c r="N73" s="25">
        <v>71.3</v>
      </c>
      <c r="O73" s="25">
        <v>264</v>
      </c>
      <c r="P73" s="25">
        <v>0</v>
      </c>
    </row>
    <row r="74" spans="1:16" x14ac:dyDescent="0.25">
      <c r="A74" s="26">
        <v>45342.341134259259</v>
      </c>
      <c r="B74" s="25" t="s">
        <v>56</v>
      </c>
      <c r="C74" s="25" t="s">
        <v>180</v>
      </c>
      <c r="D74" s="25" t="s">
        <v>181</v>
      </c>
      <c r="E74" s="25">
        <v>179</v>
      </c>
      <c r="F74" s="25" t="s">
        <v>25</v>
      </c>
      <c r="G74" s="25">
        <v>28.5</v>
      </c>
      <c r="H74" s="25">
        <v>51</v>
      </c>
      <c r="I74" s="25" t="s">
        <v>20</v>
      </c>
      <c r="J74" s="25">
        <v>12</v>
      </c>
      <c r="K74" s="25">
        <v>354</v>
      </c>
      <c r="L74" s="25">
        <v>3</v>
      </c>
      <c r="M74" s="25" t="s">
        <v>27</v>
      </c>
      <c r="N74" s="25">
        <v>92.8</v>
      </c>
      <c r="O74" s="25">
        <v>225</v>
      </c>
      <c r="P74" s="25">
        <v>0</v>
      </c>
    </row>
    <row r="75" spans="1:16" x14ac:dyDescent="0.25">
      <c r="A75" s="26">
        <v>45644.099594907406</v>
      </c>
      <c r="B75" s="25" t="s">
        <v>22</v>
      </c>
      <c r="C75" s="25" t="s">
        <v>182</v>
      </c>
      <c r="D75" s="25" t="s">
        <v>183</v>
      </c>
      <c r="E75" s="25">
        <v>442</v>
      </c>
      <c r="F75" s="25" t="s">
        <v>25</v>
      </c>
      <c r="G75" s="25">
        <v>18.3</v>
      </c>
      <c r="H75" s="25">
        <v>50.3</v>
      </c>
      <c r="I75" s="25" t="s">
        <v>38</v>
      </c>
      <c r="J75" s="25">
        <v>56</v>
      </c>
      <c r="K75" s="25">
        <v>469</v>
      </c>
      <c r="L75" s="25">
        <v>2</v>
      </c>
      <c r="M75" s="25" t="s">
        <v>21</v>
      </c>
      <c r="N75" s="25">
        <v>96.3</v>
      </c>
      <c r="O75" s="25">
        <v>192</v>
      </c>
      <c r="P75" s="25">
        <v>0</v>
      </c>
    </row>
    <row r="76" spans="1:16" x14ac:dyDescent="0.25">
      <c r="A76" s="26">
        <v>45524.679594907408</v>
      </c>
      <c r="B76" s="25" t="s">
        <v>64</v>
      </c>
      <c r="C76" s="25" t="s">
        <v>184</v>
      </c>
      <c r="D76" s="25" t="s">
        <v>185</v>
      </c>
      <c r="E76" s="25">
        <v>291</v>
      </c>
      <c r="F76" s="25" t="s">
        <v>34</v>
      </c>
      <c r="G76" s="25">
        <v>28.5</v>
      </c>
      <c r="H76" s="25">
        <v>54.6</v>
      </c>
      <c r="I76" s="25" t="s">
        <v>26</v>
      </c>
      <c r="J76" s="25">
        <v>14</v>
      </c>
      <c r="K76" s="25">
        <v>316</v>
      </c>
      <c r="L76" s="25">
        <v>7</v>
      </c>
      <c r="M76" s="25" t="s">
        <v>21</v>
      </c>
      <c r="N76" s="25">
        <v>77.5</v>
      </c>
      <c r="O76" s="25">
        <v>288</v>
      </c>
      <c r="P76" s="25">
        <v>1</v>
      </c>
    </row>
    <row r="77" spans="1:16" x14ac:dyDescent="0.25">
      <c r="A77" s="26">
        <v>45602.319918981484</v>
      </c>
      <c r="B77" s="25" t="s">
        <v>64</v>
      </c>
      <c r="C77" s="25" t="s">
        <v>186</v>
      </c>
      <c r="D77" s="25" t="s">
        <v>187</v>
      </c>
      <c r="E77" s="25">
        <v>348</v>
      </c>
      <c r="F77" s="25" t="s">
        <v>34</v>
      </c>
      <c r="G77" s="25">
        <v>28.2</v>
      </c>
      <c r="H77" s="25">
        <v>68.3</v>
      </c>
      <c r="I77" s="25" t="s">
        <v>38</v>
      </c>
      <c r="J77" s="25">
        <v>22</v>
      </c>
      <c r="K77" s="25">
        <v>415</v>
      </c>
      <c r="L77" s="25">
        <v>4</v>
      </c>
      <c r="M77" s="25" t="s">
        <v>35</v>
      </c>
      <c r="N77" s="25">
        <v>67.400000000000006</v>
      </c>
      <c r="O77" s="25">
        <v>204</v>
      </c>
      <c r="P77" s="25">
        <v>0</v>
      </c>
    </row>
    <row r="78" spans="1:16" x14ac:dyDescent="0.25">
      <c r="A78" s="26">
        <v>45640.631261574075</v>
      </c>
      <c r="B78" s="25" t="s">
        <v>22</v>
      </c>
      <c r="C78" s="25" t="s">
        <v>188</v>
      </c>
      <c r="D78" s="25" t="s">
        <v>189</v>
      </c>
      <c r="E78" s="25">
        <v>454</v>
      </c>
      <c r="F78" s="25" t="s">
        <v>25</v>
      </c>
      <c r="G78" s="25">
        <v>23.7</v>
      </c>
      <c r="H78" s="25">
        <v>51.9</v>
      </c>
      <c r="I78" s="25" t="s">
        <v>38</v>
      </c>
      <c r="J78" s="25">
        <v>51</v>
      </c>
      <c r="K78" s="25">
        <v>232</v>
      </c>
      <c r="L78" s="25">
        <v>7</v>
      </c>
      <c r="M78" s="25" t="s">
        <v>27</v>
      </c>
      <c r="N78" s="25">
        <v>78.7</v>
      </c>
      <c r="O78" s="25">
        <v>172</v>
      </c>
      <c r="P78" s="25">
        <v>0</v>
      </c>
    </row>
    <row r="79" spans="1:16" x14ac:dyDescent="0.25">
      <c r="A79" s="26">
        <v>45306.500983796293</v>
      </c>
      <c r="B79" s="25" t="s">
        <v>95</v>
      </c>
      <c r="C79" s="25" t="s">
        <v>190</v>
      </c>
      <c r="D79" s="25" t="s">
        <v>191</v>
      </c>
      <c r="E79" s="25">
        <v>486</v>
      </c>
      <c r="F79" s="25" t="s">
        <v>34</v>
      </c>
      <c r="G79" s="25">
        <v>29.1</v>
      </c>
      <c r="H79" s="25">
        <v>78.400000000000006</v>
      </c>
      <c r="I79" s="25" t="s">
        <v>38</v>
      </c>
      <c r="J79" s="25">
        <v>21</v>
      </c>
      <c r="K79" s="25">
        <v>158</v>
      </c>
      <c r="L79" s="25">
        <v>7</v>
      </c>
      <c r="M79" s="25" t="s">
        <v>21</v>
      </c>
      <c r="N79" s="25">
        <v>62.6</v>
      </c>
      <c r="O79" s="25">
        <v>243</v>
      </c>
      <c r="P79" s="25">
        <v>0</v>
      </c>
    </row>
    <row r="80" spans="1:16" ht="30" customHeight="1" x14ac:dyDescent="0.25">
      <c r="A80" s="26">
        <v>45430.417268518519</v>
      </c>
      <c r="B80" s="25" t="s">
        <v>28</v>
      </c>
      <c r="C80" s="25" t="s">
        <v>192</v>
      </c>
      <c r="D80" s="25" t="s">
        <v>193</v>
      </c>
      <c r="E80" s="25">
        <v>483</v>
      </c>
      <c r="F80" s="25" t="s">
        <v>25</v>
      </c>
      <c r="G80" s="25">
        <v>29.2</v>
      </c>
      <c r="H80" s="25">
        <v>65</v>
      </c>
      <c r="I80" s="25" t="s">
        <v>26</v>
      </c>
      <c r="J80" s="25">
        <v>57</v>
      </c>
      <c r="K80" s="25">
        <v>167</v>
      </c>
      <c r="L80" s="25">
        <v>8</v>
      </c>
      <c r="M80" s="25" t="s">
        <v>51</v>
      </c>
      <c r="N80" s="25">
        <v>96.8</v>
      </c>
      <c r="O80" s="25">
        <v>245</v>
      </c>
      <c r="P80" s="25">
        <v>1</v>
      </c>
    </row>
    <row r="81" spans="1:16" x14ac:dyDescent="0.25">
      <c r="A81" s="26">
        <v>45613.085046296299</v>
      </c>
      <c r="B81" s="25" t="s">
        <v>41</v>
      </c>
      <c r="C81" s="25" t="s">
        <v>194</v>
      </c>
      <c r="D81" s="25" t="s">
        <v>195</v>
      </c>
      <c r="E81" s="25">
        <v>472</v>
      </c>
      <c r="F81" s="25" t="s">
        <v>34</v>
      </c>
      <c r="G81" s="25">
        <v>23.5</v>
      </c>
      <c r="H81" s="25">
        <v>72</v>
      </c>
      <c r="I81" s="25" t="s">
        <v>38</v>
      </c>
      <c r="J81" s="25">
        <v>59</v>
      </c>
      <c r="K81" s="25">
        <v>485</v>
      </c>
      <c r="L81" s="25">
        <v>3</v>
      </c>
      <c r="M81" s="25" t="s">
        <v>27</v>
      </c>
      <c r="N81" s="25">
        <v>67.2</v>
      </c>
      <c r="O81" s="25">
        <v>248</v>
      </c>
      <c r="P81" s="25">
        <v>0</v>
      </c>
    </row>
    <row r="82" spans="1:16" x14ac:dyDescent="0.25">
      <c r="A82" s="26">
        <v>45526.841631944444</v>
      </c>
      <c r="B82" s="25" t="s">
        <v>64</v>
      </c>
      <c r="C82" s="25" t="s">
        <v>196</v>
      </c>
      <c r="D82" s="25" t="s">
        <v>197</v>
      </c>
      <c r="E82" s="25">
        <v>186</v>
      </c>
      <c r="F82" s="25" t="s">
        <v>25</v>
      </c>
      <c r="G82" s="25">
        <v>18.899999999999999</v>
      </c>
      <c r="H82" s="25">
        <v>70.5</v>
      </c>
      <c r="I82" s="25" t="s">
        <v>38</v>
      </c>
      <c r="J82" s="25">
        <v>38</v>
      </c>
      <c r="K82" s="25">
        <v>344</v>
      </c>
      <c r="L82" s="25">
        <v>1</v>
      </c>
      <c r="M82" s="25" t="s">
        <v>35</v>
      </c>
      <c r="N82" s="25">
        <v>95.6</v>
      </c>
      <c r="O82" s="25">
        <v>252</v>
      </c>
      <c r="P82" s="25">
        <v>0</v>
      </c>
    </row>
    <row r="83" spans="1:16" x14ac:dyDescent="0.25">
      <c r="A83" s="26">
        <v>45547.333877314813</v>
      </c>
      <c r="B83" s="25" t="s">
        <v>22</v>
      </c>
      <c r="C83" s="25" t="s">
        <v>198</v>
      </c>
      <c r="D83" s="25" t="s">
        <v>199</v>
      </c>
      <c r="E83" s="25">
        <v>366</v>
      </c>
      <c r="F83" s="25" t="s">
        <v>25</v>
      </c>
      <c r="G83" s="25">
        <v>22.8</v>
      </c>
      <c r="H83" s="25">
        <v>66.7</v>
      </c>
      <c r="I83" s="25" t="s">
        <v>38</v>
      </c>
      <c r="J83" s="25">
        <v>39</v>
      </c>
      <c r="K83" s="25">
        <v>219</v>
      </c>
      <c r="L83" s="25">
        <v>7</v>
      </c>
      <c r="M83" s="25" t="s">
        <v>35</v>
      </c>
      <c r="N83" s="25">
        <v>91</v>
      </c>
      <c r="O83" s="25">
        <v>211</v>
      </c>
      <c r="P83" s="25">
        <v>0</v>
      </c>
    </row>
    <row r="84" spans="1:16" x14ac:dyDescent="0.25">
      <c r="A84" s="26">
        <v>45513.912858796299</v>
      </c>
      <c r="B84" s="25" t="s">
        <v>64</v>
      </c>
      <c r="C84" s="25" t="s">
        <v>200</v>
      </c>
      <c r="D84" s="25" t="s">
        <v>201</v>
      </c>
      <c r="E84" s="25">
        <v>359</v>
      </c>
      <c r="F84" s="25" t="s">
        <v>34</v>
      </c>
      <c r="G84" s="25">
        <v>23</v>
      </c>
      <c r="H84" s="25">
        <v>71.7</v>
      </c>
      <c r="I84" s="25" t="s">
        <v>20</v>
      </c>
      <c r="J84" s="25">
        <v>50</v>
      </c>
      <c r="K84" s="25">
        <v>486</v>
      </c>
      <c r="L84" s="25">
        <v>10</v>
      </c>
      <c r="M84" s="25" t="s">
        <v>35</v>
      </c>
      <c r="N84" s="25">
        <v>64</v>
      </c>
      <c r="O84" s="25">
        <v>169</v>
      </c>
      <c r="P84" s="25">
        <v>0</v>
      </c>
    </row>
    <row r="85" spans="1:16" x14ac:dyDescent="0.25">
      <c r="A85" s="26">
        <v>45401.118391203701</v>
      </c>
      <c r="B85" s="25" t="s">
        <v>16</v>
      </c>
      <c r="C85" s="25" t="s">
        <v>202</v>
      </c>
      <c r="D85" s="25" t="s">
        <v>203</v>
      </c>
      <c r="E85" s="25">
        <v>422</v>
      </c>
      <c r="F85" s="25" t="s">
        <v>19</v>
      </c>
      <c r="G85" s="25">
        <v>26.5</v>
      </c>
      <c r="H85" s="25">
        <v>75</v>
      </c>
      <c r="I85" s="25" t="s">
        <v>26</v>
      </c>
      <c r="J85" s="25">
        <v>39</v>
      </c>
      <c r="K85" s="25">
        <v>100</v>
      </c>
      <c r="L85" s="25">
        <v>6</v>
      </c>
      <c r="M85" s="25" t="s">
        <v>21</v>
      </c>
      <c r="N85" s="25">
        <v>67.2</v>
      </c>
      <c r="O85" s="25">
        <v>127</v>
      </c>
      <c r="P85" s="25">
        <v>1</v>
      </c>
    </row>
    <row r="86" spans="1:16" ht="30" customHeight="1" x14ac:dyDescent="0.25">
      <c r="A86" s="26">
        <v>45565.471226851849</v>
      </c>
      <c r="B86" s="25" t="s">
        <v>22</v>
      </c>
      <c r="C86" s="25" t="s">
        <v>204</v>
      </c>
      <c r="D86" s="25" t="s">
        <v>205</v>
      </c>
      <c r="E86" s="25">
        <v>209</v>
      </c>
      <c r="F86" s="25" t="s">
        <v>25</v>
      </c>
      <c r="G86" s="25">
        <v>24.9</v>
      </c>
      <c r="H86" s="25">
        <v>76.8</v>
      </c>
      <c r="I86" s="25" t="s">
        <v>38</v>
      </c>
      <c r="J86" s="25">
        <v>51</v>
      </c>
      <c r="K86" s="25">
        <v>214</v>
      </c>
      <c r="L86" s="25">
        <v>2</v>
      </c>
      <c r="M86" s="25" t="s">
        <v>51</v>
      </c>
      <c r="N86" s="25">
        <v>86.5</v>
      </c>
      <c r="O86" s="25">
        <v>156</v>
      </c>
      <c r="P86" s="25">
        <v>0</v>
      </c>
    </row>
    <row r="87" spans="1:16" x14ac:dyDescent="0.25">
      <c r="A87" s="26">
        <v>45373.697013888886</v>
      </c>
      <c r="B87" s="25" t="s">
        <v>64</v>
      </c>
      <c r="C87" s="25" t="s">
        <v>206</v>
      </c>
      <c r="D87" s="25" t="s">
        <v>207</v>
      </c>
      <c r="E87" s="25">
        <v>324</v>
      </c>
      <c r="F87" s="25" t="s">
        <v>19</v>
      </c>
      <c r="G87" s="25">
        <v>20.7</v>
      </c>
      <c r="H87" s="25">
        <v>77.5</v>
      </c>
      <c r="I87" s="25" t="s">
        <v>26</v>
      </c>
      <c r="J87" s="25">
        <v>39</v>
      </c>
      <c r="K87" s="25">
        <v>387</v>
      </c>
      <c r="L87" s="25">
        <v>1</v>
      </c>
      <c r="M87" s="25" t="s">
        <v>21</v>
      </c>
      <c r="N87" s="25">
        <v>69.099999999999994</v>
      </c>
      <c r="O87" s="25">
        <v>138</v>
      </c>
      <c r="P87" s="25">
        <v>1</v>
      </c>
    </row>
    <row r="88" spans="1:16" x14ac:dyDescent="0.25">
      <c r="A88" s="26">
        <v>45580.168703703705</v>
      </c>
      <c r="B88" s="25" t="s">
        <v>16</v>
      </c>
      <c r="C88" s="25" t="s">
        <v>208</v>
      </c>
      <c r="D88" s="25" t="s">
        <v>209</v>
      </c>
      <c r="E88" s="25">
        <v>199</v>
      </c>
      <c r="F88" s="25" t="s">
        <v>25</v>
      </c>
      <c r="G88" s="25">
        <v>27.4</v>
      </c>
      <c r="H88" s="25">
        <v>57.1</v>
      </c>
      <c r="I88" s="25" t="s">
        <v>26</v>
      </c>
      <c r="J88" s="25">
        <v>28</v>
      </c>
      <c r="K88" s="25">
        <v>383</v>
      </c>
      <c r="L88" s="25">
        <v>6</v>
      </c>
      <c r="M88" s="25" t="s">
        <v>21</v>
      </c>
      <c r="N88" s="25">
        <v>61.9</v>
      </c>
      <c r="O88" s="25">
        <v>105</v>
      </c>
      <c r="P88" s="25">
        <v>1</v>
      </c>
    </row>
    <row r="89" spans="1:16" ht="30" customHeight="1" x14ac:dyDescent="0.25">
      <c r="A89" s="26">
        <v>45644.792708333334</v>
      </c>
      <c r="B89" s="25" t="s">
        <v>64</v>
      </c>
      <c r="C89" s="25" t="s">
        <v>210</v>
      </c>
      <c r="D89" s="25" t="s">
        <v>211</v>
      </c>
      <c r="E89" s="25">
        <v>213</v>
      </c>
      <c r="F89" s="25" t="s">
        <v>19</v>
      </c>
      <c r="G89" s="25">
        <v>27.7</v>
      </c>
      <c r="H89" s="25">
        <v>58.1</v>
      </c>
      <c r="I89" s="25" t="s">
        <v>38</v>
      </c>
      <c r="J89" s="25">
        <v>41</v>
      </c>
      <c r="K89" s="25">
        <v>267</v>
      </c>
      <c r="L89" s="25">
        <v>7</v>
      </c>
      <c r="M89" s="25" t="s">
        <v>51</v>
      </c>
      <c r="N89" s="25">
        <v>60.9</v>
      </c>
      <c r="O89" s="25">
        <v>254</v>
      </c>
      <c r="P89" s="25">
        <v>1</v>
      </c>
    </row>
    <row r="90" spans="1:16" x14ac:dyDescent="0.25">
      <c r="A90" s="26">
        <v>45452.716805555552</v>
      </c>
      <c r="B90" s="25" t="s">
        <v>41</v>
      </c>
      <c r="C90" s="25" t="s">
        <v>212</v>
      </c>
      <c r="D90" s="25" t="s">
        <v>213</v>
      </c>
      <c r="E90" s="25">
        <v>257</v>
      </c>
      <c r="F90" s="25" t="s">
        <v>19</v>
      </c>
      <c r="G90" s="25">
        <v>23.1</v>
      </c>
      <c r="H90" s="25">
        <v>59.1</v>
      </c>
      <c r="I90" s="25" t="s">
        <v>38</v>
      </c>
      <c r="J90" s="25">
        <v>56</v>
      </c>
      <c r="K90" s="25">
        <v>451</v>
      </c>
      <c r="L90" s="25">
        <v>3</v>
      </c>
      <c r="M90" s="25" t="s">
        <v>27</v>
      </c>
      <c r="N90" s="25">
        <v>93.8</v>
      </c>
      <c r="O90" s="25">
        <v>248</v>
      </c>
      <c r="P90" s="25">
        <v>1</v>
      </c>
    </row>
    <row r="91" spans="1:16" x14ac:dyDescent="0.25">
      <c r="A91" s="26">
        <v>45595.084560185183</v>
      </c>
      <c r="B91" s="25" t="s">
        <v>64</v>
      </c>
      <c r="C91" s="25" t="s">
        <v>214</v>
      </c>
      <c r="D91" s="25" t="s">
        <v>215</v>
      </c>
      <c r="E91" s="25">
        <v>475</v>
      </c>
      <c r="F91" s="25" t="s">
        <v>25</v>
      </c>
      <c r="G91" s="25">
        <v>22.2</v>
      </c>
      <c r="H91" s="25">
        <v>79.400000000000006</v>
      </c>
      <c r="I91" s="25" t="s">
        <v>20</v>
      </c>
      <c r="J91" s="25">
        <v>25</v>
      </c>
      <c r="K91" s="25">
        <v>268</v>
      </c>
      <c r="L91" s="25">
        <v>3</v>
      </c>
      <c r="M91" s="25" t="s">
        <v>27</v>
      </c>
      <c r="N91" s="25">
        <v>60.3</v>
      </c>
      <c r="O91" s="25">
        <v>151</v>
      </c>
      <c r="P91" s="25">
        <v>0</v>
      </c>
    </row>
    <row r="92" spans="1:16" x14ac:dyDescent="0.25">
      <c r="A92" s="26">
        <v>45466.128680555557</v>
      </c>
      <c r="B92" s="25" t="s">
        <v>16</v>
      </c>
      <c r="C92" s="25" t="s">
        <v>216</v>
      </c>
      <c r="D92" s="25" t="s">
        <v>217</v>
      </c>
      <c r="E92" s="25">
        <v>377</v>
      </c>
      <c r="F92" s="25" t="s">
        <v>25</v>
      </c>
      <c r="G92" s="25">
        <v>22.7</v>
      </c>
      <c r="H92" s="25">
        <v>75.5</v>
      </c>
      <c r="I92" s="25" t="s">
        <v>38</v>
      </c>
      <c r="J92" s="25">
        <v>59</v>
      </c>
      <c r="K92" s="25">
        <v>445</v>
      </c>
      <c r="L92" s="25">
        <v>7</v>
      </c>
      <c r="M92" s="25" t="s">
        <v>21</v>
      </c>
      <c r="N92" s="25">
        <v>99.1</v>
      </c>
      <c r="O92" s="25">
        <v>272</v>
      </c>
      <c r="P92" s="25">
        <v>0</v>
      </c>
    </row>
    <row r="93" spans="1:16" x14ac:dyDescent="0.25">
      <c r="A93" s="26">
        <v>45523.717847222222</v>
      </c>
      <c r="B93" s="25" t="s">
        <v>48</v>
      </c>
      <c r="C93" s="25" t="s">
        <v>218</v>
      </c>
      <c r="D93" s="25" t="s">
        <v>219</v>
      </c>
      <c r="E93" s="25">
        <v>456</v>
      </c>
      <c r="F93" s="25" t="s">
        <v>19</v>
      </c>
      <c r="G93" s="25">
        <v>26.4</v>
      </c>
      <c r="H93" s="25">
        <v>51.4</v>
      </c>
      <c r="I93" s="25" t="s">
        <v>26</v>
      </c>
      <c r="J93" s="25">
        <v>23</v>
      </c>
      <c r="K93" s="25">
        <v>100</v>
      </c>
      <c r="L93" s="25">
        <v>1</v>
      </c>
      <c r="M93" s="25" t="s">
        <v>27</v>
      </c>
      <c r="N93" s="25">
        <v>94.2</v>
      </c>
      <c r="O93" s="25">
        <v>105</v>
      </c>
      <c r="P93" s="25">
        <v>1</v>
      </c>
    </row>
    <row r="94" spans="1:16" x14ac:dyDescent="0.25">
      <c r="A94" s="26">
        <v>45412.527650462966</v>
      </c>
      <c r="B94" s="25" t="s">
        <v>95</v>
      </c>
      <c r="C94" s="25" t="s">
        <v>220</v>
      </c>
      <c r="D94" s="25" t="s">
        <v>221</v>
      </c>
      <c r="E94" s="25">
        <v>106</v>
      </c>
      <c r="F94" s="25" t="s">
        <v>19</v>
      </c>
      <c r="G94" s="25">
        <v>18.3</v>
      </c>
      <c r="H94" s="25">
        <v>65.900000000000006</v>
      </c>
      <c r="I94" s="25" t="s">
        <v>26</v>
      </c>
      <c r="J94" s="25">
        <v>53</v>
      </c>
      <c r="K94" s="25">
        <v>244</v>
      </c>
      <c r="L94" s="25">
        <v>2</v>
      </c>
      <c r="M94" s="25" t="s">
        <v>35</v>
      </c>
      <c r="N94" s="25">
        <v>99.5</v>
      </c>
      <c r="O94" s="25">
        <v>125</v>
      </c>
      <c r="P94" s="25">
        <v>1</v>
      </c>
    </row>
    <row r="95" spans="1:16" x14ac:dyDescent="0.25">
      <c r="A95" s="26">
        <v>45641.162222222221</v>
      </c>
      <c r="B95" s="25" t="s">
        <v>28</v>
      </c>
      <c r="C95" s="25" t="s">
        <v>222</v>
      </c>
      <c r="D95" s="25" t="s">
        <v>223</v>
      </c>
      <c r="E95" s="25">
        <v>234</v>
      </c>
      <c r="F95" s="25" t="s">
        <v>19</v>
      </c>
      <c r="G95" s="25">
        <v>29.1</v>
      </c>
      <c r="H95" s="25">
        <v>65.3</v>
      </c>
      <c r="I95" s="25" t="s">
        <v>38</v>
      </c>
      <c r="J95" s="25">
        <v>19</v>
      </c>
      <c r="K95" s="25">
        <v>432</v>
      </c>
      <c r="L95" s="25">
        <v>3</v>
      </c>
      <c r="M95" s="25" t="s">
        <v>27</v>
      </c>
      <c r="N95" s="25">
        <v>92.7</v>
      </c>
      <c r="O95" s="25">
        <v>214</v>
      </c>
      <c r="P95" s="25">
        <v>1</v>
      </c>
    </row>
    <row r="96" spans="1:16" ht="30" customHeight="1" x14ac:dyDescent="0.25">
      <c r="A96" s="26">
        <v>45372.622708333336</v>
      </c>
      <c r="B96" s="25" t="s">
        <v>56</v>
      </c>
      <c r="C96" s="25" t="s">
        <v>224</v>
      </c>
      <c r="D96" s="25" t="s">
        <v>225</v>
      </c>
      <c r="E96" s="25">
        <v>390</v>
      </c>
      <c r="F96" s="25" t="s">
        <v>19</v>
      </c>
      <c r="G96" s="25">
        <v>19.5</v>
      </c>
      <c r="H96" s="25">
        <v>79.2</v>
      </c>
      <c r="I96" s="25" t="s">
        <v>26</v>
      </c>
      <c r="J96" s="25">
        <v>26</v>
      </c>
      <c r="K96" s="25">
        <v>366</v>
      </c>
      <c r="L96" s="25">
        <v>4</v>
      </c>
      <c r="M96" s="25" t="s">
        <v>51</v>
      </c>
      <c r="N96" s="25">
        <v>69.400000000000006</v>
      </c>
      <c r="O96" s="25">
        <v>217</v>
      </c>
      <c r="P96" s="25">
        <v>1</v>
      </c>
    </row>
    <row r="97" spans="1:16" x14ac:dyDescent="0.25">
      <c r="A97" s="26">
        <v>45562.755740740744</v>
      </c>
      <c r="B97" s="25" t="s">
        <v>41</v>
      </c>
      <c r="C97" s="25" t="s">
        <v>226</v>
      </c>
      <c r="D97" s="25" t="s">
        <v>227</v>
      </c>
      <c r="E97" s="25">
        <v>203</v>
      </c>
      <c r="F97" s="25" t="s">
        <v>34</v>
      </c>
      <c r="G97" s="25">
        <v>20.399999999999999</v>
      </c>
      <c r="H97" s="25">
        <v>78.3</v>
      </c>
      <c r="I97" s="25" t="s">
        <v>20</v>
      </c>
      <c r="J97" s="25">
        <v>21</v>
      </c>
      <c r="K97" s="25">
        <v>187</v>
      </c>
      <c r="L97" s="25">
        <v>5</v>
      </c>
      <c r="M97" s="25" t="s">
        <v>21</v>
      </c>
      <c r="N97" s="25">
        <v>87.9</v>
      </c>
      <c r="O97" s="25">
        <v>262</v>
      </c>
      <c r="P97" s="25">
        <v>0</v>
      </c>
    </row>
    <row r="98" spans="1:16" x14ac:dyDescent="0.25">
      <c r="A98" s="26">
        <v>45613.357662037037</v>
      </c>
      <c r="B98" s="25" t="s">
        <v>22</v>
      </c>
      <c r="C98" s="25" t="s">
        <v>228</v>
      </c>
      <c r="D98" s="25" t="s">
        <v>229</v>
      </c>
      <c r="E98" s="25">
        <v>297</v>
      </c>
      <c r="F98" s="25" t="s">
        <v>19</v>
      </c>
      <c r="G98" s="25">
        <v>23.1</v>
      </c>
      <c r="H98" s="25">
        <v>59.4</v>
      </c>
      <c r="I98" s="25" t="s">
        <v>20</v>
      </c>
      <c r="J98" s="25">
        <v>29</v>
      </c>
      <c r="K98" s="25">
        <v>268</v>
      </c>
      <c r="L98" s="25">
        <v>10</v>
      </c>
      <c r="M98" s="25" t="s">
        <v>35</v>
      </c>
      <c r="N98" s="25">
        <v>71.2</v>
      </c>
      <c r="O98" s="25">
        <v>151</v>
      </c>
      <c r="P98" s="25">
        <v>1</v>
      </c>
    </row>
    <row r="99" spans="1:16" x14ac:dyDescent="0.25">
      <c r="A99" s="26">
        <v>45415.148935185185</v>
      </c>
      <c r="B99" s="25" t="s">
        <v>31</v>
      </c>
      <c r="C99" s="25" t="s">
        <v>230</v>
      </c>
      <c r="D99" s="25" t="s">
        <v>231</v>
      </c>
      <c r="E99" s="25">
        <v>238</v>
      </c>
      <c r="F99" s="25" t="s">
        <v>25</v>
      </c>
      <c r="G99" s="25">
        <v>25</v>
      </c>
      <c r="H99" s="25">
        <v>75.8</v>
      </c>
      <c r="I99" s="25" t="s">
        <v>26</v>
      </c>
      <c r="J99" s="25">
        <v>26</v>
      </c>
      <c r="K99" s="25">
        <v>330</v>
      </c>
      <c r="L99" s="25">
        <v>9</v>
      </c>
      <c r="M99" s="25" t="s">
        <v>27</v>
      </c>
      <c r="N99" s="25">
        <v>99.2</v>
      </c>
      <c r="O99" s="25">
        <v>165</v>
      </c>
      <c r="P99" s="25">
        <v>1</v>
      </c>
    </row>
    <row r="100" spans="1:16" ht="30" customHeight="1" x14ac:dyDescent="0.25">
      <c r="A100" s="26">
        <v>45356.038043981483</v>
      </c>
      <c r="B100" s="25" t="s">
        <v>41</v>
      </c>
      <c r="C100" s="25" t="s">
        <v>232</v>
      </c>
      <c r="D100" s="25" t="s">
        <v>233</v>
      </c>
      <c r="E100" s="25">
        <v>126</v>
      </c>
      <c r="F100" s="25" t="s">
        <v>34</v>
      </c>
      <c r="G100" s="25">
        <v>28.2</v>
      </c>
      <c r="H100" s="25">
        <v>54.5</v>
      </c>
      <c r="I100" s="25" t="s">
        <v>20</v>
      </c>
      <c r="J100" s="25">
        <v>35</v>
      </c>
      <c r="K100" s="25">
        <v>320</v>
      </c>
      <c r="L100" s="25">
        <v>4</v>
      </c>
      <c r="M100" s="25" t="s">
        <v>51</v>
      </c>
      <c r="N100" s="25">
        <v>93.7</v>
      </c>
      <c r="O100" s="25">
        <v>136</v>
      </c>
      <c r="P100" s="25">
        <v>0</v>
      </c>
    </row>
    <row r="101" spans="1:16" x14ac:dyDescent="0.25">
      <c r="A101" s="26">
        <v>45305.390740740739</v>
      </c>
      <c r="B101" s="25" t="s">
        <v>48</v>
      </c>
      <c r="C101" s="25" t="s">
        <v>234</v>
      </c>
      <c r="D101" s="25" t="s">
        <v>235</v>
      </c>
      <c r="E101" s="25">
        <v>455</v>
      </c>
      <c r="F101" s="25" t="s">
        <v>34</v>
      </c>
      <c r="G101" s="25">
        <v>22.9</v>
      </c>
      <c r="H101" s="25">
        <v>79.599999999999994</v>
      </c>
      <c r="I101" s="25" t="s">
        <v>20</v>
      </c>
      <c r="J101" s="25">
        <v>51</v>
      </c>
      <c r="K101" s="25">
        <v>410</v>
      </c>
      <c r="L101" s="25">
        <v>9</v>
      </c>
      <c r="M101" s="25" t="s">
        <v>27</v>
      </c>
      <c r="N101" s="25">
        <v>84.9</v>
      </c>
      <c r="O101" s="25">
        <v>233</v>
      </c>
      <c r="P101" s="25">
        <v>0</v>
      </c>
    </row>
    <row r="102" spans="1:16" ht="30" customHeight="1" x14ac:dyDescent="0.25">
      <c r="A102" s="26">
        <v>45339.879224537035</v>
      </c>
      <c r="B102" s="25" t="s">
        <v>41</v>
      </c>
      <c r="C102" s="25" t="s">
        <v>236</v>
      </c>
      <c r="D102" s="25" t="s">
        <v>237</v>
      </c>
      <c r="E102" s="25">
        <v>220</v>
      </c>
      <c r="F102" s="25" t="s">
        <v>19</v>
      </c>
      <c r="G102" s="25">
        <v>29.4</v>
      </c>
      <c r="H102" s="25">
        <v>52.4</v>
      </c>
      <c r="I102" s="25" t="s">
        <v>38</v>
      </c>
      <c r="J102" s="25">
        <v>18</v>
      </c>
      <c r="K102" s="25">
        <v>468</v>
      </c>
      <c r="L102" s="25">
        <v>9</v>
      </c>
      <c r="M102" s="25" t="s">
        <v>51</v>
      </c>
      <c r="N102" s="25">
        <v>63.1</v>
      </c>
      <c r="O102" s="25">
        <v>137</v>
      </c>
      <c r="P102" s="25">
        <v>1</v>
      </c>
    </row>
    <row r="103" spans="1:16" x14ac:dyDescent="0.25">
      <c r="A103" s="26">
        <v>45479.470462962963</v>
      </c>
      <c r="B103" s="25" t="s">
        <v>64</v>
      </c>
      <c r="C103" s="25" t="s">
        <v>238</v>
      </c>
      <c r="D103" s="25" t="s">
        <v>239</v>
      </c>
      <c r="E103" s="25">
        <v>403</v>
      </c>
      <c r="F103" s="25" t="s">
        <v>25</v>
      </c>
      <c r="G103" s="25">
        <v>22.5</v>
      </c>
      <c r="H103" s="25">
        <v>62.5</v>
      </c>
      <c r="I103" s="25" t="s">
        <v>38</v>
      </c>
      <c r="J103" s="25">
        <v>38</v>
      </c>
      <c r="K103" s="25">
        <v>225</v>
      </c>
      <c r="L103" s="25">
        <v>3</v>
      </c>
      <c r="M103" s="25" t="s">
        <v>27</v>
      </c>
      <c r="N103" s="25">
        <v>81.400000000000006</v>
      </c>
      <c r="O103" s="25">
        <v>169</v>
      </c>
      <c r="P103" s="25">
        <v>0</v>
      </c>
    </row>
    <row r="104" spans="1:16" x14ac:dyDescent="0.25">
      <c r="A104" s="26">
        <v>45422.926608796297</v>
      </c>
      <c r="B104" s="25" t="s">
        <v>28</v>
      </c>
      <c r="C104" s="25" t="s">
        <v>240</v>
      </c>
      <c r="D104" s="25" t="s">
        <v>241</v>
      </c>
      <c r="E104" s="25">
        <v>448</v>
      </c>
      <c r="F104" s="25" t="s">
        <v>19</v>
      </c>
      <c r="G104" s="25">
        <v>23.4</v>
      </c>
      <c r="H104" s="25">
        <v>59.9</v>
      </c>
      <c r="I104" s="25" t="s">
        <v>20</v>
      </c>
      <c r="J104" s="25">
        <v>41</v>
      </c>
      <c r="K104" s="25">
        <v>120</v>
      </c>
      <c r="L104" s="25">
        <v>10</v>
      </c>
      <c r="M104" s="25" t="s">
        <v>27</v>
      </c>
      <c r="N104" s="25">
        <v>70.8</v>
      </c>
      <c r="O104" s="25">
        <v>150</v>
      </c>
      <c r="P104" s="25">
        <v>1</v>
      </c>
    </row>
    <row r="105" spans="1:16" ht="30" customHeight="1" x14ac:dyDescent="0.25">
      <c r="A105" s="26">
        <v>45649.7890162037</v>
      </c>
      <c r="B105" s="25" t="s">
        <v>64</v>
      </c>
      <c r="C105" s="25" t="s">
        <v>242</v>
      </c>
      <c r="D105" s="25" t="s">
        <v>243</v>
      </c>
      <c r="E105" s="25">
        <v>168</v>
      </c>
      <c r="F105" s="25" t="s">
        <v>25</v>
      </c>
      <c r="G105" s="25">
        <v>22.4</v>
      </c>
      <c r="H105" s="25">
        <v>57.9</v>
      </c>
      <c r="I105" s="25" t="s">
        <v>26</v>
      </c>
      <c r="J105" s="25">
        <v>43</v>
      </c>
      <c r="K105" s="25">
        <v>377</v>
      </c>
      <c r="L105" s="25">
        <v>4</v>
      </c>
      <c r="M105" s="25" t="s">
        <v>51</v>
      </c>
      <c r="N105" s="25">
        <v>71.099999999999994</v>
      </c>
      <c r="O105" s="25">
        <v>140</v>
      </c>
      <c r="P105" s="25">
        <v>1</v>
      </c>
    </row>
    <row r="106" spans="1:16" x14ac:dyDescent="0.25">
      <c r="A106" s="26">
        <v>45328.352800925924</v>
      </c>
      <c r="B106" s="25" t="s">
        <v>16</v>
      </c>
      <c r="C106" s="25" t="s">
        <v>244</v>
      </c>
      <c r="D106" s="25" t="s">
        <v>245</v>
      </c>
      <c r="E106" s="25">
        <v>409</v>
      </c>
      <c r="F106" s="25" t="s">
        <v>34</v>
      </c>
      <c r="G106" s="25">
        <v>18</v>
      </c>
      <c r="H106" s="25">
        <v>53.5</v>
      </c>
      <c r="I106" s="25" t="s">
        <v>26</v>
      </c>
      <c r="J106" s="25">
        <v>47</v>
      </c>
      <c r="K106" s="25">
        <v>153</v>
      </c>
      <c r="L106" s="25">
        <v>9</v>
      </c>
      <c r="M106" s="25" t="s">
        <v>21</v>
      </c>
      <c r="N106" s="25">
        <v>74.099999999999994</v>
      </c>
      <c r="O106" s="25">
        <v>117</v>
      </c>
      <c r="P106" s="25">
        <v>1</v>
      </c>
    </row>
    <row r="107" spans="1:16" x14ac:dyDescent="0.25">
      <c r="A107" s="26">
        <v>45551.422824074078</v>
      </c>
      <c r="B107" s="25" t="s">
        <v>48</v>
      </c>
      <c r="C107" s="25" t="s">
        <v>246</v>
      </c>
      <c r="D107" s="25" t="s">
        <v>247</v>
      </c>
      <c r="E107" s="25">
        <v>469</v>
      </c>
      <c r="F107" s="25" t="s">
        <v>25</v>
      </c>
      <c r="G107" s="25">
        <v>20.7</v>
      </c>
      <c r="H107" s="25">
        <v>70.400000000000006</v>
      </c>
      <c r="I107" s="25" t="s">
        <v>38</v>
      </c>
      <c r="J107" s="25">
        <v>31</v>
      </c>
      <c r="K107" s="25">
        <v>335</v>
      </c>
      <c r="L107" s="25">
        <v>7</v>
      </c>
      <c r="M107" s="25" t="s">
        <v>35</v>
      </c>
      <c r="N107" s="25">
        <v>86.1</v>
      </c>
      <c r="O107" s="25">
        <v>298</v>
      </c>
      <c r="P107" s="25">
        <v>0</v>
      </c>
    </row>
    <row r="108" spans="1:16" x14ac:dyDescent="0.25">
      <c r="A108" s="26">
        <v>45317.539236111108</v>
      </c>
      <c r="B108" s="25" t="s">
        <v>64</v>
      </c>
      <c r="C108" s="25" t="s">
        <v>248</v>
      </c>
      <c r="D108" s="25" t="s">
        <v>249</v>
      </c>
      <c r="E108" s="25">
        <v>305</v>
      </c>
      <c r="F108" s="25" t="s">
        <v>25</v>
      </c>
      <c r="G108" s="25">
        <v>20.5</v>
      </c>
      <c r="H108" s="25">
        <v>71.2</v>
      </c>
      <c r="I108" s="25" t="s">
        <v>20</v>
      </c>
      <c r="J108" s="25">
        <v>44</v>
      </c>
      <c r="K108" s="25">
        <v>302</v>
      </c>
      <c r="L108" s="25">
        <v>10</v>
      </c>
      <c r="M108" s="25" t="s">
        <v>27</v>
      </c>
      <c r="N108" s="25">
        <v>71.900000000000006</v>
      </c>
      <c r="O108" s="25">
        <v>141</v>
      </c>
      <c r="P108" s="25">
        <v>0</v>
      </c>
    </row>
    <row r="109" spans="1:16" x14ac:dyDescent="0.25">
      <c r="A109" s="26">
        <v>45625.273981481485</v>
      </c>
      <c r="B109" s="25" t="s">
        <v>64</v>
      </c>
      <c r="C109" s="25" t="s">
        <v>250</v>
      </c>
      <c r="D109" s="25" t="s">
        <v>251</v>
      </c>
      <c r="E109" s="25">
        <v>219</v>
      </c>
      <c r="F109" s="25" t="s">
        <v>19</v>
      </c>
      <c r="G109" s="25">
        <v>26.6</v>
      </c>
      <c r="H109" s="25">
        <v>79.8</v>
      </c>
      <c r="I109" s="25" t="s">
        <v>26</v>
      </c>
      <c r="J109" s="25">
        <v>46</v>
      </c>
      <c r="K109" s="25">
        <v>245</v>
      </c>
      <c r="L109" s="25">
        <v>1</v>
      </c>
      <c r="M109" s="25" t="s">
        <v>21</v>
      </c>
      <c r="N109" s="25">
        <v>70.5</v>
      </c>
      <c r="O109" s="25">
        <v>202</v>
      </c>
      <c r="P109" s="25">
        <v>1</v>
      </c>
    </row>
    <row r="110" spans="1:16" x14ac:dyDescent="0.25">
      <c r="A110" s="26">
        <v>45445.803344907406</v>
      </c>
      <c r="B110" s="25" t="s">
        <v>56</v>
      </c>
      <c r="C110" s="25" t="s">
        <v>252</v>
      </c>
      <c r="D110" s="25" t="s">
        <v>253</v>
      </c>
      <c r="E110" s="25">
        <v>167</v>
      </c>
      <c r="F110" s="25" t="s">
        <v>19</v>
      </c>
      <c r="G110" s="25">
        <v>23.8</v>
      </c>
      <c r="H110" s="25">
        <v>71.599999999999994</v>
      </c>
      <c r="I110" s="25" t="s">
        <v>38</v>
      </c>
      <c r="J110" s="25">
        <v>55</v>
      </c>
      <c r="K110" s="25">
        <v>416</v>
      </c>
      <c r="L110" s="25">
        <v>8</v>
      </c>
      <c r="M110" s="25" t="s">
        <v>35</v>
      </c>
      <c r="N110" s="25">
        <v>60.7</v>
      </c>
      <c r="O110" s="25">
        <v>263</v>
      </c>
      <c r="P110" s="25">
        <v>1</v>
      </c>
    </row>
    <row r="111" spans="1:16" x14ac:dyDescent="0.25">
      <c r="A111" s="26">
        <v>45330.421805555554</v>
      </c>
      <c r="B111" s="25" t="s">
        <v>41</v>
      </c>
      <c r="C111" s="25" t="s">
        <v>254</v>
      </c>
      <c r="D111" s="25" t="s">
        <v>255</v>
      </c>
      <c r="E111" s="25">
        <v>100</v>
      </c>
      <c r="F111" s="25" t="s">
        <v>19</v>
      </c>
      <c r="G111" s="25">
        <v>24.1</v>
      </c>
      <c r="H111" s="25">
        <v>50.9</v>
      </c>
      <c r="I111" s="25" t="s">
        <v>20</v>
      </c>
      <c r="J111" s="25">
        <v>39</v>
      </c>
      <c r="K111" s="25">
        <v>340</v>
      </c>
      <c r="L111" s="25">
        <v>4</v>
      </c>
      <c r="M111" s="25" t="s">
        <v>21</v>
      </c>
      <c r="N111" s="25">
        <v>96.9</v>
      </c>
      <c r="O111" s="25">
        <v>274</v>
      </c>
      <c r="P111" s="25">
        <v>1</v>
      </c>
    </row>
    <row r="112" spans="1:16" x14ac:dyDescent="0.25">
      <c r="A112" s="26">
        <v>45521.295312499999</v>
      </c>
      <c r="B112" s="25" t="s">
        <v>31</v>
      </c>
      <c r="C112" s="25" t="s">
        <v>256</v>
      </c>
      <c r="D112" s="25" t="s">
        <v>257</v>
      </c>
      <c r="E112" s="25">
        <v>321</v>
      </c>
      <c r="F112" s="25" t="s">
        <v>25</v>
      </c>
      <c r="G112" s="25">
        <v>25.4</v>
      </c>
      <c r="H112" s="25">
        <v>53.8</v>
      </c>
      <c r="I112" s="25" t="s">
        <v>38</v>
      </c>
      <c r="J112" s="25">
        <v>24</v>
      </c>
      <c r="K112" s="25">
        <v>340</v>
      </c>
      <c r="L112" s="25">
        <v>5</v>
      </c>
      <c r="M112" s="25" t="s">
        <v>35</v>
      </c>
      <c r="N112" s="25">
        <v>84.6</v>
      </c>
      <c r="O112" s="25">
        <v>223</v>
      </c>
      <c r="P112" s="25">
        <v>0</v>
      </c>
    </row>
    <row r="113" spans="1:16" ht="30" customHeight="1" x14ac:dyDescent="0.25">
      <c r="A113" s="26">
        <v>45318.173043981478</v>
      </c>
      <c r="B113" s="25" t="s">
        <v>16</v>
      </c>
      <c r="C113" s="25" t="s">
        <v>258</v>
      </c>
      <c r="D113" s="25" t="s">
        <v>259</v>
      </c>
      <c r="E113" s="25">
        <v>244</v>
      </c>
      <c r="F113" s="25" t="s">
        <v>34</v>
      </c>
      <c r="G113" s="25">
        <v>23.6</v>
      </c>
      <c r="H113" s="25">
        <v>64.900000000000006</v>
      </c>
      <c r="I113" s="25" t="s">
        <v>38</v>
      </c>
      <c r="J113" s="25">
        <v>24</v>
      </c>
      <c r="K113" s="25">
        <v>145</v>
      </c>
      <c r="L113" s="25">
        <v>4</v>
      </c>
      <c r="M113" s="25" t="s">
        <v>51</v>
      </c>
      <c r="N113" s="25">
        <v>67.599999999999994</v>
      </c>
      <c r="O113" s="25">
        <v>285</v>
      </c>
      <c r="P113" s="25">
        <v>0</v>
      </c>
    </row>
    <row r="114" spans="1:16" x14ac:dyDescent="0.25">
      <c r="A114" s="26">
        <v>45639.038321759261</v>
      </c>
      <c r="B114" s="25" t="s">
        <v>31</v>
      </c>
      <c r="C114" s="25" t="s">
        <v>260</v>
      </c>
      <c r="D114" s="25" t="s">
        <v>261</v>
      </c>
      <c r="E114" s="25">
        <v>281</v>
      </c>
      <c r="F114" s="25" t="s">
        <v>34</v>
      </c>
      <c r="G114" s="25">
        <v>18.399999999999999</v>
      </c>
      <c r="H114" s="25">
        <v>74.599999999999994</v>
      </c>
      <c r="I114" s="25" t="s">
        <v>20</v>
      </c>
      <c r="J114" s="25">
        <v>41</v>
      </c>
      <c r="K114" s="25">
        <v>419</v>
      </c>
      <c r="L114" s="25">
        <v>6</v>
      </c>
      <c r="M114" s="25" t="s">
        <v>21</v>
      </c>
      <c r="N114" s="25">
        <v>69.099999999999994</v>
      </c>
      <c r="O114" s="25">
        <v>242</v>
      </c>
      <c r="P114" s="25">
        <v>0</v>
      </c>
    </row>
    <row r="115" spans="1:16" ht="30" customHeight="1" x14ac:dyDescent="0.25">
      <c r="A115" s="26">
        <v>45591.913437499999</v>
      </c>
      <c r="B115" s="25" t="s">
        <v>16</v>
      </c>
      <c r="C115" s="25" t="s">
        <v>262</v>
      </c>
      <c r="D115" s="25" t="s">
        <v>263</v>
      </c>
      <c r="E115" s="25">
        <v>301</v>
      </c>
      <c r="F115" s="25" t="s">
        <v>34</v>
      </c>
      <c r="G115" s="25">
        <v>18.3</v>
      </c>
      <c r="H115" s="25">
        <v>60</v>
      </c>
      <c r="I115" s="25" t="s">
        <v>20</v>
      </c>
      <c r="J115" s="25">
        <v>42</v>
      </c>
      <c r="K115" s="25">
        <v>243</v>
      </c>
      <c r="L115" s="25">
        <v>3</v>
      </c>
      <c r="M115" s="25" t="s">
        <v>51</v>
      </c>
      <c r="N115" s="25">
        <v>99</v>
      </c>
      <c r="O115" s="25">
        <v>273</v>
      </c>
      <c r="P115" s="25">
        <v>0</v>
      </c>
    </row>
    <row r="116" spans="1:16" x14ac:dyDescent="0.25">
      <c r="A116" s="26">
        <v>45370.238078703704</v>
      </c>
      <c r="B116" s="25" t="s">
        <v>56</v>
      </c>
      <c r="C116" s="25" t="s">
        <v>264</v>
      </c>
      <c r="D116" s="25" t="s">
        <v>265</v>
      </c>
      <c r="E116" s="25">
        <v>437</v>
      </c>
      <c r="F116" s="25" t="s">
        <v>25</v>
      </c>
      <c r="G116" s="25">
        <v>25.5</v>
      </c>
      <c r="H116" s="25">
        <v>73.2</v>
      </c>
      <c r="I116" s="25" t="s">
        <v>38</v>
      </c>
      <c r="J116" s="25">
        <v>59</v>
      </c>
      <c r="K116" s="25">
        <v>310</v>
      </c>
      <c r="L116" s="25">
        <v>2</v>
      </c>
      <c r="M116" s="25" t="s">
        <v>21</v>
      </c>
      <c r="N116" s="25">
        <v>83.9</v>
      </c>
      <c r="O116" s="25">
        <v>228</v>
      </c>
      <c r="P116" s="25">
        <v>0</v>
      </c>
    </row>
    <row r="117" spans="1:16" x14ac:dyDescent="0.25">
      <c r="A117" s="26">
        <v>45588.594039351854</v>
      </c>
      <c r="B117" s="25" t="s">
        <v>16</v>
      </c>
      <c r="C117" s="25" t="s">
        <v>266</v>
      </c>
      <c r="D117" s="25" t="s">
        <v>267</v>
      </c>
      <c r="E117" s="25">
        <v>253</v>
      </c>
      <c r="F117" s="25" t="s">
        <v>25</v>
      </c>
      <c r="G117" s="25">
        <v>22.8</v>
      </c>
      <c r="H117" s="25">
        <v>78.7</v>
      </c>
      <c r="I117" s="25" t="s">
        <v>38</v>
      </c>
      <c r="J117" s="25">
        <v>49</v>
      </c>
      <c r="K117" s="25">
        <v>180</v>
      </c>
      <c r="L117" s="25">
        <v>3</v>
      </c>
      <c r="M117" s="25" t="s">
        <v>27</v>
      </c>
      <c r="N117" s="25">
        <v>74</v>
      </c>
      <c r="O117" s="25">
        <v>296</v>
      </c>
      <c r="P117" s="25">
        <v>0</v>
      </c>
    </row>
    <row r="118" spans="1:16" x14ac:dyDescent="0.25">
      <c r="A118" s="26">
        <v>45309.357233796298</v>
      </c>
      <c r="B118" s="25" t="s">
        <v>48</v>
      </c>
      <c r="C118" s="25" t="s">
        <v>268</v>
      </c>
      <c r="D118" s="25" t="s">
        <v>269</v>
      </c>
      <c r="E118" s="25">
        <v>491</v>
      </c>
      <c r="F118" s="25" t="s">
        <v>34</v>
      </c>
      <c r="G118" s="25">
        <v>25.5</v>
      </c>
      <c r="H118" s="25">
        <v>50.3</v>
      </c>
      <c r="I118" s="25" t="s">
        <v>26</v>
      </c>
      <c r="J118" s="25">
        <v>18</v>
      </c>
      <c r="K118" s="25">
        <v>111</v>
      </c>
      <c r="L118" s="25">
        <v>1</v>
      </c>
      <c r="M118" s="25" t="s">
        <v>27</v>
      </c>
      <c r="N118" s="25">
        <v>97.1</v>
      </c>
      <c r="O118" s="25">
        <v>100</v>
      </c>
      <c r="P118" s="25">
        <v>1</v>
      </c>
    </row>
    <row r="119" spans="1:16" x14ac:dyDescent="0.25">
      <c r="A119" s="26">
        <v>45611.487951388888</v>
      </c>
      <c r="B119" s="25" t="s">
        <v>61</v>
      </c>
      <c r="C119" s="25" t="s">
        <v>270</v>
      </c>
      <c r="D119" s="25" t="s">
        <v>271</v>
      </c>
      <c r="E119" s="25">
        <v>172</v>
      </c>
      <c r="F119" s="25" t="s">
        <v>19</v>
      </c>
      <c r="G119" s="25">
        <v>22.8</v>
      </c>
      <c r="H119" s="25">
        <v>60.4</v>
      </c>
      <c r="I119" s="25" t="s">
        <v>20</v>
      </c>
      <c r="J119" s="25">
        <v>38</v>
      </c>
      <c r="K119" s="25">
        <v>187</v>
      </c>
      <c r="L119" s="25">
        <v>9</v>
      </c>
      <c r="M119" s="25" t="s">
        <v>27</v>
      </c>
      <c r="N119" s="25">
        <v>83.3</v>
      </c>
      <c r="O119" s="25">
        <v>106</v>
      </c>
      <c r="P119" s="25">
        <v>1</v>
      </c>
    </row>
    <row r="120" spans="1:16" ht="30" customHeight="1" x14ac:dyDescent="0.25">
      <c r="A120" s="26">
        <v>45474.692974537036</v>
      </c>
      <c r="B120" s="25" t="s">
        <v>16</v>
      </c>
      <c r="C120" s="25" t="s">
        <v>272</v>
      </c>
      <c r="D120" s="25" t="s">
        <v>273</v>
      </c>
      <c r="E120" s="25">
        <v>252</v>
      </c>
      <c r="F120" s="25" t="s">
        <v>19</v>
      </c>
      <c r="G120" s="25">
        <v>24.4</v>
      </c>
      <c r="H120" s="25">
        <v>72.3</v>
      </c>
      <c r="I120" s="25" t="s">
        <v>20</v>
      </c>
      <c r="J120" s="25">
        <v>54</v>
      </c>
      <c r="K120" s="25">
        <v>156</v>
      </c>
      <c r="L120" s="25">
        <v>6</v>
      </c>
      <c r="M120" s="25" t="s">
        <v>51</v>
      </c>
      <c r="N120" s="25">
        <v>86.8</v>
      </c>
      <c r="O120" s="25">
        <v>225</v>
      </c>
      <c r="P120" s="25">
        <v>1</v>
      </c>
    </row>
    <row r="121" spans="1:16" ht="30" customHeight="1" x14ac:dyDescent="0.25">
      <c r="A121" s="26">
        <v>45454.336215277777</v>
      </c>
      <c r="B121" s="25" t="s">
        <v>41</v>
      </c>
      <c r="C121" s="25" t="s">
        <v>274</v>
      </c>
      <c r="D121" s="25" t="s">
        <v>275</v>
      </c>
      <c r="E121" s="25">
        <v>118</v>
      </c>
      <c r="F121" s="25" t="s">
        <v>19</v>
      </c>
      <c r="G121" s="25">
        <v>21.8</v>
      </c>
      <c r="H121" s="25">
        <v>52.1</v>
      </c>
      <c r="I121" s="25" t="s">
        <v>38</v>
      </c>
      <c r="J121" s="25">
        <v>19</v>
      </c>
      <c r="K121" s="25">
        <v>421</v>
      </c>
      <c r="L121" s="25">
        <v>8</v>
      </c>
      <c r="M121" s="25" t="s">
        <v>51</v>
      </c>
      <c r="N121" s="25">
        <v>99.1</v>
      </c>
      <c r="O121" s="25">
        <v>284</v>
      </c>
      <c r="P121" s="25">
        <v>1</v>
      </c>
    </row>
    <row r="122" spans="1:16" x14ac:dyDescent="0.25">
      <c r="A122" s="26">
        <v>45476.631064814814</v>
      </c>
      <c r="B122" s="25" t="s">
        <v>41</v>
      </c>
      <c r="C122" s="25" t="s">
        <v>276</v>
      </c>
      <c r="D122" s="25" t="s">
        <v>277</v>
      </c>
      <c r="E122" s="25">
        <v>179</v>
      </c>
      <c r="F122" s="25" t="s">
        <v>19</v>
      </c>
      <c r="G122" s="25">
        <v>25</v>
      </c>
      <c r="H122" s="25">
        <v>71.099999999999994</v>
      </c>
      <c r="I122" s="25" t="s">
        <v>20</v>
      </c>
      <c r="J122" s="25">
        <v>60</v>
      </c>
      <c r="K122" s="25">
        <v>325</v>
      </c>
      <c r="L122" s="25">
        <v>1</v>
      </c>
      <c r="M122" s="25" t="s">
        <v>27</v>
      </c>
      <c r="N122" s="25">
        <v>66.8</v>
      </c>
      <c r="O122" s="25">
        <v>226</v>
      </c>
      <c r="P122" s="25">
        <v>1</v>
      </c>
    </row>
    <row r="123" spans="1:16" x14ac:dyDescent="0.25">
      <c r="A123" s="26">
        <v>45327.028819444444</v>
      </c>
      <c r="B123" s="25" t="s">
        <v>22</v>
      </c>
      <c r="C123" s="25" t="s">
        <v>278</v>
      </c>
      <c r="D123" s="25" t="s">
        <v>279</v>
      </c>
      <c r="E123" s="25">
        <v>119</v>
      </c>
      <c r="F123" s="25" t="s">
        <v>34</v>
      </c>
      <c r="G123" s="25">
        <v>25.9</v>
      </c>
      <c r="H123" s="25">
        <v>77.7</v>
      </c>
      <c r="I123" s="25" t="s">
        <v>38</v>
      </c>
      <c r="J123" s="25">
        <v>38</v>
      </c>
      <c r="K123" s="25">
        <v>189</v>
      </c>
      <c r="L123" s="25">
        <v>7</v>
      </c>
      <c r="M123" s="25" t="s">
        <v>27</v>
      </c>
      <c r="N123" s="25">
        <v>79.3</v>
      </c>
      <c r="O123" s="25">
        <v>149</v>
      </c>
      <c r="P123" s="25">
        <v>0</v>
      </c>
    </row>
    <row r="124" spans="1:16" x14ac:dyDescent="0.25">
      <c r="A124" s="26">
        <v>45363.162569444445</v>
      </c>
      <c r="B124" s="25" t="s">
        <v>64</v>
      </c>
      <c r="C124" s="25" t="s">
        <v>280</v>
      </c>
      <c r="D124" s="25" t="s">
        <v>281</v>
      </c>
      <c r="E124" s="25">
        <v>221</v>
      </c>
      <c r="F124" s="25" t="s">
        <v>19</v>
      </c>
      <c r="G124" s="25">
        <v>22.8</v>
      </c>
      <c r="H124" s="25">
        <v>76.099999999999994</v>
      </c>
      <c r="I124" s="25" t="s">
        <v>20</v>
      </c>
      <c r="J124" s="25">
        <v>35</v>
      </c>
      <c r="K124" s="25">
        <v>233</v>
      </c>
      <c r="L124" s="25">
        <v>4</v>
      </c>
      <c r="M124" s="25" t="s">
        <v>21</v>
      </c>
      <c r="N124" s="25">
        <v>61.5</v>
      </c>
      <c r="O124" s="25">
        <v>281</v>
      </c>
      <c r="P124" s="25">
        <v>1</v>
      </c>
    </row>
    <row r="125" spans="1:16" ht="30" customHeight="1" x14ac:dyDescent="0.25">
      <c r="A125" s="26">
        <v>45613.276689814818</v>
      </c>
      <c r="B125" s="25" t="s">
        <v>16</v>
      </c>
      <c r="C125" s="25" t="s">
        <v>282</v>
      </c>
      <c r="D125" s="25" t="s">
        <v>283</v>
      </c>
      <c r="E125" s="25">
        <v>261</v>
      </c>
      <c r="F125" s="25" t="s">
        <v>19</v>
      </c>
      <c r="G125" s="25">
        <v>24.5</v>
      </c>
      <c r="H125" s="25">
        <v>74.2</v>
      </c>
      <c r="I125" s="25" t="s">
        <v>20</v>
      </c>
      <c r="J125" s="25">
        <v>36</v>
      </c>
      <c r="K125" s="25">
        <v>201</v>
      </c>
      <c r="L125" s="25">
        <v>10</v>
      </c>
      <c r="M125" s="25" t="s">
        <v>51</v>
      </c>
      <c r="N125" s="25">
        <v>67</v>
      </c>
      <c r="O125" s="25">
        <v>226</v>
      </c>
      <c r="P125" s="25">
        <v>1</v>
      </c>
    </row>
    <row r="126" spans="1:16" x14ac:dyDescent="0.25">
      <c r="A126" s="26">
        <v>45503.432673611111</v>
      </c>
      <c r="B126" s="25" t="s">
        <v>64</v>
      </c>
      <c r="C126" s="25" t="s">
        <v>284</v>
      </c>
      <c r="D126" s="25" t="s">
        <v>285</v>
      </c>
      <c r="E126" s="25">
        <v>226</v>
      </c>
      <c r="F126" s="25" t="s">
        <v>34</v>
      </c>
      <c r="G126" s="25">
        <v>25.4</v>
      </c>
      <c r="H126" s="25">
        <v>73.7</v>
      </c>
      <c r="I126" s="25" t="s">
        <v>20</v>
      </c>
      <c r="J126" s="25">
        <v>46</v>
      </c>
      <c r="K126" s="25">
        <v>138</v>
      </c>
      <c r="L126" s="25">
        <v>8</v>
      </c>
      <c r="M126" s="25" t="s">
        <v>35</v>
      </c>
      <c r="N126" s="25">
        <v>75.5</v>
      </c>
      <c r="O126" s="25">
        <v>298</v>
      </c>
      <c r="P126" s="25">
        <v>0</v>
      </c>
    </row>
    <row r="127" spans="1:16" x14ac:dyDescent="0.25">
      <c r="A127" s="26">
        <v>45633.674305555556</v>
      </c>
      <c r="B127" s="25" t="s">
        <v>28</v>
      </c>
      <c r="C127" s="25" t="s">
        <v>286</v>
      </c>
      <c r="D127" s="25" t="s">
        <v>287</v>
      </c>
      <c r="E127" s="25">
        <v>226</v>
      </c>
      <c r="F127" s="25" t="s">
        <v>25</v>
      </c>
      <c r="G127" s="25">
        <v>21.1</v>
      </c>
      <c r="H127" s="25">
        <v>56.1</v>
      </c>
      <c r="I127" s="25" t="s">
        <v>26</v>
      </c>
      <c r="J127" s="25">
        <v>50</v>
      </c>
      <c r="K127" s="25">
        <v>160</v>
      </c>
      <c r="L127" s="25">
        <v>5</v>
      </c>
      <c r="M127" s="25" t="s">
        <v>21</v>
      </c>
      <c r="N127" s="25">
        <v>77.3</v>
      </c>
      <c r="O127" s="25">
        <v>174</v>
      </c>
      <c r="P127" s="25">
        <v>1</v>
      </c>
    </row>
    <row r="128" spans="1:16" ht="30" customHeight="1" x14ac:dyDescent="0.25">
      <c r="A128" s="26">
        <v>45366.745925925927</v>
      </c>
      <c r="B128" s="25" t="s">
        <v>16</v>
      </c>
      <c r="C128" s="25" t="s">
        <v>288</v>
      </c>
      <c r="D128" s="25" t="s">
        <v>289</v>
      </c>
      <c r="E128" s="25">
        <v>415</v>
      </c>
      <c r="F128" s="25" t="s">
        <v>25</v>
      </c>
      <c r="G128" s="25">
        <v>25.3</v>
      </c>
      <c r="H128" s="25">
        <v>54.4</v>
      </c>
      <c r="I128" s="25" t="s">
        <v>26</v>
      </c>
      <c r="J128" s="25">
        <v>53</v>
      </c>
      <c r="K128" s="25">
        <v>345</v>
      </c>
      <c r="L128" s="25">
        <v>2</v>
      </c>
      <c r="M128" s="25" t="s">
        <v>51</v>
      </c>
      <c r="N128" s="25">
        <v>87.4</v>
      </c>
      <c r="O128" s="25">
        <v>181</v>
      </c>
      <c r="P128" s="25">
        <v>1</v>
      </c>
    </row>
    <row r="129" spans="1:16" x14ac:dyDescent="0.25">
      <c r="A129" s="26">
        <v>45580.284398148149</v>
      </c>
      <c r="B129" s="25" t="s">
        <v>61</v>
      </c>
      <c r="C129" s="25" t="s">
        <v>290</v>
      </c>
      <c r="D129" s="25" t="s">
        <v>291</v>
      </c>
      <c r="E129" s="25">
        <v>422</v>
      </c>
      <c r="F129" s="25" t="s">
        <v>34</v>
      </c>
      <c r="G129" s="25">
        <v>29.7</v>
      </c>
      <c r="H129" s="25">
        <v>68.3</v>
      </c>
      <c r="I129" s="25" t="s">
        <v>26</v>
      </c>
      <c r="J129" s="25">
        <v>45</v>
      </c>
      <c r="K129" s="25">
        <v>246</v>
      </c>
      <c r="L129" s="25">
        <v>1</v>
      </c>
      <c r="M129" s="25" t="s">
        <v>27</v>
      </c>
      <c r="N129" s="25">
        <v>85.6</v>
      </c>
      <c r="O129" s="25">
        <v>136</v>
      </c>
      <c r="P129" s="25">
        <v>1</v>
      </c>
    </row>
    <row r="130" spans="1:16" ht="30" customHeight="1" x14ac:dyDescent="0.25">
      <c r="A130" s="26">
        <v>45531.286516203705</v>
      </c>
      <c r="B130" s="25" t="s">
        <v>56</v>
      </c>
      <c r="C130" s="25" t="s">
        <v>292</v>
      </c>
      <c r="D130" s="25" t="s">
        <v>293</v>
      </c>
      <c r="E130" s="25">
        <v>413</v>
      </c>
      <c r="F130" s="25" t="s">
        <v>19</v>
      </c>
      <c r="G130" s="25">
        <v>23.4</v>
      </c>
      <c r="H130" s="25">
        <v>67.099999999999994</v>
      </c>
      <c r="I130" s="25" t="s">
        <v>26</v>
      </c>
      <c r="J130" s="25">
        <v>32</v>
      </c>
      <c r="K130" s="25">
        <v>325</v>
      </c>
      <c r="L130" s="25">
        <v>3</v>
      </c>
      <c r="M130" s="25" t="s">
        <v>51</v>
      </c>
      <c r="N130" s="25">
        <v>93.3</v>
      </c>
      <c r="O130" s="25">
        <v>109</v>
      </c>
      <c r="P130" s="25">
        <v>1</v>
      </c>
    </row>
    <row r="131" spans="1:16" x14ac:dyDescent="0.25">
      <c r="A131" s="26">
        <v>45506.084317129629</v>
      </c>
      <c r="B131" s="25" t="s">
        <v>95</v>
      </c>
      <c r="C131" s="25" t="s">
        <v>294</v>
      </c>
      <c r="D131" s="25" t="s">
        <v>295</v>
      </c>
      <c r="E131" s="25">
        <v>269</v>
      </c>
      <c r="F131" s="25" t="s">
        <v>25</v>
      </c>
      <c r="G131" s="25">
        <v>25.2</v>
      </c>
      <c r="H131" s="25">
        <v>57.7</v>
      </c>
      <c r="I131" s="25" t="s">
        <v>20</v>
      </c>
      <c r="J131" s="25">
        <v>20</v>
      </c>
      <c r="K131" s="25">
        <v>247</v>
      </c>
      <c r="L131" s="25">
        <v>2</v>
      </c>
      <c r="M131" s="25" t="s">
        <v>27</v>
      </c>
      <c r="N131" s="25">
        <v>60.9</v>
      </c>
      <c r="O131" s="25">
        <v>177</v>
      </c>
      <c r="P131" s="25">
        <v>0</v>
      </c>
    </row>
    <row r="132" spans="1:16" x14ac:dyDescent="0.25">
      <c r="A132" s="26">
        <v>45623.783958333333</v>
      </c>
      <c r="B132" s="25" t="s">
        <v>41</v>
      </c>
      <c r="C132" s="25" t="s">
        <v>296</v>
      </c>
      <c r="D132" s="25" t="s">
        <v>297</v>
      </c>
      <c r="E132" s="25">
        <v>489</v>
      </c>
      <c r="F132" s="25" t="s">
        <v>34</v>
      </c>
      <c r="G132" s="25">
        <v>25.7</v>
      </c>
      <c r="H132" s="25">
        <v>50.1</v>
      </c>
      <c r="I132" s="25" t="s">
        <v>26</v>
      </c>
      <c r="J132" s="25">
        <v>51</v>
      </c>
      <c r="K132" s="25">
        <v>204</v>
      </c>
      <c r="L132" s="25">
        <v>1</v>
      </c>
      <c r="M132" s="25" t="s">
        <v>27</v>
      </c>
      <c r="N132" s="25">
        <v>65.099999999999994</v>
      </c>
      <c r="O132" s="25">
        <v>184</v>
      </c>
      <c r="P132" s="25">
        <v>1</v>
      </c>
    </row>
    <row r="133" spans="1:16" x14ac:dyDescent="0.25">
      <c r="A133" s="26">
        <v>45629.226666666669</v>
      </c>
      <c r="B133" s="25" t="s">
        <v>22</v>
      </c>
      <c r="C133" s="25" t="s">
        <v>298</v>
      </c>
      <c r="D133" s="25" t="s">
        <v>299</v>
      </c>
      <c r="E133" s="25">
        <v>426</v>
      </c>
      <c r="F133" s="25" t="s">
        <v>25</v>
      </c>
      <c r="G133" s="25">
        <v>28.8</v>
      </c>
      <c r="H133" s="25">
        <v>56.2</v>
      </c>
      <c r="I133" s="25" t="s">
        <v>38</v>
      </c>
      <c r="J133" s="25">
        <v>30</v>
      </c>
      <c r="K133" s="25">
        <v>145</v>
      </c>
      <c r="L133" s="25">
        <v>3</v>
      </c>
      <c r="M133" s="25" t="s">
        <v>35</v>
      </c>
      <c r="N133" s="25">
        <v>81.2</v>
      </c>
      <c r="O133" s="25">
        <v>220</v>
      </c>
      <c r="P133" s="25">
        <v>0</v>
      </c>
    </row>
    <row r="134" spans="1:16" x14ac:dyDescent="0.25">
      <c r="A134" s="26">
        <v>45327.138692129629</v>
      </c>
      <c r="B134" s="25" t="s">
        <v>64</v>
      </c>
      <c r="C134" s="25" t="s">
        <v>300</v>
      </c>
      <c r="D134" s="25" t="s">
        <v>301</v>
      </c>
      <c r="E134" s="25">
        <v>457</v>
      </c>
      <c r="F134" s="25" t="s">
        <v>34</v>
      </c>
      <c r="G134" s="25">
        <v>27.9</v>
      </c>
      <c r="H134" s="25">
        <v>78.599999999999994</v>
      </c>
      <c r="I134" s="25" t="s">
        <v>26</v>
      </c>
      <c r="J134" s="25">
        <v>18</v>
      </c>
      <c r="K134" s="25">
        <v>461</v>
      </c>
      <c r="L134" s="25">
        <v>6</v>
      </c>
      <c r="M134" s="25" t="s">
        <v>27</v>
      </c>
      <c r="N134" s="25">
        <v>69.099999999999994</v>
      </c>
      <c r="O134" s="25">
        <v>137</v>
      </c>
      <c r="P134" s="25">
        <v>1</v>
      </c>
    </row>
    <row r="135" spans="1:16" ht="30" customHeight="1" x14ac:dyDescent="0.25">
      <c r="A135" s="26">
        <v>45645.957048611112</v>
      </c>
      <c r="B135" s="25" t="s">
        <v>95</v>
      </c>
      <c r="C135" s="25" t="s">
        <v>302</v>
      </c>
      <c r="D135" s="25" t="s">
        <v>303</v>
      </c>
      <c r="E135" s="25">
        <v>270</v>
      </c>
      <c r="F135" s="25" t="s">
        <v>34</v>
      </c>
      <c r="G135" s="25">
        <v>21.7</v>
      </c>
      <c r="H135" s="25">
        <v>53.6</v>
      </c>
      <c r="I135" s="25" t="s">
        <v>38</v>
      </c>
      <c r="J135" s="25">
        <v>15</v>
      </c>
      <c r="K135" s="25">
        <v>499</v>
      </c>
      <c r="L135" s="25">
        <v>8</v>
      </c>
      <c r="M135" s="25" t="s">
        <v>51</v>
      </c>
      <c r="N135" s="25">
        <v>94.9</v>
      </c>
      <c r="O135" s="25">
        <v>111</v>
      </c>
      <c r="P135" s="25">
        <v>0</v>
      </c>
    </row>
    <row r="136" spans="1:16" x14ac:dyDescent="0.25">
      <c r="A136" s="26">
        <v>45619.364016203705</v>
      </c>
      <c r="B136" s="25" t="s">
        <v>16</v>
      </c>
      <c r="C136" s="25" t="s">
        <v>304</v>
      </c>
      <c r="D136" s="25" t="s">
        <v>305</v>
      </c>
      <c r="E136" s="25">
        <v>267</v>
      </c>
      <c r="F136" s="25" t="s">
        <v>25</v>
      </c>
      <c r="G136" s="25">
        <v>29.8</v>
      </c>
      <c r="H136" s="25">
        <v>79.8</v>
      </c>
      <c r="I136" s="25" t="s">
        <v>26</v>
      </c>
      <c r="J136" s="25">
        <v>55</v>
      </c>
      <c r="K136" s="25">
        <v>282</v>
      </c>
      <c r="L136" s="25">
        <v>5</v>
      </c>
      <c r="M136" s="25" t="s">
        <v>21</v>
      </c>
      <c r="N136" s="25">
        <v>90.5</v>
      </c>
      <c r="O136" s="25">
        <v>173</v>
      </c>
      <c r="P136" s="25">
        <v>1</v>
      </c>
    </row>
    <row r="137" spans="1:16" x14ac:dyDescent="0.25">
      <c r="A137" s="26">
        <v>45412.617569444446</v>
      </c>
      <c r="B137" s="25" t="s">
        <v>64</v>
      </c>
      <c r="C137" s="25" t="s">
        <v>306</v>
      </c>
      <c r="D137" s="25" t="s">
        <v>307</v>
      </c>
      <c r="E137" s="25">
        <v>381</v>
      </c>
      <c r="F137" s="25" t="s">
        <v>34</v>
      </c>
      <c r="G137" s="25">
        <v>24.4</v>
      </c>
      <c r="H137" s="25">
        <v>50.1</v>
      </c>
      <c r="I137" s="25" t="s">
        <v>26</v>
      </c>
      <c r="J137" s="25">
        <v>54</v>
      </c>
      <c r="K137" s="25">
        <v>243</v>
      </c>
      <c r="L137" s="25">
        <v>6</v>
      </c>
      <c r="M137" s="25" t="s">
        <v>21</v>
      </c>
      <c r="N137" s="25">
        <v>61.5</v>
      </c>
      <c r="O137" s="25">
        <v>278</v>
      </c>
      <c r="P137" s="25">
        <v>1</v>
      </c>
    </row>
    <row r="138" spans="1:16" x14ac:dyDescent="0.25">
      <c r="A138" s="26">
        <v>45450.28193287037</v>
      </c>
      <c r="B138" s="25" t="s">
        <v>61</v>
      </c>
      <c r="C138" s="25" t="s">
        <v>308</v>
      </c>
      <c r="D138" s="25" t="s">
        <v>309</v>
      </c>
      <c r="E138" s="25">
        <v>402</v>
      </c>
      <c r="F138" s="25" t="s">
        <v>34</v>
      </c>
      <c r="G138" s="25">
        <v>27</v>
      </c>
      <c r="H138" s="25">
        <v>74.2</v>
      </c>
      <c r="I138" s="25" t="s">
        <v>26</v>
      </c>
      <c r="J138" s="25">
        <v>17</v>
      </c>
      <c r="K138" s="25">
        <v>155</v>
      </c>
      <c r="L138" s="25">
        <v>10</v>
      </c>
      <c r="M138" s="25" t="s">
        <v>35</v>
      </c>
      <c r="N138" s="25">
        <v>73.400000000000006</v>
      </c>
      <c r="O138" s="25">
        <v>281</v>
      </c>
      <c r="P138" s="25">
        <v>1</v>
      </c>
    </row>
    <row r="139" spans="1:16" ht="30" customHeight="1" x14ac:dyDescent="0.25">
      <c r="A139" s="26">
        <v>45620.201053240744</v>
      </c>
      <c r="B139" s="25" t="s">
        <v>41</v>
      </c>
      <c r="C139" s="25" t="s">
        <v>310</v>
      </c>
      <c r="D139" s="25" t="s">
        <v>311</v>
      </c>
      <c r="E139" s="25">
        <v>331</v>
      </c>
      <c r="F139" s="25" t="s">
        <v>34</v>
      </c>
      <c r="G139" s="25">
        <v>20.399999999999999</v>
      </c>
      <c r="H139" s="25">
        <v>66.099999999999994</v>
      </c>
      <c r="I139" s="25" t="s">
        <v>26</v>
      </c>
      <c r="J139" s="25">
        <v>25</v>
      </c>
      <c r="K139" s="25">
        <v>261</v>
      </c>
      <c r="L139" s="25">
        <v>6</v>
      </c>
      <c r="M139" s="25" t="s">
        <v>51</v>
      </c>
      <c r="N139" s="25">
        <v>77.7</v>
      </c>
      <c r="O139" s="25">
        <v>264</v>
      </c>
      <c r="P139" s="25">
        <v>1</v>
      </c>
    </row>
    <row r="140" spans="1:16" x14ac:dyDescent="0.25">
      <c r="A140" s="26">
        <v>45502.039004629631</v>
      </c>
      <c r="B140" s="25" t="s">
        <v>64</v>
      </c>
      <c r="C140" s="25" t="s">
        <v>312</v>
      </c>
      <c r="D140" s="25" t="s">
        <v>313</v>
      </c>
      <c r="E140" s="25">
        <v>167</v>
      </c>
      <c r="F140" s="25" t="s">
        <v>34</v>
      </c>
      <c r="G140" s="25">
        <v>25.6</v>
      </c>
      <c r="H140" s="25">
        <v>62.5</v>
      </c>
      <c r="I140" s="25" t="s">
        <v>20</v>
      </c>
      <c r="J140" s="25">
        <v>40</v>
      </c>
      <c r="K140" s="25">
        <v>246</v>
      </c>
      <c r="L140" s="25">
        <v>9</v>
      </c>
      <c r="M140" s="25" t="s">
        <v>35</v>
      </c>
      <c r="N140" s="25">
        <v>63.8</v>
      </c>
      <c r="O140" s="25">
        <v>126</v>
      </c>
      <c r="P140" s="25">
        <v>0</v>
      </c>
    </row>
    <row r="141" spans="1:16" x14ac:dyDescent="0.25">
      <c r="A141" s="26">
        <v>45444.833518518521</v>
      </c>
      <c r="B141" s="25" t="s">
        <v>41</v>
      </c>
      <c r="C141" s="25" t="s">
        <v>314</v>
      </c>
      <c r="D141" s="25" t="s">
        <v>315</v>
      </c>
      <c r="E141" s="25">
        <v>187</v>
      </c>
      <c r="F141" s="25" t="s">
        <v>19</v>
      </c>
      <c r="G141" s="25">
        <v>23.3</v>
      </c>
      <c r="H141" s="25">
        <v>71.7</v>
      </c>
      <c r="I141" s="25" t="s">
        <v>26</v>
      </c>
      <c r="J141" s="25">
        <v>10</v>
      </c>
      <c r="K141" s="25">
        <v>209</v>
      </c>
      <c r="L141" s="25">
        <v>10</v>
      </c>
      <c r="M141" s="25" t="s">
        <v>35</v>
      </c>
      <c r="N141" s="25">
        <v>97.2</v>
      </c>
      <c r="O141" s="25">
        <v>151</v>
      </c>
      <c r="P141" s="25">
        <v>1</v>
      </c>
    </row>
    <row r="142" spans="1:16" x14ac:dyDescent="0.25">
      <c r="A142" s="26">
        <v>45491.513425925928</v>
      </c>
      <c r="B142" s="25" t="s">
        <v>28</v>
      </c>
      <c r="C142" s="25" t="s">
        <v>316</v>
      </c>
      <c r="D142" s="25" t="s">
        <v>317</v>
      </c>
      <c r="E142" s="25">
        <v>298</v>
      </c>
      <c r="F142" s="25" t="s">
        <v>25</v>
      </c>
      <c r="G142" s="25">
        <v>18.600000000000001</v>
      </c>
      <c r="H142" s="25">
        <v>74.400000000000006</v>
      </c>
      <c r="I142" s="25" t="s">
        <v>20</v>
      </c>
      <c r="J142" s="25">
        <v>41</v>
      </c>
      <c r="K142" s="25">
        <v>248</v>
      </c>
      <c r="L142" s="25">
        <v>1</v>
      </c>
      <c r="M142" s="25" t="s">
        <v>21</v>
      </c>
      <c r="N142" s="25">
        <v>86.3</v>
      </c>
      <c r="O142" s="25">
        <v>283</v>
      </c>
      <c r="P142" s="25">
        <v>0</v>
      </c>
    </row>
    <row r="143" spans="1:16" ht="30" customHeight="1" x14ac:dyDescent="0.25">
      <c r="A143" s="26">
        <v>45642.492060185185</v>
      </c>
      <c r="B143" s="25" t="s">
        <v>22</v>
      </c>
      <c r="C143" s="25" t="s">
        <v>318</v>
      </c>
      <c r="D143" s="25" t="s">
        <v>319</v>
      </c>
      <c r="E143" s="25">
        <v>331</v>
      </c>
      <c r="F143" s="25" t="s">
        <v>19</v>
      </c>
      <c r="G143" s="25">
        <v>21.4</v>
      </c>
      <c r="H143" s="25">
        <v>62.9</v>
      </c>
      <c r="I143" s="25" t="s">
        <v>20</v>
      </c>
      <c r="J143" s="25">
        <v>46</v>
      </c>
      <c r="K143" s="25">
        <v>235</v>
      </c>
      <c r="L143" s="25">
        <v>8</v>
      </c>
      <c r="M143" s="25" t="s">
        <v>51</v>
      </c>
      <c r="N143" s="25">
        <v>62.6</v>
      </c>
      <c r="O143" s="25">
        <v>298</v>
      </c>
      <c r="P143" s="25">
        <v>1</v>
      </c>
    </row>
    <row r="144" spans="1:16" ht="30" customHeight="1" x14ac:dyDescent="0.25">
      <c r="A144" s="26">
        <v>45397.94258101852</v>
      </c>
      <c r="B144" s="25" t="s">
        <v>48</v>
      </c>
      <c r="C144" s="25" t="s">
        <v>320</v>
      </c>
      <c r="D144" s="25" t="s">
        <v>321</v>
      </c>
      <c r="E144" s="25">
        <v>180</v>
      </c>
      <c r="F144" s="25" t="s">
        <v>34</v>
      </c>
      <c r="G144" s="25">
        <v>27.2</v>
      </c>
      <c r="H144" s="25">
        <v>52.9</v>
      </c>
      <c r="I144" s="25" t="s">
        <v>38</v>
      </c>
      <c r="J144" s="25">
        <v>29</v>
      </c>
      <c r="K144" s="25">
        <v>390</v>
      </c>
      <c r="L144" s="25">
        <v>8</v>
      </c>
      <c r="M144" s="25" t="s">
        <v>51</v>
      </c>
      <c r="N144" s="25">
        <v>68.400000000000006</v>
      </c>
      <c r="O144" s="25">
        <v>110</v>
      </c>
      <c r="P144" s="25">
        <v>0</v>
      </c>
    </row>
    <row r="145" spans="1:16" x14ac:dyDescent="0.25">
      <c r="A145" s="26">
        <v>45387.437002314815</v>
      </c>
      <c r="B145" s="25" t="s">
        <v>28</v>
      </c>
      <c r="C145" s="25" t="s">
        <v>322</v>
      </c>
      <c r="D145" s="25" t="s">
        <v>323</v>
      </c>
      <c r="E145" s="25">
        <v>282</v>
      </c>
      <c r="F145" s="25" t="s">
        <v>25</v>
      </c>
      <c r="G145" s="25">
        <v>19.399999999999999</v>
      </c>
      <c r="H145" s="25">
        <v>71.900000000000006</v>
      </c>
      <c r="I145" s="25" t="s">
        <v>38</v>
      </c>
      <c r="J145" s="25">
        <v>43</v>
      </c>
      <c r="K145" s="25">
        <v>464</v>
      </c>
      <c r="L145" s="25">
        <v>10</v>
      </c>
      <c r="M145" s="25" t="s">
        <v>35</v>
      </c>
      <c r="N145" s="25">
        <v>90</v>
      </c>
      <c r="O145" s="25">
        <v>107</v>
      </c>
      <c r="P145" s="25">
        <v>0</v>
      </c>
    </row>
    <row r="146" spans="1:16" x14ac:dyDescent="0.25">
      <c r="A146" s="26">
        <v>45646.518275462964</v>
      </c>
      <c r="B146" s="25" t="s">
        <v>41</v>
      </c>
      <c r="C146" s="25" t="s">
        <v>324</v>
      </c>
      <c r="D146" s="25" t="s">
        <v>325</v>
      </c>
      <c r="E146" s="25">
        <v>363</v>
      </c>
      <c r="F146" s="25" t="s">
        <v>19</v>
      </c>
      <c r="G146" s="25">
        <v>27</v>
      </c>
      <c r="H146" s="25">
        <v>70.900000000000006</v>
      </c>
      <c r="I146" s="25" t="s">
        <v>20</v>
      </c>
      <c r="J146" s="25">
        <v>52</v>
      </c>
      <c r="K146" s="25">
        <v>482</v>
      </c>
      <c r="L146" s="25">
        <v>6</v>
      </c>
      <c r="M146" s="25" t="s">
        <v>27</v>
      </c>
      <c r="N146" s="25">
        <v>62.9</v>
      </c>
      <c r="O146" s="25">
        <v>248</v>
      </c>
      <c r="P146" s="25">
        <v>1</v>
      </c>
    </row>
    <row r="147" spans="1:16" ht="30" customHeight="1" x14ac:dyDescent="0.25">
      <c r="A147" s="26">
        <v>45475.130173611113</v>
      </c>
      <c r="B147" s="25" t="s">
        <v>61</v>
      </c>
      <c r="C147" s="25" t="s">
        <v>326</v>
      </c>
      <c r="D147" s="25" t="s">
        <v>327</v>
      </c>
      <c r="E147" s="25">
        <v>212</v>
      </c>
      <c r="F147" s="25" t="s">
        <v>34</v>
      </c>
      <c r="G147" s="25">
        <v>25.9</v>
      </c>
      <c r="H147" s="25">
        <v>68</v>
      </c>
      <c r="I147" s="25" t="s">
        <v>26</v>
      </c>
      <c r="J147" s="25">
        <v>32</v>
      </c>
      <c r="K147" s="25">
        <v>312</v>
      </c>
      <c r="L147" s="25">
        <v>6</v>
      </c>
      <c r="M147" s="25" t="s">
        <v>51</v>
      </c>
      <c r="N147" s="25">
        <v>87.6</v>
      </c>
      <c r="O147" s="25">
        <v>296</v>
      </c>
      <c r="P147" s="25">
        <v>1</v>
      </c>
    </row>
    <row r="148" spans="1:16" x14ac:dyDescent="0.25">
      <c r="A148" s="26">
        <v>45319.196793981479</v>
      </c>
      <c r="B148" s="25" t="s">
        <v>95</v>
      </c>
      <c r="C148" s="25" t="s">
        <v>328</v>
      </c>
      <c r="D148" s="25" t="s">
        <v>329</v>
      </c>
      <c r="E148" s="25">
        <v>317</v>
      </c>
      <c r="F148" s="25" t="s">
        <v>25</v>
      </c>
      <c r="G148" s="25">
        <v>23.9</v>
      </c>
      <c r="H148" s="25">
        <v>69.5</v>
      </c>
      <c r="I148" s="25" t="s">
        <v>38</v>
      </c>
      <c r="J148" s="25">
        <v>59</v>
      </c>
      <c r="K148" s="25">
        <v>447</v>
      </c>
      <c r="L148" s="25">
        <v>1</v>
      </c>
      <c r="M148" s="25" t="s">
        <v>27</v>
      </c>
      <c r="N148" s="25">
        <v>97.1</v>
      </c>
      <c r="O148" s="25">
        <v>294</v>
      </c>
      <c r="P148" s="25">
        <v>0</v>
      </c>
    </row>
    <row r="149" spans="1:16" x14ac:dyDescent="0.25">
      <c r="A149" s="26">
        <v>45305.860578703701</v>
      </c>
      <c r="B149" s="25" t="s">
        <v>48</v>
      </c>
      <c r="C149" s="25" t="s">
        <v>330</v>
      </c>
      <c r="D149" s="25" t="s">
        <v>331</v>
      </c>
      <c r="E149" s="25">
        <v>240</v>
      </c>
      <c r="F149" s="25" t="s">
        <v>34</v>
      </c>
      <c r="G149" s="25">
        <v>18.8</v>
      </c>
      <c r="H149" s="25">
        <v>63.9</v>
      </c>
      <c r="I149" s="25" t="s">
        <v>20</v>
      </c>
      <c r="J149" s="25">
        <v>23</v>
      </c>
      <c r="K149" s="25">
        <v>462</v>
      </c>
      <c r="L149" s="25">
        <v>1</v>
      </c>
      <c r="M149" s="25" t="s">
        <v>21</v>
      </c>
      <c r="N149" s="25">
        <v>61.2</v>
      </c>
      <c r="O149" s="25">
        <v>276</v>
      </c>
      <c r="P149" s="25">
        <v>0</v>
      </c>
    </row>
    <row r="150" spans="1:16" x14ac:dyDescent="0.25">
      <c r="A150" s="26">
        <v>45510.482685185183</v>
      </c>
      <c r="B150" s="25" t="s">
        <v>28</v>
      </c>
      <c r="C150" s="25" t="s">
        <v>332</v>
      </c>
      <c r="D150" s="25" t="s">
        <v>333</v>
      </c>
      <c r="E150" s="25">
        <v>427</v>
      </c>
      <c r="F150" s="25" t="s">
        <v>19</v>
      </c>
      <c r="G150" s="25">
        <v>20.3</v>
      </c>
      <c r="H150" s="25">
        <v>57.3</v>
      </c>
      <c r="I150" s="25" t="s">
        <v>26</v>
      </c>
      <c r="J150" s="25">
        <v>18</v>
      </c>
      <c r="K150" s="25">
        <v>341</v>
      </c>
      <c r="L150" s="25">
        <v>3</v>
      </c>
      <c r="M150" s="25" t="s">
        <v>27</v>
      </c>
      <c r="N150" s="25">
        <v>85.7</v>
      </c>
      <c r="O150" s="25">
        <v>189</v>
      </c>
      <c r="P150" s="25">
        <v>1</v>
      </c>
    </row>
    <row r="151" spans="1:16" x14ac:dyDescent="0.25">
      <c r="A151" s="26">
        <v>45634.048877314817</v>
      </c>
      <c r="B151" s="25" t="s">
        <v>28</v>
      </c>
      <c r="C151" s="25" t="s">
        <v>334</v>
      </c>
      <c r="D151" s="25" t="s">
        <v>335</v>
      </c>
      <c r="E151" s="25">
        <v>144</v>
      </c>
      <c r="F151" s="25" t="s">
        <v>19</v>
      </c>
      <c r="G151" s="25">
        <v>18.2</v>
      </c>
      <c r="H151" s="25">
        <v>53.1</v>
      </c>
      <c r="I151" s="25" t="s">
        <v>38</v>
      </c>
      <c r="J151" s="25">
        <v>16</v>
      </c>
      <c r="K151" s="25">
        <v>106</v>
      </c>
      <c r="L151" s="25">
        <v>5</v>
      </c>
      <c r="M151" s="25" t="s">
        <v>27</v>
      </c>
      <c r="N151" s="25">
        <v>69.400000000000006</v>
      </c>
      <c r="O151" s="25">
        <v>214</v>
      </c>
      <c r="P151" s="25">
        <v>1</v>
      </c>
    </row>
    <row r="152" spans="1:16" x14ac:dyDescent="0.25">
      <c r="A152" s="26">
        <v>45349.077766203707</v>
      </c>
      <c r="B152" s="25" t="s">
        <v>56</v>
      </c>
      <c r="C152" s="25" t="s">
        <v>336</v>
      </c>
      <c r="D152" s="25" t="s">
        <v>337</v>
      </c>
      <c r="E152" s="25">
        <v>280</v>
      </c>
      <c r="F152" s="25" t="s">
        <v>25</v>
      </c>
      <c r="G152" s="25">
        <v>25.5</v>
      </c>
      <c r="H152" s="25">
        <v>74.2</v>
      </c>
      <c r="I152" s="25" t="s">
        <v>38</v>
      </c>
      <c r="J152" s="25">
        <v>46</v>
      </c>
      <c r="K152" s="25">
        <v>447</v>
      </c>
      <c r="L152" s="25">
        <v>2</v>
      </c>
      <c r="M152" s="25" t="s">
        <v>35</v>
      </c>
      <c r="N152" s="25">
        <v>65.3</v>
      </c>
      <c r="O152" s="25">
        <v>236</v>
      </c>
      <c r="P152" s="25">
        <v>0</v>
      </c>
    </row>
    <row r="153" spans="1:16" x14ac:dyDescent="0.25">
      <c r="A153" s="26">
        <v>45336.894803240742</v>
      </c>
      <c r="B153" s="25" t="s">
        <v>48</v>
      </c>
      <c r="C153" s="25" t="s">
        <v>338</v>
      </c>
      <c r="D153" s="25" t="s">
        <v>339</v>
      </c>
      <c r="E153" s="25">
        <v>182</v>
      </c>
      <c r="F153" s="25" t="s">
        <v>19</v>
      </c>
      <c r="G153" s="25">
        <v>20.3</v>
      </c>
      <c r="H153" s="25">
        <v>59.8</v>
      </c>
      <c r="I153" s="25" t="s">
        <v>20</v>
      </c>
      <c r="J153" s="25">
        <v>30</v>
      </c>
      <c r="K153" s="25">
        <v>288</v>
      </c>
      <c r="L153" s="25">
        <v>7</v>
      </c>
      <c r="M153" s="25" t="s">
        <v>21</v>
      </c>
      <c r="N153" s="25">
        <v>83.3</v>
      </c>
      <c r="O153" s="25">
        <v>107</v>
      </c>
      <c r="P153" s="25">
        <v>1</v>
      </c>
    </row>
    <row r="154" spans="1:16" ht="30" customHeight="1" x14ac:dyDescent="0.25">
      <c r="A154" s="26">
        <v>45372.491956018515</v>
      </c>
      <c r="B154" s="25" t="s">
        <v>61</v>
      </c>
      <c r="C154" s="25" t="s">
        <v>340</v>
      </c>
      <c r="D154" s="25" t="s">
        <v>341</v>
      </c>
      <c r="E154" s="25">
        <v>439</v>
      </c>
      <c r="F154" s="25" t="s">
        <v>19</v>
      </c>
      <c r="G154" s="25">
        <v>21.5</v>
      </c>
      <c r="H154" s="25">
        <v>72.8</v>
      </c>
      <c r="I154" s="25" t="s">
        <v>26</v>
      </c>
      <c r="J154" s="25">
        <v>30</v>
      </c>
      <c r="K154" s="25">
        <v>101</v>
      </c>
      <c r="L154" s="25">
        <v>10</v>
      </c>
      <c r="M154" s="25" t="s">
        <v>51</v>
      </c>
      <c r="N154" s="25">
        <v>90.4</v>
      </c>
      <c r="O154" s="25">
        <v>114</v>
      </c>
      <c r="P154" s="25">
        <v>1</v>
      </c>
    </row>
    <row r="155" spans="1:16" ht="30" customHeight="1" x14ac:dyDescent="0.25">
      <c r="A155" s="26">
        <v>45581.955706018518</v>
      </c>
      <c r="B155" s="25" t="s">
        <v>48</v>
      </c>
      <c r="C155" s="25" t="s">
        <v>342</v>
      </c>
      <c r="D155" s="25" t="s">
        <v>343</v>
      </c>
      <c r="E155" s="25">
        <v>174</v>
      </c>
      <c r="F155" s="25" t="s">
        <v>19</v>
      </c>
      <c r="G155" s="25">
        <v>27.2</v>
      </c>
      <c r="H155" s="25">
        <v>77.900000000000006</v>
      </c>
      <c r="I155" s="25" t="s">
        <v>26</v>
      </c>
      <c r="J155" s="25">
        <v>39</v>
      </c>
      <c r="K155" s="25">
        <v>173</v>
      </c>
      <c r="L155" s="25">
        <v>5</v>
      </c>
      <c r="M155" s="25" t="s">
        <v>51</v>
      </c>
      <c r="N155" s="25">
        <v>91.1</v>
      </c>
      <c r="O155" s="25">
        <v>262</v>
      </c>
      <c r="P155" s="25">
        <v>1</v>
      </c>
    </row>
    <row r="156" spans="1:16" x14ac:dyDescent="0.25">
      <c r="A156" s="26">
        <v>45343.972696759258</v>
      </c>
      <c r="B156" s="25" t="s">
        <v>22</v>
      </c>
      <c r="C156" s="25" t="s">
        <v>344</v>
      </c>
      <c r="D156" s="25" t="s">
        <v>345</v>
      </c>
      <c r="E156" s="25">
        <v>186</v>
      </c>
      <c r="F156" s="25" t="s">
        <v>19</v>
      </c>
      <c r="G156" s="25">
        <v>24</v>
      </c>
      <c r="H156" s="25">
        <v>67.3</v>
      </c>
      <c r="I156" s="25" t="s">
        <v>20</v>
      </c>
      <c r="J156" s="25">
        <v>44</v>
      </c>
      <c r="K156" s="25">
        <v>352</v>
      </c>
      <c r="L156" s="25">
        <v>9</v>
      </c>
      <c r="M156" s="25" t="s">
        <v>21</v>
      </c>
      <c r="N156" s="25">
        <v>85.7</v>
      </c>
      <c r="O156" s="25">
        <v>262</v>
      </c>
      <c r="P156" s="25">
        <v>1</v>
      </c>
    </row>
    <row r="157" spans="1:16" x14ac:dyDescent="0.25">
      <c r="A157" s="26">
        <v>45559.928587962961</v>
      </c>
      <c r="B157" s="25" t="s">
        <v>28</v>
      </c>
      <c r="C157" s="25" t="s">
        <v>346</v>
      </c>
      <c r="D157" s="25" t="s">
        <v>347</v>
      </c>
      <c r="E157" s="25">
        <v>109</v>
      </c>
      <c r="F157" s="25" t="s">
        <v>34</v>
      </c>
      <c r="G157" s="25">
        <v>26.9</v>
      </c>
      <c r="H157" s="25">
        <v>75.3</v>
      </c>
      <c r="I157" s="25" t="s">
        <v>20</v>
      </c>
      <c r="J157" s="25">
        <v>26</v>
      </c>
      <c r="K157" s="25">
        <v>314</v>
      </c>
      <c r="L157" s="25">
        <v>7</v>
      </c>
      <c r="M157" s="25" t="s">
        <v>21</v>
      </c>
      <c r="N157" s="25">
        <v>93.3</v>
      </c>
      <c r="O157" s="25">
        <v>176</v>
      </c>
      <c r="P157" s="25">
        <v>0</v>
      </c>
    </row>
    <row r="158" spans="1:16" ht="30" customHeight="1" x14ac:dyDescent="0.25">
      <c r="A158" s="26">
        <v>45381.432060185187</v>
      </c>
      <c r="B158" s="25" t="s">
        <v>41</v>
      </c>
      <c r="C158" s="25" t="s">
        <v>348</v>
      </c>
      <c r="D158" s="25" t="s">
        <v>349</v>
      </c>
      <c r="E158" s="25">
        <v>483</v>
      </c>
      <c r="F158" s="25" t="s">
        <v>25</v>
      </c>
      <c r="G158" s="25">
        <v>21.9</v>
      </c>
      <c r="H158" s="25">
        <v>71.900000000000006</v>
      </c>
      <c r="I158" s="25" t="s">
        <v>20</v>
      </c>
      <c r="J158" s="25">
        <v>59</v>
      </c>
      <c r="K158" s="25">
        <v>226</v>
      </c>
      <c r="L158" s="25">
        <v>10</v>
      </c>
      <c r="M158" s="25" t="s">
        <v>51</v>
      </c>
      <c r="N158" s="25">
        <v>69.2</v>
      </c>
      <c r="O158" s="25">
        <v>152</v>
      </c>
      <c r="P158" s="25">
        <v>0</v>
      </c>
    </row>
    <row r="159" spans="1:16" x14ac:dyDescent="0.25">
      <c r="A159" s="26">
        <v>45641.317395833335</v>
      </c>
      <c r="B159" s="25" t="s">
        <v>48</v>
      </c>
      <c r="C159" s="25" t="s">
        <v>350</v>
      </c>
      <c r="D159" s="25" t="s">
        <v>351</v>
      </c>
      <c r="E159" s="25">
        <v>100</v>
      </c>
      <c r="F159" s="25" t="s">
        <v>19</v>
      </c>
      <c r="G159" s="25">
        <v>27.5</v>
      </c>
      <c r="H159" s="25">
        <v>68.599999999999994</v>
      </c>
      <c r="I159" s="25" t="s">
        <v>38</v>
      </c>
      <c r="J159" s="25">
        <v>49</v>
      </c>
      <c r="K159" s="25">
        <v>464</v>
      </c>
      <c r="L159" s="25">
        <v>3</v>
      </c>
      <c r="M159" s="25" t="s">
        <v>21</v>
      </c>
      <c r="N159" s="25">
        <v>61.7</v>
      </c>
      <c r="O159" s="25">
        <v>149</v>
      </c>
      <c r="P159" s="25">
        <v>1</v>
      </c>
    </row>
    <row r="160" spans="1:16" x14ac:dyDescent="0.25">
      <c r="A160" s="26">
        <v>45377.936990740738</v>
      </c>
      <c r="B160" s="25" t="s">
        <v>95</v>
      </c>
      <c r="C160" s="25" t="s">
        <v>352</v>
      </c>
      <c r="D160" s="25" t="s">
        <v>353</v>
      </c>
      <c r="E160" s="25">
        <v>128</v>
      </c>
      <c r="F160" s="25" t="s">
        <v>34</v>
      </c>
      <c r="G160" s="25">
        <v>28.9</v>
      </c>
      <c r="H160" s="25">
        <v>63.7</v>
      </c>
      <c r="I160" s="25" t="s">
        <v>38</v>
      </c>
      <c r="J160" s="25">
        <v>56</v>
      </c>
      <c r="K160" s="25">
        <v>140</v>
      </c>
      <c r="L160" s="25">
        <v>1</v>
      </c>
      <c r="M160" s="25" t="s">
        <v>27</v>
      </c>
      <c r="N160" s="25">
        <v>72.8</v>
      </c>
      <c r="O160" s="25">
        <v>127</v>
      </c>
      <c r="P160" s="25">
        <v>0</v>
      </c>
    </row>
    <row r="161" spans="1:16" x14ac:dyDescent="0.25">
      <c r="A161" s="26">
        <v>45421.784409722219</v>
      </c>
      <c r="B161" s="25" t="s">
        <v>28</v>
      </c>
      <c r="C161" s="25" t="s">
        <v>354</v>
      </c>
      <c r="D161" s="25" t="s">
        <v>355</v>
      </c>
      <c r="E161" s="25">
        <v>100</v>
      </c>
      <c r="F161" s="25" t="s">
        <v>25</v>
      </c>
      <c r="G161" s="25">
        <v>21.9</v>
      </c>
      <c r="H161" s="25">
        <v>72.099999999999994</v>
      </c>
      <c r="I161" s="25" t="s">
        <v>20</v>
      </c>
      <c r="J161" s="25">
        <v>22</v>
      </c>
      <c r="K161" s="25">
        <v>413</v>
      </c>
      <c r="L161" s="25">
        <v>1</v>
      </c>
      <c r="M161" s="25" t="s">
        <v>27</v>
      </c>
      <c r="N161" s="25">
        <v>67.5</v>
      </c>
      <c r="O161" s="25">
        <v>145</v>
      </c>
      <c r="P161" s="25">
        <v>0</v>
      </c>
    </row>
    <row r="162" spans="1:16" x14ac:dyDescent="0.25">
      <c r="A162" s="26">
        <v>45615.414594907408</v>
      </c>
      <c r="B162" s="25" t="s">
        <v>22</v>
      </c>
      <c r="C162" s="25" t="s">
        <v>356</v>
      </c>
      <c r="D162" s="25" t="s">
        <v>357</v>
      </c>
      <c r="E162" s="25">
        <v>468</v>
      </c>
      <c r="F162" s="25" t="s">
        <v>19</v>
      </c>
      <c r="G162" s="25">
        <v>28.6</v>
      </c>
      <c r="H162" s="25">
        <v>65.099999999999994</v>
      </c>
      <c r="I162" s="25" t="s">
        <v>26</v>
      </c>
      <c r="J162" s="25">
        <v>45</v>
      </c>
      <c r="K162" s="25">
        <v>419</v>
      </c>
      <c r="L162" s="25">
        <v>8</v>
      </c>
      <c r="M162" s="25" t="s">
        <v>21</v>
      </c>
      <c r="N162" s="25">
        <v>76.099999999999994</v>
      </c>
      <c r="O162" s="25">
        <v>119</v>
      </c>
      <c r="P162" s="25">
        <v>1</v>
      </c>
    </row>
    <row r="163" spans="1:16" x14ac:dyDescent="0.25">
      <c r="A163" s="26">
        <v>45622.714687500003</v>
      </c>
      <c r="B163" s="25" t="s">
        <v>56</v>
      </c>
      <c r="C163" s="25" t="s">
        <v>358</v>
      </c>
      <c r="D163" s="25" t="s">
        <v>359</v>
      </c>
      <c r="E163" s="25">
        <v>243</v>
      </c>
      <c r="F163" s="25" t="s">
        <v>25</v>
      </c>
      <c r="G163" s="25">
        <v>27.7</v>
      </c>
      <c r="H163" s="25">
        <v>74.8</v>
      </c>
      <c r="I163" s="25" t="s">
        <v>20</v>
      </c>
      <c r="J163" s="25">
        <v>28</v>
      </c>
      <c r="K163" s="25">
        <v>311</v>
      </c>
      <c r="L163" s="25">
        <v>9</v>
      </c>
      <c r="M163" s="25" t="s">
        <v>21</v>
      </c>
      <c r="N163" s="25">
        <v>97.5</v>
      </c>
      <c r="O163" s="25">
        <v>272</v>
      </c>
      <c r="P163" s="25">
        <v>0</v>
      </c>
    </row>
    <row r="164" spans="1:16" x14ac:dyDescent="0.25">
      <c r="A164" s="26">
        <v>45402.412708333337</v>
      </c>
      <c r="B164" s="25" t="s">
        <v>48</v>
      </c>
      <c r="C164" s="25" t="s">
        <v>360</v>
      </c>
      <c r="D164" s="25" t="s">
        <v>361</v>
      </c>
      <c r="E164" s="25">
        <v>134</v>
      </c>
      <c r="F164" s="25" t="s">
        <v>19</v>
      </c>
      <c r="G164" s="25">
        <v>29.2</v>
      </c>
      <c r="H164" s="25">
        <v>55.5</v>
      </c>
      <c r="I164" s="25" t="s">
        <v>20</v>
      </c>
      <c r="J164" s="25">
        <v>34</v>
      </c>
      <c r="K164" s="25">
        <v>189</v>
      </c>
      <c r="L164" s="25">
        <v>1</v>
      </c>
      <c r="M164" s="25" t="s">
        <v>27</v>
      </c>
      <c r="N164" s="25">
        <v>87.8</v>
      </c>
      <c r="O164" s="25">
        <v>270</v>
      </c>
      <c r="P164" s="25">
        <v>1</v>
      </c>
    </row>
    <row r="165" spans="1:16" x14ac:dyDescent="0.25">
      <c r="A165" s="26">
        <v>45448.805046296293</v>
      </c>
      <c r="B165" s="25" t="s">
        <v>61</v>
      </c>
      <c r="C165" s="25" t="s">
        <v>362</v>
      </c>
      <c r="D165" s="25" t="s">
        <v>363</v>
      </c>
      <c r="E165" s="25">
        <v>484</v>
      </c>
      <c r="F165" s="25" t="s">
        <v>34</v>
      </c>
      <c r="G165" s="25">
        <v>29.1</v>
      </c>
      <c r="H165" s="25">
        <v>54.7</v>
      </c>
      <c r="I165" s="25" t="s">
        <v>20</v>
      </c>
      <c r="J165" s="25">
        <v>48</v>
      </c>
      <c r="K165" s="25">
        <v>320</v>
      </c>
      <c r="L165" s="25">
        <v>7</v>
      </c>
      <c r="M165" s="25" t="s">
        <v>27</v>
      </c>
      <c r="N165" s="25">
        <v>84.6</v>
      </c>
      <c r="O165" s="25">
        <v>118</v>
      </c>
      <c r="P165" s="25">
        <v>0</v>
      </c>
    </row>
    <row r="166" spans="1:16" x14ac:dyDescent="0.25">
      <c r="A166" s="26">
        <v>45481.185173611113</v>
      </c>
      <c r="B166" s="25" t="s">
        <v>22</v>
      </c>
      <c r="C166" s="25" t="s">
        <v>364</v>
      </c>
      <c r="D166" s="25" t="s">
        <v>365</v>
      </c>
      <c r="E166" s="25">
        <v>300</v>
      </c>
      <c r="F166" s="25" t="s">
        <v>34</v>
      </c>
      <c r="G166" s="25">
        <v>22.4</v>
      </c>
      <c r="H166" s="25">
        <v>54.3</v>
      </c>
      <c r="I166" s="25" t="s">
        <v>26</v>
      </c>
      <c r="J166" s="25">
        <v>23</v>
      </c>
      <c r="K166" s="25">
        <v>323</v>
      </c>
      <c r="L166" s="25">
        <v>5</v>
      </c>
      <c r="M166" s="25" t="s">
        <v>27</v>
      </c>
      <c r="N166" s="25">
        <v>65.5</v>
      </c>
      <c r="O166" s="25">
        <v>230</v>
      </c>
      <c r="P166" s="25">
        <v>1</v>
      </c>
    </row>
    <row r="167" spans="1:16" x14ac:dyDescent="0.25">
      <c r="A167" s="26">
        <v>45383.164363425924</v>
      </c>
      <c r="B167" s="25" t="s">
        <v>28</v>
      </c>
      <c r="C167" s="25" t="s">
        <v>366</v>
      </c>
      <c r="D167" s="25" t="s">
        <v>367</v>
      </c>
      <c r="E167" s="25">
        <v>396</v>
      </c>
      <c r="F167" s="25" t="s">
        <v>34</v>
      </c>
      <c r="G167" s="25">
        <v>21.9</v>
      </c>
      <c r="H167" s="25">
        <v>67.400000000000006</v>
      </c>
      <c r="I167" s="25" t="s">
        <v>20</v>
      </c>
      <c r="J167" s="25">
        <v>24</v>
      </c>
      <c r="K167" s="25">
        <v>238</v>
      </c>
      <c r="L167" s="25">
        <v>3</v>
      </c>
      <c r="M167" s="25" t="s">
        <v>27</v>
      </c>
      <c r="N167" s="25">
        <v>60.4</v>
      </c>
      <c r="O167" s="25">
        <v>117</v>
      </c>
      <c r="P167" s="25">
        <v>0</v>
      </c>
    </row>
    <row r="168" spans="1:16" ht="30" customHeight="1" x14ac:dyDescent="0.25">
      <c r="A168" s="26">
        <v>45333.203449074077</v>
      </c>
      <c r="B168" s="25" t="s">
        <v>41</v>
      </c>
      <c r="C168" s="25" t="s">
        <v>368</v>
      </c>
      <c r="D168" s="25" t="s">
        <v>369</v>
      </c>
      <c r="E168" s="25">
        <v>135</v>
      </c>
      <c r="F168" s="25" t="s">
        <v>34</v>
      </c>
      <c r="G168" s="25">
        <v>26.8</v>
      </c>
      <c r="H168" s="25">
        <v>79.099999999999994</v>
      </c>
      <c r="I168" s="25" t="s">
        <v>20</v>
      </c>
      <c r="J168" s="25">
        <v>57</v>
      </c>
      <c r="K168" s="25">
        <v>173</v>
      </c>
      <c r="L168" s="25">
        <v>7</v>
      </c>
      <c r="M168" s="25" t="s">
        <v>51</v>
      </c>
      <c r="N168" s="25">
        <v>81.3</v>
      </c>
      <c r="O168" s="25">
        <v>115</v>
      </c>
      <c r="P168" s="25">
        <v>0</v>
      </c>
    </row>
    <row r="169" spans="1:16" ht="30" customHeight="1" x14ac:dyDescent="0.25">
      <c r="A169" s="26">
        <v>45527.004074074073</v>
      </c>
      <c r="B169" s="25" t="s">
        <v>56</v>
      </c>
      <c r="C169" s="25" t="s">
        <v>370</v>
      </c>
      <c r="D169" s="25" t="s">
        <v>371</v>
      </c>
      <c r="E169" s="25">
        <v>236</v>
      </c>
      <c r="F169" s="25" t="s">
        <v>34</v>
      </c>
      <c r="G169" s="25">
        <v>21.9</v>
      </c>
      <c r="H169" s="25">
        <v>51.9</v>
      </c>
      <c r="I169" s="25" t="s">
        <v>20</v>
      </c>
      <c r="J169" s="25">
        <v>21</v>
      </c>
      <c r="K169" s="25">
        <v>233</v>
      </c>
      <c r="L169" s="25">
        <v>6</v>
      </c>
      <c r="M169" s="25" t="s">
        <v>51</v>
      </c>
      <c r="N169" s="25">
        <v>72</v>
      </c>
      <c r="O169" s="25">
        <v>115</v>
      </c>
      <c r="P169" s="25">
        <v>0</v>
      </c>
    </row>
    <row r="170" spans="1:16" x14ac:dyDescent="0.25">
      <c r="A170" s="26">
        <v>45600.020370370374</v>
      </c>
      <c r="B170" s="25" t="s">
        <v>95</v>
      </c>
      <c r="C170" s="25" t="s">
        <v>372</v>
      </c>
      <c r="D170" s="25" t="s">
        <v>373</v>
      </c>
      <c r="E170" s="25">
        <v>294</v>
      </c>
      <c r="F170" s="25" t="s">
        <v>34</v>
      </c>
      <c r="G170" s="25">
        <v>27.6</v>
      </c>
      <c r="H170" s="25">
        <v>79.7</v>
      </c>
      <c r="I170" s="25" t="s">
        <v>26</v>
      </c>
      <c r="J170" s="25">
        <v>24</v>
      </c>
      <c r="K170" s="25">
        <v>181</v>
      </c>
      <c r="L170" s="25">
        <v>5</v>
      </c>
      <c r="M170" s="25" t="s">
        <v>27</v>
      </c>
      <c r="N170" s="25">
        <v>88.2</v>
      </c>
      <c r="O170" s="25">
        <v>191</v>
      </c>
      <c r="P170" s="25">
        <v>1</v>
      </c>
    </row>
    <row r="171" spans="1:16" ht="30" customHeight="1" x14ac:dyDescent="0.25">
      <c r="A171" s="26">
        <v>45416.808680555558</v>
      </c>
      <c r="B171" s="25" t="s">
        <v>41</v>
      </c>
      <c r="C171" s="25" t="s">
        <v>374</v>
      </c>
      <c r="D171" s="25" t="s">
        <v>375</v>
      </c>
      <c r="E171" s="25">
        <v>209</v>
      </c>
      <c r="F171" s="25" t="s">
        <v>19</v>
      </c>
      <c r="G171" s="25">
        <v>29.4</v>
      </c>
      <c r="H171" s="25">
        <v>57.8</v>
      </c>
      <c r="I171" s="25" t="s">
        <v>20</v>
      </c>
      <c r="J171" s="25">
        <v>34</v>
      </c>
      <c r="K171" s="25">
        <v>319</v>
      </c>
      <c r="L171" s="25">
        <v>4</v>
      </c>
      <c r="M171" s="25" t="s">
        <v>51</v>
      </c>
      <c r="N171" s="25">
        <v>85</v>
      </c>
      <c r="O171" s="25">
        <v>208</v>
      </c>
      <c r="P171" s="25">
        <v>1</v>
      </c>
    </row>
    <row r="172" spans="1:16" x14ac:dyDescent="0.25">
      <c r="A172" s="26">
        <v>45609.18</v>
      </c>
      <c r="B172" s="25" t="s">
        <v>41</v>
      </c>
      <c r="C172" s="25" t="s">
        <v>376</v>
      </c>
      <c r="D172" s="25" t="s">
        <v>377</v>
      </c>
      <c r="E172" s="25">
        <v>378</v>
      </c>
      <c r="F172" s="25" t="s">
        <v>19</v>
      </c>
      <c r="G172" s="25">
        <v>28.2</v>
      </c>
      <c r="H172" s="25">
        <v>70.2</v>
      </c>
      <c r="I172" s="25" t="s">
        <v>38</v>
      </c>
      <c r="J172" s="25">
        <v>60</v>
      </c>
      <c r="K172" s="25">
        <v>490</v>
      </c>
      <c r="L172" s="25">
        <v>9</v>
      </c>
      <c r="M172" s="25" t="s">
        <v>35</v>
      </c>
      <c r="N172" s="25">
        <v>66.8</v>
      </c>
      <c r="O172" s="25">
        <v>166</v>
      </c>
      <c r="P172" s="25">
        <v>1</v>
      </c>
    </row>
    <row r="173" spans="1:16" x14ac:dyDescent="0.25">
      <c r="A173" s="26">
        <v>45335.803680555553</v>
      </c>
      <c r="B173" s="25" t="s">
        <v>95</v>
      </c>
      <c r="C173" s="25" t="s">
        <v>378</v>
      </c>
      <c r="D173" s="25" t="s">
        <v>379</v>
      </c>
      <c r="E173" s="25">
        <v>355</v>
      </c>
      <c r="F173" s="25" t="s">
        <v>19</v>
      </c>
      <c r="G173" s="25">
        <v>22.5</v>
      </c>
      <c r="H173" s="25">
        <v>74</v>
      </c>
      <c r="I173" s="25" t="s">
        <v>38</v>
      </c>
      <c r="J173" s="25">
        <v>20</v>
      </c>
      <c r="K173" s="25">
        <v>321</v>
      </c>
      <c r="L173" s="25">
        <v>3</v>
      </c>
      <c r="M173" s="25" t="s">
        <v>27</v>
      </c>
      <c r="N173" s="25">
        <v>90.6</v>
      </c>
      <c r="O173" s="25">
        <v>252</v>
      </c>
      <c r="P173" s="25">
        <v>1</v>
      </c>
    </row>
    <row r="174" spans="1:16" x14ac:dyDescent="0.25">
      <c r="A174" s="26">
        <v>45471.303877314815</v>
      </c>
      <c r="B174" s="25" t="s">
        <v>31</v>
      </c>
      <c r="C174" s="25" t="s">
        <v>380</v>
      </c>
      <c r="D174" s="25" t="s">
        <v>381</v>
      </c>
      <c r="E174" s="25">
        <v>474</v>
      </c>
      <c r="F174" s="25" t="s">
        <v>19</v>
      </c>
      <c r="G174" s="25">
        <v>29.2</v>
      </c>
      <c r="H174" s="25">
        <v>66.099999999999994</v>
      </c>
      <c r="I174" s="25" t="s">
        <v>26</v>
      </c>
      <c r="J174" s="25">
        <v>26</v>
      </c>
      <c r="K174" s="25">
        <v>318</v>
      </c>
      <c r="L174" s="25">
        <v>5</v>
      </c>
      <c r="M174" s="25" t="s">
        <v>27</v>
      </c>
      <c r="N174" s="25">
        <v>96.2</v>
      </c>
      <c r="O174" s="25">
        <v>110</v>
      </c>
      <c r="P174" s="25">
        <v>1</v>
      </c>
    </row>
    <row r="175" spans="1:16" ht="30" customHeight="1" x14ac:dyDescent="0.25">
      <c r="A175" s="26">
        <v>45641.921516203707</v>
      </c>
      <c r="B175" s="25" t="s">
        <v>22</v>
      </c>
      <c r="C175" s="25" t="s">
        <v>382</v>
      </c>
      <c r="D175" s="25" t="s">
        <v>383</v>
      </c>
      <c r="E175" s="25">
        <v>218</v>
      </c>
      <c r="F175" s="25" t="s">
        <v>34</v>
      </c>
      <c r="G175" s="25">
        <v>19.5</v>
      </c>
      <c r="H175" s="25">
        <v>67.900000000000006</v>
      </c>
      <c r="I175" s="25" t="s">
        <v>20</v>
      </c>
      <c r="J175" s="25">
        <v>27</v>
      </c>
      <c r="K175" s="25">
        <v>257</v>
      </c>
      <c r="L175" s="25">
        <v>10</v>
      </c>
      <c r="M175" s="25" t="s">
        <v>51</v>
      </c>
      <c r="N175" s="25">
        <v>62.2</v>
      </c>
      <c r="O175" s="25">
        <v>150</v>
      </c>
      <c r="P175" s="25">
        <v>0</v>
      </c>
    </row>
    <row r="176" spans="1:16" ht="30" customHeight="1" x14ac:dyDescent="0.25">
      <c r="A176" s="26">
        <v>45473.599074074074</v>
      </c>
      <c r="B176" s="25" t="s">
        <v>48</v>
      </c>
      <c r="C176" s="25" t="s">
        <v>384</v>
      </c>
      <c r="D176" s="25" t="s">
        <v>385</v>
      </c>
      <c r="E176" s="25">
        <v>357</v>
      </c>
      <c r="F176" s="25" t="s">
        <v>25</v>
      </c>
      <c r="G176" s="25">
        <v>29.3</v>
      </c>
      <c r="H176" s="25">
        <v>73.2</v>
      </c>
      <c r="I176" s="25" t="s">
        <v>38</v>
      </c>
      <c r="J176" s="25">
        <v>22</v>
      </c>
      <c r="K176" s="25">
        <v>229</v>
      </c>
      <c r="L176" s="25">
        <v>7</v>
      </c>
      <c r="M176" s="25" t="s">
        <v>51</v>
      </c>
      <c r="N176" s="25">
        <v>94.3</v>
      </c>
      <c r="O176" s="25">
        <v>131</v>
      </c>
      <c r="P176" s="25">
        <v>0</v>
      </c>
    </row>
    <row r="177" spans="1:16" x14ac:dyDescent="0.25">
      <c r="A177" s="26">
        <v>45631.691747685189</v>
      </c>
      <c r="B177" s="25" t="s">
        <v>64</v>
      </c>
      <c r="C177" s="25" t="s">
        <v>386</v>
      </c>
      <c r="D177" s="25" t="s">
        <v>387</v>
      </c>
      <c r="E177" s="25">
        <v>255</v>
      </c>
      <c r="F177" s="25" t="s">
        <v>19</v>
      </c>
      <c r="G177" s="25">
        <v>27.4</v>
      </c>
      <c r="H177" s="25">
        <v>59.6</v>
      </c>
      <c r="I177" s="25" t="s">
        <v>38</v>
      </c>
      <c r="J177" s="25">
        <v>20</v>
      </c>
      <c r="K177" s="25">
        <v>497</v>
      </c>
      <c r="L177" s="25">
        <v>3</v>
      </c>
      <c r="M177" s="25" t="s">
        <v>35</v>
      </c>
      <c r="N177" s="25">
        <v>98.4</v>
      </c>
      <c r="O177" s="25">
        <v>277</v>
      </c>
      <c r="P177" s="25">
        <v>1</v>
      </c>
    </row>
    <row r="178" spans="1:16" x14ac:dyDescent="0.25">
      <c r="A178" s="26">
        <v>45456.544768518521</v>
      </c>
      <c r="B178" s="25" t="s">
        <v>48</v>
      </c>
      <c r="C178" s="25" t="s">
        <v>388</v>
      </c>
      <c r="D178" s="25" t="s">
        <v>389</v>
      </c>
      <c r="E178" s="25">
        <v>415</v>
      </c>
      <c r="F178" s="25" t="s">
        <v>19</v>
      </c>
      <c r="G178" s="25">
        <v>22.2</v>
      </c>
      <c r="H178" s="25">
        <v>65.8</v>
      </c>
      <c r="I178" s="25" t="s">
        <v>26</v>
      </c>
      <c r="J178" s="25">
        <v>18</v>
      </c>
      <c r="K178" s="25">
        <v>287</v>
      </c>
      <c r="L178" s="25">
        <v>2</v>
      </c>
      <c r="M178" s="25" t="s">
        <v>35</v>
      </c>
      <c r="N178" s="25">
        <v>61.1</v>
      </c>
      <c r="O178" s="25">
        <v>256</v>
      </c>
      <c r="P178" s="25">
        <v>1</v>
      </c>
    </row>
    <row r="179" spans="1:16" x14ac:dyDescent="0.25">
      <c r="A179" s="26">
        <v>45368.347349537034</v>
      </c>
      <c r="B179" s="25" t="s">
        <v>31</v>
      </c>
      <c r="C179" s="25" t="s">
        <v>390</v>
      </c>
      <c r="D179" s="25" t="s">
        <v>391</v>
      </c>
      <c r="E179" s="25">
        <v>353</v>
      </c>
      <c r="F179" s="25" t="s">
        <v>34</v>
      </c>
      <c r="G179" s="25">
        <v>29.5</v>
      </c>
      <c r="H179" s="25">
        <v>76.8</v>
      </c>
      <c r="I179" s="25" t="s">
        <v>26</v>
      </c>
      <c r="J179" s="25">
        <v>41</v>
      </c>
      <c r="K179" s="25">
        <v>421</v>
      </c>
      <c r="L179" s="25">
        <v>8</v>
      </c>
      <c r="M179" s="25" t="s">
        <v>21</v>
      </c>
      <c r="N179" s="25">
        <v>97.7</v>
      </c>
      <c r="O179" s="25">
        <v>212</v>
      </c>
      <c r="P179" s="25">
        <v>1</v>
      </c>
    </row>
    <row r="180" spans="1:16" ht="30" customHeight="1" x14ac:dyDescent="0.25">
      <c r="A180" s="26">
        <v>45556.131701388891</v>
      </c>
      <c r="B180" s="25" t="s">
        <v>56</v>
      </c>
      <c r="C180" s="25" t="s">
        <v>392</v>
      </c>
      <c r="D180" s="25" t="s">
        <v>393</v>
      </c>
      <c r="E180" s="25">
        <v>260</v>
      </c>
      <c r="F180" s="25" t="s">
        <v>25</v>
      </c>
      <c r="G180" s="25">
        <v>23.8</v>
      </c>
      <c r="H180" s="25">
        <v>58.4</v>
      </c>
      <c r="I180" s="25" t="s">
        <v>38</v>
      </c>
      <c r="J180" s="25">
        <v>49</v>
      </c>
      <c r="K180" s="25">
        <v>266</v>
      </c>
      <c r="L180" s="25">
        <v>7</v>
      </c>
      <c r="M180" s="25" t="s">
        <v>51</v>
      </c>
      <c r="N180" s="25">
        <v>77.8</v>
      </c>
      <c r="O180" s="25">
        <v>131</v>
      </c>
      <c r="P180" s="25">
        <v>0</v>
      </c>
    </row>
    <row r="181" spans="1:16" ht="30" customHeight="1" x14ac:dyDescent="0.25">
      <c r="A181" s="26">
        <v>45342.869479166664</v>
      </c>
      <c r="B181" s="25" t="s">
        <v>41</v>
      </c>
      <c r="C181" s="25" t="s">
        <v>394</v>
      </c>
      <c r="D181" s="25" t="s">
        <v>395</v>
      </c>
      <c r="E181" s="25">
        <v>447</v>
      </c>
      <c r="F181" s="25" t="s">
        <v>34</v>
      </c>
      <c r="G181" s="25">
        <v>21.1</v>
      </c>
      <c r="H181" s="25">
        <v>75.599999999999994</v>
      </c>
      <c r="I181" s="25" t="s">
        <v>26</v>
      </c>
      <c r="J181" s="25">
        <v>51</v>
      </c>
      <c r="K181" s="25">
        <v>315</v>
      </c>
      <c r="L181" s="25">
        <v>1</v>
      </c>
      <c r="M181" s="25" t="s">
        <v>51</v>
      </c>
      <c r="N181" s="25">
        <v>64.7</v>
      </c>
      <c r="O181" s="25">
        <v>186</v>
      </c>
      <c r="P181" s="25">
        <v>1</v>
      </c>
    </row>
    <row r="182" spans="1:16" ht="30" customHeight="1" x14ac:dyDescent="0.25">
      <c r="A182" s="26">
        <v>45615.752523148149</v>
      </c>
      <c r="B182" s="25" t="s">
        <v>64</v>
      </c>
      <c r="C182" s="25" t="s">
        <v>396</v>
      </c>
      <c r="D182" s="25" t="s">
        <v>397</v>
      </c>
      <c r="E182" s="25">
        <v>483</v>
      </c>
      <c r="F182" s="25" t="s">
        <v>19</v>
      </c>
      <c r="G182" s="25">
        <v>26.6</v>
      </c>
      <c r="H182" s="25">
        <v>50</v>
      </c>
      <c r="I182" s="25" t="s">
        <v>38</v>
      </c>
      <c r="J182" s="25">
        <v>51</v>
      </c>
      <c r="K182" s="25">
        <v>466</v>
      </c>
      <c r="L182" s="25">
        <v>6</v>
      </c>
      <c r="M182" s="25" t="s">
        <v>51</v>
      </c>
      <c r="N182" s="25">
        <v>87.9</v>
      </c>
      <c r="O182" s="25">
        <v>272</v>
      </c>
      <c r="P182" s="25">
        <v>1</v>
      </c>
    </row>
    <row r="183" spans="1:16" x14ac:dyDescent="0.25">
      <c r="A183" s="26">
        <v>45603.678240740737</v>
      </c>
      <c r="B183" s="25" t="s">
        <v>28</v>
      </c>
      <c r="C183" s="25" t="s">
        <v>398</v>
      </c>
      <c r="D183" s="25" t="s">
        <v>399</v>
      </c>
      <c r="E183" s="25">
        <v>363</v>
      </c>
      <c r="F183" s="25" t="s">
        <v>34</v>
      </c>
      <c r="G183" s="25">
        <v>28.6</v>
      </c>
      <c r="H183" s="25">
        <v>75.2</v>
      </c>
      <c r="I183" s="25" t="s">
        <v>26</v>
      </c>
      <c r="J183" s="25">
        <v>19</v>
      </c>
      <c r="K183" s="25">
        <v>358</v>
      </c>
      <c r="L183" s="25">
        <v>1</v>
      </c>
      <c r="M183" s="25" t="s">
        <v>27</v>
      </c>
      <c r="N183" s="25">
        <v>77.400000000000006</v>
      </c>
      <c r="O183" s="25">
        <v>272</v>
      </c>
      <c r="P183" s="25">
        <v>1</v>
      </c>
    </row>
    <row r="184" spans="1:16" x14ac:dyDescent="0.25">
      <c r="A184" s="26">
        <v>45340.590532407405</v>
      </c>
      <c r="B184" s="25" t="s">
        <v>56</v>
      </c>
      <c r="C184" s="25" t="s">
        <v>400</v>
      </c>
      <c r="D184" s="25" t="s">
        <v>401</v>
      </c>
      <c r="E184" s="25">
        <v>313</v>
      </c>
      <c r="F184" s="25" t="s">
        <v>19</v>
      </c>
      <c r="G184" s="25">
        <v>20.5</v>
      </c>
      <c r="H184" s="25">
        <v>79.3</v>
      </c>
      <c r="I184" s="25" t="s">
        <v>20</v>
      </c>
      <c r="J184" s="25">
        <v>49</v>
      </c>
      <c r="K184" s="25">
        <v>229</v>
      </c>
      <c r="L184" s="25">
        <v>7</v>
      </c>
      <c r="M184" s="25" t="s">
        <v>21</v>
      </c>
      <c r="N184" s="25">
        <v>98.5</v>
      </c>
      <c r="O184" s="25">
        <v>126</v>
      </c>
      <c r="P184" s="25">
        <v>1</v>
      </c>
    </row>
    <row r="185" spans="1:16" x14ac:dyDescent="0.25">
      <c r="A185" s="26">
        <v>45354.036886574075</v>
      </c>
      <c r="B185" s="25" t="s">
        <v>28</v>
      </c>
      <c r="C185" s="25" t="s">
        <v>402</v>
      </c>
      <c r="D185" s="25" t="s">
        <v>403</v>
      </c>
      <c r="E185" s="25">
        <v>289</v>
      </c>
      <c r="F185" s="25" t="s">
        <v>34</v>
      </c>
      <c r="G185" s="25">
        <v>19.3</v>
      </c>
      <c r="H185" s="25">
        <v>68.599999999999994</v>
      </c>
      <c r="I185" s="25" t="s">
        <v>38</v>
      </c>
      <c r="J185" s="25">
        <v>33</v>
      </c>
      <c r="K185" s="25">
        <v>149</v>
      </c>
      <c r="L185" s="25">
        <v>4</v>
      </c>
      <c r="M185" s="25" t="s">
        <v>21</v>
      </c>
      <c r="N185" s="25">
        <v>74.3</v>
      </c>
      <c r="O185" s="25">
        <v>220</v>
      </c>
      <c r="P185" s="25">
        <v>0</v>
      </c>
    </row>
    <row r="186" spans="1:16" x14ac:dyDescent="0.25">
      <c r="A186" s="26">
        <v>45445.381493055553</v>
      </c>
      <c r="B186" s="25" t="s">
        <v>41</v>
      </c>
      <c r="C186" s="25" t="s">
        <v>404</v>
      </c>
      <c r="D186" s="25" t="s">
        <v>405</v>
      </c>
      <c r="E186" s="25">
        <v>171</v>
      </c>
      <c r="F186" s="25" t="s">
        <v>34</v>
      </c>
      <c r="G186" s="25">
        <v>21.3</v>
      </c>
      <c r="H186" s="25">
        <v>66.099999999999994</v>
      </c>
      <c r="I186" s="25" t="s">
        <v>38</v>
      </c>
      <c r="J186" s="25">
        <v>57</v>
      </c>
      <c r="K186" s="25">
        <v>125</v>
      </c>
      <c r="L186" s="25">
        <v>8</v>
      </c>
      <c r="M186" s="25" t="s">
        <v>21</v>
      </c>
      <c r="N186" s="25">
        <v>98.9</v>
      </c>
      <c r="O186" s="25">
        <v>249</v>
      </c>
      <c r="P186" s="25">
        <v>0</v>
      </c>
    </row>
    <row r="187" spans="1:16" x14ac:dyDescent="0.25">
      <c r="A187" s="26">
        <v>45316.506736111114</v>
      </c>
      <c r="B187" s="25" t="s">
        <v>22</v>
      </c>
      <c r="C187" s="25" t="s">
        <v>406</v>
      </c>
      <c r="D187" s="25" t="s">
        <v>407</v>
      </c>
      <c r="E187" s="25">
        <v>401</v>
      </c>
      <c r="F187" s="25" t="s">
        <v>25</v>
      </c>
      <c r="G187" s="25">
        <v>25.7</v>
      </c>
      <c r="H187" s="25">
        <v>71.400000000000006</v>
      </c>
      <c r="I187" s="25" t="s">
        <v>38</v>
      </c>
      <c r="J187" s="25">
        <v>30</v>
      </c>
      <c r="K187" s="25">
        <v>494</v>
      </c>
      <c r="L187" s="25">
        <v>4</v>
      </c>
      <c r="M187" s="25" t="s">
        <v>27</v>
      </c>
      <c r="N187" s="25">
        <v>81.099999999999994</v>
      </c>
      <c r="O187" s="25">
        <v>175</v>
      </c>
      <c r="P187" s="25">
        <v>0</v>
      </c>
    </row>
    <row r="188" spans="1:16" ht="30" customHeight="1" x14ac:dyDescent="0.25">
      <c r="A188" s="26">
        <v>45569.68005787037</v>
      </c>
      <c r="B188" s="25" t="s">
        <v>31</v>
      </c>
      <c r="C188" s="25" t="s">
        <v>408</v>
      </c>
      <c r="D188" s="25" t="s">
        <v>409</v>
      </c>
      <c r="E188" s="25">
        <v>376</v>
      </c>
      <c r="F188" s="25" t="s">
        <v>34</v>
      </c>
      <c r="G188" s="25">
        <v>25.1</v>
      </c>
      <c r="H188" s="25">
        <v>54.1</v>
      </c>
      <c r="I188" s="25" t="s">
        <v>38</v>
      </c>
      <c r="J188" s="25">
        <v>55</v>
      </c>
      <c r="K188" s="25">
        <v>305</v>
      </c>
      <c r="L188" s="25">
        <v>5</v>
      </c>
      <c r="M188" s="25" t="s">
        <v>51</v>
      </c>
      <c r="N188" s="25">
        <v>83.2</v>
      </c>
      <c r="O188" s="25">
        <v>158</v>
      </c>
      <c r="P188" s="25">
        <v>0</v>
      </c>
    </row>
    <row r="189" spans="1:16" x14ac:dyDescent="0.25">
      <c r="A189" s="26">
        <v>45598.505254629628</v>
      </c>
      <c r="B189" s="25" t="s">
        <v>61</v>
      </c>
      <c r="C189" s="25" t="s">
        <v>410</v>
      </c>
      <c r="D189" s="25" t="s">
        <v>411</v>
      </c>
      <c r="E189" s="25">
        <v>371</v>
      </c>
      <c r="F189" s="25" t="s">
        <v>19</v>
      </c>
      <c r="G189" s="25">
        <v>26.2</v>
      </c>
      <c r="H189" s="25">
        <v>58.5</v>
      </c>
      <c r="I189" s="25" t="s">
        <v>26</v>
      </c>
      <c r="J189" s="25">
        <v>46</v>
      </c>
      <c r="K189" s="25">
        <v>168</v>
      </c>
      <c r="L189" s="25">
        <v>10</v>
      </c>
      <c r="M189" s="25" t="s">
        <v>35</v>
      </c>
      <c r="N189" s="25">
        <v>69.5</v>
      </c>
      <c r="O189" s="25">
        <v>162</v>
      </c>
      <c r="P189" s="25">
        <v>1</v>
      </c>
    </row>
    <row r="190" spans="1:16" x14ac:dyDescent="0.25">
      <c r="A190" s="26">
        <v>45404.081238425926</v>
      </c>
      <c r="B190" s="25" t="s">
        <v>41</v>
      </c>
      <c r="C190" s="25" t="s">
        <v>412</v>
      </c>
      <c r="D190" s="25" t="s">
        <v>413</v>
      </c>
      <c r="E190" s="25">
        <v>496</v>
      </c>
      <c r="F190" s="25" t="s">
        <v>25</v>
      </c>
      <c r="G190" s="25">
        <v>23.4</v>
      </c>
      <c r="H190" s="25">
        <v>71.599999999999994</v>
      </c>
      <c r="I190" s="25" t="s">
        <v>38</v>
      </c>
      <c r="J190" s="25">
        <v>15</v>
      </c>
      <c r="K190" s="25">
        <v>451</v>
      </c>
      <c r="L190" s="25">
        <v>3</v>
      </c>
      <c r="M190" s="25" t="s">
        <v>27</v>
      </c>
      <c r="N190" s="25">
        <v>76.3</v>
      </c>
      <c r="O190" s="25">
        <v>235</v>
      </c>
      <c r="P190" s="25">
        <v>0</v>
      </c>
    </row>
    <row r="191" spans="1:16" x14ac:dyDescent="0.25">
      <c r="A191" s="26">
        <v>45397.936643518522</v>
      </c>
      <c r="B191" s="25" t="s">
        <v>48</v>
      </c>
      <c r="C191" s="25" t="s">
        <v>414</v>
      </c>
      <c r="D191" s="25" t="s">
        <v>415</v>
      </c>
      <c r="E191" s="25">
        <v>149</v>
      </c>
      <c r="F191" s="25" t="s">
        <v>25</v>
      </c>
      <c r="G191" s="25">
        <v>20.9</v>
      </c>
      <c r="H191" s="25">
        <v>68.099999999999994</v>
      </c>
      <c r="I191" s="25" t="s">
        <v>20</v>
      </c>
      <c r="J191" s="25">
        <v>39</v>
      </c>
      <c r="K191" s="25">
        <v>274</v>
      </c>
      <c r="L191" s="25">
        <v>9</v>
      </c>
      <c r="M191" s="25" t="s">
        <v>35</v>
      </c>
      <c r="N191" s="25">
        <v>71.8</v>
      </c>
      <c r="O191" s="25">
        <v>138</v>
      </c>
      <c r="P191" s="25">
        <v>0</v>
      </c>
    </row>
    <row r="192" spans="1:16" x14ac:dyDescent="0.25">
      <c r="A192" s="26">
        <v>45310.603125000001</v>
      </c>
      <c r="B192" s="25" t="s">
        <v>22</v>
      </c>
      <c r="C192" s="25" t="s">
        <v>416</v>
      </c>
      <c r="D192" s="25" t="s">
        <v>417</v>
      </c>
      <c r="E192" s="25">
        <v>166</v>
      </c>
      <c r="F192" s="25" t="s">
        <v>25</v>
      </c>
      <c r="G192" s="25">
        <v>29.4</v>
      </c>
      <c r="H192" s="25">
        <v>59.5</v>
      </c>
      <c r="I192" s="25" t="s">
        <v>26</v>
      </c>
      <c r="J192" s="25">
        <v>40</v>
      </c>
      <c r="K192" s="25">
        <v>210</v>
      </c>
      <c r="L192" s="25">
        <v>4</v>
      </c>
      <c r="M192" s="25" t="s">
        <v>35</v>
      </c>
      <c r="N192" s="25">
        <v>82.9</v>
      </c>
      <c r="O192" s="25">
        <v>246</v>
      </c>
      <c r="P192" s="25">
        <v>1</v>
      </c>
    </row>
    <row r="193" spans="1:16" ht="30" customHeight="1" x14ac:dyDescent="0.25">
      <c r="A193" s="26">
        <v>45557.513287037036</v>
      </c>
      <c r="B193" s="25" t="s">
        <v>31</v>
      </c>
      <c r="C193" s="25" t="s">
        <v>418</v>
      </c>
      <c r="D193" s="25" t="s">
        <v>419</v>
      </c>
      <c r="E193" s="25">
        <v>369</v>
      </c>
      <c r="F193" s="25" t="s">
        <v>19</v>
      </c>
      <c r="G193" s="25">
        <v>28</v>
      </c>
      <c r="H193" s="25">
        <v>52.3</v>
      </c>
      <c r="I193" s="25" t="s">
        <v>20</v>
      </c>
      <c r="J193" s="25">
        <v>35</v>
      </c>
      <c r="K193" s="25">
        <v>481</v>
      </c>
      <c r="L193" s="25">
        <v>5</v>
      </c>
      <c r="M193" s="25" t="s">
        <v>51</v>
      </c>
      <c r="N193" s="25">
        <v>73.400000000000006</v>
      </c>
      <c r="O193" s="25">
        <v>179</v>
      </c>
      <c r="P193" s="25">
        <v>1</v>
      </c>
    </row>
    <row r="194" spans="1:16" x14ac:dyDescent="0.25">
      <c r="A194" s="26">
        <v>45597.990995370368</v>
      </c>
      <c r="B194" s="25" t="s">
        <v>64</v>
      </c>
      <c r="C194" s="25" t="s">
        <v>420</v>
      </c>
      <c r="D194" s="25" t="s">
        <v>421</v>
      </c>
      <c r="E194" s="25">
        <v>409</v>
      </c>
      <c r="F194" s="25" t="s">
        <v>25</v>
      </c>
      <c r="G194" s="25">
        <v>22</v>
      </c>
      <c r="H194" s="25">
        <v>68.099999999999994</v>
      </c>
      <c r="I194" s="25" t="s">
        <v>38</v>
      </c>
      <c r="J194" s="25">
        <v>18</v>
      </c>
      <c r="K194" s="25">
        <v>423</v>
      </c>
      <c r="L194" s="25">
        <v>10</v>
      </c>
      <c r="M194" s="25" t="s">
        <v>27</v>
      </c>
      <c r="N194" s="25">
        <v>62.8</v>
      </c>
      <c r="O194" s="25">
        <v>282</v>
      </c>
      <c r="P194" s="25">
        <v>0</v>
      </c>
    </row>
    <row r="195" spans="1:16" x14ac:dyDescent="0.25">
      <c r="A195" s="26">
        <v>45425.590914351851</v>
      </c>
      <c r="B195" s="25" t="s">
        <v>56</v>
      </c>
      <c r="C195" s="25" t="s">
        <v>422</v>
      </c>
      <c r="D195" s="25" t="s">
        <v>423</v>
      </c>
      <c r="E195" s="25">
        <v>494</v>
      </c>
      <c r="F195" s="25" t="s">
        <v>19</v>
      </c>
      <c r="G195" s="25">
        <v>19.2</v>
      </c>
      <c r="H195" s="25">
        <v>58.4</v>
      </c>
      <c r="I195" s="25" t="s">
        <v>38</v>
      </c>
      <c r="J195" s="25">
        <v>52</v>
      </c>
      <c r="K195" s="25">
        <v>231</v>
      </c>
      <c r="L195" s="25">
        <v>10</v>
      </c>
      <c r="M195" s="25" t="s">
        <v>27</v>
      </c>
      <c r="N195" s="25">
        <v>89.5</v>
      </c>
      <c r="O195" s="25">
        <v>201</v>
      </c>
      <c r="P195" s="25">
        <v>1</v>
      </c>
    </row>
    <row r="196" spans="1:16" x14ac:dyDescent="0.25">
      <c r="A196" s="26">
        <v>45339.317199074074</v>
      </c>
      <c r="B196" s="25" t="s">
        <v>22</v>
      </c>
      <c r="C196" s="25" t="s">
        <v>424</v>
      </c>
      <c r="D196" s="25" t="s">
        <v>425</v>
      </c>
      <c r="E196" s="25">
        <v>238</v>
      </c>
      <c r="F196" s="25" t="s">
        <v>19</v>
      </c>
      <c r="G196" s="25">
        <v>23.8</v>
      </c>
      <c r="H196" s="25">
        <v>79.400000000000006</v>
      </c>
      <c r="I196" s="25" t="s">
        <v>20</v>
      </c>
      <c r="J196" s="25">
        <v>33</v>
      </c>
      <c r="K196" s="25">
        <v>416</v>
      </c>
      <c r="L196" s="25">
        <v>5</v>
      </c>
      <c r="M196" s="25" t="s">
        <v>27</v>
      </c>
      <c r="N196" s="25">
        <v>88.2</v>
      </c>
      <c r="O196" s="25">
        <v>102</v>
      </c>
      <c r="P196" s="25">
        <v>1</v>
      </c>
    </row>
    <row r="197" spans="1:16" x14ac:dyDescent="0.25">
      <c r="A197" s="26">
        <v>45619.815266203703</v>
      </c>
      <c r="B197" s="25" t="s">
        <v>56</v>
      </c>
      <c r="C197" s="25" t="s">
        <v>426</v>
      </c>
      <c r="D197" s="25" t="s">
        <v>427</v>
      </c>
      <c r="E197" s="25">
        <v>422</v>
      </c>
      <c r="F197" s="25" t="s">
        <v>25</v>
      </c>
      <c r="G197" s="25">
        <v>19.2</v>
      </c>
      <c r="H197" s="25">
        <v>54.5</v>
      </c>
      <c r="I197" s="25" t="s">
        <v>38</v>
      </c>
      <c r="J197" s="25">
        <v>18</v>
      </c>
      <c r="K197" s="25">
        <v>437</v>
      </c>
      <c r="L197" s="25">
        <v>3</v>
      </c>
      <c r="M197" s="25" t="s">
        <v>21</v>
      </c>
      <c r="N197" s="25">
        <v>73.5</v>
      </c>
      <c r="O197" s="25">
        <v>103</v>
      </c>
      <c r="P197" s="25">
        <v>0</v>
      </c>
    </row>
    <row r="198" spans="1:16" x14ac:dyDescent="0.25">
      <c r="A198" s="26">
        <v>45558.439062500001</v>
      </c>
      <c r="B198" s="25" t="s">
        <v>31</v>
      </c>
      <c r="C198" s="25" t="s">
        <v>428</v>
      </c>
      <c r="D198" s="25" t="s">
        <v>429</v>
      </c>
      <c r="E198" s="25">
        <v>132</v>
      </c>
      <c r="F198" s="25" t="s">
        <v>25</v>
      </c>
      <c r="G198" s="25">
        <v>28.2</v>
      </c>
      <c r="H198" s="25">
        <v>57.2</v>
      </c>
      <c r="I198" s="25" t="s">
        <v>38</v>
      </c>
      <c r="J198" s="25">
        <v>23</v>
      </c>
      <c r="K198" s="25">
        <v>401</v>
      </c>
      <c r="L198" s="25">
        <v>6</v>
      </c>
      <c r="M198" s="25" t="s">
        <v>21</v>
      </c>
      <c r="N198" s="25">
        <v>93.6</v>
      </c>
      <c r="O198" s="25">
        <v>154</v>
      </c>
      <c r="P198" s="25">
        <v>0</v>
      </c>
    </row>
    <row r="199" spans="1:16" ht="30" customHeight="1" x14ac:dyDescent="0.25">
      <c r="A199" s="26">
        <v>45529.93917824074</v>
      </c>
      <c r="B199" s="25" t="s">
        <v>95</v>
      </c>
      <c r="C199" s="25" t="s">
        <v>430</v>
      </c>
      <c r="D199" s="25" t="s">
        <v>431</v>
      </c>
      <c r="E199" s="25">
        <v>189</v>
      </c>
      <c r="F199" s="25" t="s">
        <v>19</v>
      </c>
      <c r="G199" s="25">
        <v>25.2</v>
      </c>
      <c r="H199" s="25">
        <v>70</v>
      </c>
      <c r="I199" s="25" t="s">
        <v>38</v>
      </c>
      <c r="J199" s="25">
        <v>10</v>
      </c>
      <c r="K199" s="25">
        <v>360</v>
      </c>
      <c r="L199" s="25">
        <v>6</v>
      </c>
      <c r="M199" s="25" t="s">
        <v>51</v>
      </c>
      <c r="N199" s="25">
        <v>81.900000000000006</v>
      </c>
      <c r="O199" s="25">
        <v>191</v>
      </c>
      <c r="P199" s="25">
        <v>1</v>
      </c>
    </row>
    <row r="200" spans="1:16" x14ac:dyDescent="0.25">
      <c r="A200" s="26">
        <v>45562.266585648147</v>
      </c>
      <c r="B200" s="25" t="s">
        <v>95</v>
      </c>
      <c r="C200" s="25" t="s">
        <v>432</v>
      </c>
      <c r="D200" s="25" t="s">
        <v>433</v>
      </c>
      <c r="E200" s="25">
        <v>255</v>
      </c>
      <c r="F200" s="25" t="s">
        <v>34</v>
      </c>
      <c r="G200" s="25">
        <v>28.5</v>
      </c>
      <c r="H200" s="25">
        <v>72.2</v>
      </c>
      <c r="I200" s="25" t="s">
        <v>38</v>
      </c>
      <c r="J200" s="25">
        <v>60</v>
      </c>
      <c r="K200" s="25">
        <v>419</v>
      </c>
      <c r="L200" s="25">
        <v>2</v>
      </c>
      <c r="M200" s="25" t="s">
        <v>35</v>
      </c>
      <c r="N200" s="25">
        <v>68.400000000000006</v>
      </c>
      <c r="O200" s="25">
        <v>246</v>
      </c>
      <c r="P200" s="25">
        <v>0</v>
      </c>
    </row>
    <row r="201" spans="1:16" x14ac:dyDescent="0.25">
      <c r="A201" s="26">
        <v>45421.168287037035</v>
      </c>
      <c r="B201" s="25" t="s">
        <v>16</v>
      </c>
      <c r="C201" s="25" t="s">
        <v>434</v>
      </c>
      <c r="D201" s="25" t="s">
        <v>435</v>
      </c>
      <c r="E201" s="25">
        <v>107</v>
      </c>
      <c r="F201" s="25" t="s">
        <v>19</v>
      </c>
      <c r="G201" s="25">
        <v>21.9</v>
      </c>
      <c r="H201" s="25">
        <v>74.099999999999994</v>
      </c>
      <c r="I201" s="25" t="s">
        <v>26</v>
      </c>
      <c r="J201" s="25">
        <v>51</v>
      </c>
      <c r="K201" s="25">
        <v>413</v>
      </c>
      <c r="L201" s="25">
        <v>1</v>
      </c>
      <c r="M201" s="25" t="s">
        <v>27</v>
      </c>
      <c r="N201" s="25">
        <v>84.9</v>
      </c>
      <c r="O201" s="25">
        <v>257</v>
      </c>
      <c r="P201" s="25">
        <v>1</v>
      </c>
    </row>
    <row r="202" spans="1:16" x14ac:dyDescent="0.25">
      <c r="A202" s="26">
        <v>45439.45820601852</v>
      </c>
      <c r="B202" s="25" t="s">
        <v>22</v>
      </c>
      <c r="C202" s="25" t="s">
        <v>436</v>
      </c>
      <c r="D202" s="25" t="s">
        <v>437</v>
      </c>
      <c r="E202" s="25">
        <v>274</v>
      </c>
      <c r="F202" s="25" t="s">
        <v>19</v>
      </c>
      <c r="G202" s="25">
        <v>19.3</v>
      </c>
      <c r="H202" s="25">
        <v>51.4</v>
      </c>
      <c r="I202" s="25" t="s">
        <v>26</v>
      </c>
      <c r="J202" s="25">
        <v>57</v>
      </c>
      <c r="K202" s="25">
        <v>279</v>
      </c>
      <c r="L202" s="25">
        <v>10</v>
      </c>
      <c r="M202" s="25" t="s">
        <v>21</v>
      </c>
      <c r="N202" s="25">
        <v>75.3</v>
      </c>
      <c r="O202" s="25">
        <v>127</v>
      </c>
      <c r="P202" s="25">
        <v>1</v>
      </c>
    </row>
    <row r="203" spans="1:16" x14ac:dyDescent="0.25">
      <c r="A203" s="26">
        <v>45345.777453703704</v>
      </c>
      <c r="B203" s="25" t="s">
        <v>41</v>
      </c>
      <c r="C203" s="25" t="s">
        <v>438</v>
      </c>
      <c r="D203" s="25" t="s">
        <v>439</v>
      </c>
      <c r="E203" s="25">
        <v>206</v>
      </c>
      <c r="F203" s="25" t="s">
        <v>19</v>
      </c>
      <c r="G203" s="25">
        <v>21.9</v>
      </c>
      <c r="H203" s="25">
        <v>68.599999999999994</v>
      </c>
      <c r="I203" s="25" t="s">
        <v>26</v>
      </c>
      <c r="J203" s="25">
        <v>42</v>
      </c>
      <c r="K203" s="25">
        <v>100</v>
      </c>
      <c r="L203" s="25">
        <v>7</v>
      </c>
      <c r="M203" s="25" t="s">
        <v>35</v>
      </c>
      <c r="N203" s="25">
        <v>63.3</v>
      </c>
      <c r="O203" s="25">
        <v>116</v>
      </c>
      <c r="P203" s="25">
        <v>1</v>
      </c>
    </row>
    <row r="204" spans="1:16" x14ac:dyDescent="0.25">
      <c r="A204" s="26">
        <v>45501.9371875</v>
      </c>
      <c r="B204" s="25" t="s">
        <v>64</v>
      </c>
      <c r="C204" s="25" t="s">
        <v>440</v>
      </c>
      <c r="D204" s="25" t="s">
        <v>441</v>
      </c>
      <c r="E204" s="25">
        <v>270</v>
      </c>
      <c r="F204" s="25" t="s">
        <v>25</v>
      </c>
      <c r="G204" s="25">
        <v>26.7</v>
      </c>
      <c r="H204" s="25">
        <v>72.2</v>
      </c>
      <c r="I204" s="25" t="s">
        <v>26</v>
      </c>
      <c r="J204" s="25">
        <v>35</v>
      </c>
      <c r="K204" s="25">
        <v>107</v>
      </c>
      <c r="L204" s="25">
        <v>10</v>
      </c>
      <c r="M204" s="25" t="s">
        <v>35</v>
      </c>
      <c r="N204" s="25">
        <v>90.8</v>
      </c>
      <c r="O204" s="25">
        <v>158</v>
      </c>
      <c r="P204" s="25">
        <v>1</v>
      </c>
    </row>
    <row r="205" spans="1:16" x14ac:dyDescent="0.25">
      <c r="A205" s="26">
        <v>45356.437847222223</v>
      </c>
      <c r="B205" s="25" t="s">
        <v>28</v>
      </c>
      <c r="C205" s="25" t="s">
        <v>442</v>
      </c>
      <c r="D205" s="25" t="s">
        <v>443</v>
      </c>
      <c r="E205" s="25">
        <v>277</v>
      </c>
      <c r="F205" s="25" t="s">
        <v>25</v>
      </c>
      <c r="G205" s="25">
        <v>23.7</v>
      </c>
      <c r="H205" s="25">
        <v>72.099999999999994</v>
      </c>
      <c r="I205" s="25" t="s">
        <v>38</v>
      </c>
      <c r="J205" s="25">
        <v>12</v>
      </c>
      <c r="K205" s="25">
        <v>195</v>
      </c>
      <c r="L205" s="25">
        <v>5</v>
      </c>
      <c r="M205" s="25" t="s">
        <v>35</v>
      </c>
      <c r="N205" s="25">
        <v>64.5</v>
      </c>
      <c r="O205" s="25">
        <v>130</v>
      </c>
      <c r="P205" s="25">
        <v>0</v>
      </c>
    </row>
    <row r="206" spans="1:16" x14ac:dyDescent="0.25">
      <c r="A206" s="26">
        <v>45297.886145833334</v>
      </c>
      <c r="B206" s="25" t="s">
        <v>41</v>
      </c>
      <c r="C206" s="25" t="s">
        <v>444</v>
      </c>
      <c r="D206" s="25" t="s">
        <v>445</v>
      </c>
      <c r="E206" s="25">
        <v>454</v>
      </c>
      <c r="F206" s="25" t="s">
        <v>19</v>
      </c>
      <c r="G206" s="25">
        <v>21</v>
      </c>
      <c r="H206" s="25">
        <v>77.3</v>
      </c>
      <c r="I206" s="25" t="s">
        <v>38</v>
      </c>
      <c r="J206" s="25">
        <v>15</v>
      </c>
      <c r="K206" s="25">
        <v>112</v>
      </c>
      <c r="L206" s="25">
        <v>10</v>
      </c>
      <c r="M206" s="25" t="s">
        <v>27</v>
      </c>
      <c r="N206" s="25">
        <v>73.2</v>
      </c>
      <c r="O206" s="25">
        <v>237</v>
      </c>
      <c r="P206" s="25">
        <v>1</v>
      </c>
    </row>
    <row r="207" spans="1:16" x14ac:dyDescent="0.25">
      <c r="A207" s="26">
        <v>45549.698275462964</v>
      </c>
      <c r="B207" s="25" t="s">
        <v>48</v>
      </c>
      <c r="C207" s="25" t="s">
        <v>446</v>
      </c>
      <c r="D207" s="25" t="s">
        <v>447</v>
      </c>
      <c r="E207" s="25">
        <v>197</v>
      </c>
      <c r="F207" s="25" t="s">
        <v>25</v>
      </c>
      <c r="G207" s="25">
        <v>27.3</v>
      </c>
      <c r="H207" s="25">
        <v>71.3</v>
      </c>
      <c r="I207" s="25" t="s">
        <v>20</v>
      </c>
      <c r="J207" s="25">
        <v>24</v>
      </c>
      <c r="K207" s="25">
        <v>460</v>
      </c>
      <c r="L207" s="25">
        <v>9</v>
      </c>
      <c r="M207" s="25" t="s">
        <v>21</v>
      </c>
      <c r="N207" s="25">
        <v>64.7</v>
      </c>
      <c r="O207" s="25">
        <v>162</v>
      </c>
      <c r="P207" s="25">
        <v>0</v>
      </c>
    </row>
    <row r="208" spans="1:16" x14ac:dyDescent="0.25">
      <c r="A208" s="26">
        <v>45599.970011574071</v>
      </c>
      <c r="B208" s="25" t="s">
        <v>64</v>
      </c>
      <c r="C208" s="25" t="s">
        <v>448</v>
      </c>
      <c r="D208" s="25" t="s">
        <v>449</v>
      </c>
      <c r="E208" s="25">
        <v>182</v>
      </c>
      <c r="F208" s="25" t="s">
        <v>34</v>
      </c>
      <c r="G208" s="25">
        <v>19.7</v>
      </c>
      <c r="H208" s="25">
        <v>72.3</v>
      </c>
      <c r="I208" s="25" t="s">
        <v>38</v>
      </c>
      <c r="J208" s="25">
        <v>50</v>
      </c>
      <c r="K208" s="25">
        <v>428</v>
      </c>
      <c r="L208" s="25">
        <v>3</v>
      </c>
      <c r="M208" s="25" t="s">
        <v>21</v>
      </c>
      <c r="N208" s="25">
        <v>63.3</v>
      </c>
      <c r="O208" s="25">
        <v>280</v>
      </c>
      <c r="P208" s="25">
        <v>0</v>
      </c>
    </row>
    <row r="209" spans="1:16" x14ac:dyDescent="0.25">
      <c r="A209" s="26">
        <v>45370.900254629632</v>
      </c>
      <c r="B209" s="25" t="s">
        <v>22</v>
      </c>
      <c r="C209" s="25" t="s">
        <v>450</v>
      </c>
      <c r="D209" s="25" t="s">
        <v>451</v>
      </c>
      <c r="E209" s="25">
        <v>171</v>
      </c>
      <c r="F209" s="25" t="s">
        <v>34</v>
      </c>
      <c r="G209" s="25">
        <v>25.1</v>
      </c>
      <c r="H209" s="25">
        <v>76.5</v>
      </c>
      <c r="I209" s="25" t="s">
        <v>26</v>
      </c>
      <c r="J209" s="25">
        <v>55</v>
      </c>
      <c r="K209" s="25">
        <v>309</v>
      </c>
      <c r="L209" s="25">
        <v>3</v>
      </c>
      <c r="M209" s="25" t="s">
        <v>35</v>
      </c>
      <c r="N209" s="25">
        <v>94.6</v>
      </c>
      <c r="O209" s="25">
        <v>112</v>
      </c>
      <c r="P209" s="25">
        <v>1</v>
      </c>
    </row>
    <row r="210" spans="1:16" x14ac:dyDescent="0.25">
      <c r="A210" s="26">
        <v>45323.788310185184</v>
      </c>
      <c r="B210" s="25" t="s">
        <v>61</v>
      </c>
      <c r="C210" s="25" t="s">
        <v>452</v>
      </c>
      <c r="D210" s="25" t="s">
        <v>453</v>
      </c>
      <c r="E210" s="25">
        <v>159</v>
      </c>
      <c r="F210" s="25" t="s">
        <v>34</v>
      </c>
      <c r="G210" s="25">
        <v>26.9</v>
      </c>
      <c r="H210" s="25">
        <v>69.5</v>
      </c>
      <c r="I210" s="25" t="s">
        <v>38</v>
      </c>
      <c r="J210" s="25">
        <v>32</v>
      </c>
      <c r="K210" s="25">
        <v>272</v>
      </c>
      <c r="L210" s="25">
        <v>7</v>
      </c>
      <c r="M210" s="25" t="s">
        <v>21</v>
      </c>
      <c r="N210" s="25">
        <v>69.7</v>
      </c>
      <c r="O210" s="25">
        <v>278</v>
      </c>
      <c r="P210" s="25">
        <v>0</v>
      </c>
    </row>
    <row r="211" spans="1:16" ht="30" customHeight="1" x14ac:dyDescent="0.25">
      <c r="A211" s="26">
        <v>45400.503240740742</v>
      </c>
      <c r="B211" s="25" t="s">
        <v>56</v>
      </c>
      <c r="C211" s="25" t="s">
        <v>454</v>
      </c>
      <c r="D211" s="25" t="s">
        <v>455</v>
      </c>
      <c r="E211" s="25">
        <v>378</v>
      </c>
      <c r="F211" s="25" t="s">
        <v>19</v>
      </c>
      <c r="G211" s="25">
        <v>29.5</v>
      </c>
      <c r="H211" s="25">
        <v>61.7</v>
      </c>
      <c r="I211" s="25" t="s">
        <v>20</v>
      </c>
      <c r="J211" s="25">
        <v>13</v>
      </c>
      <c r="K211" s="25">
        <v>305</v>
      </c>
      <c r="L211" s="25">
        <v>8</v>
      </c>
      <c r="M211" s="25" t="s">
        <v>51</v>
      </c>
      <c r="N211" s="25">
        <v>98.5</v>
      </c>
      <c r="O211" s="25">
        <v>211</v>
      </c>
      <c r="P211" s="25">
        <v>1</v>
      </c>
    </row>
    <row r="212" spans="1:16" ht="30" customHeight="1" x14ac:dyDescent="0.25">
      <c r="A212" s="26">
        <v>45438.604247685187</v>
      </c>
      <c r="B212" s="25" t="s">
        <v>95</v>
      </c>
      <c r="C212" s="25" t="s">
        <v>456</v>
      </c>
      <c r="D212" s="25" t="s">
        <v>457</v>
      </c>
      <c r="E212" s="25">
        <v>469</v>
      </c>
      <c r="F212" s="25" t="s">
        <v>25</v>
      </c>
      <c r="G212" s="25">
        <v>26.2</v>
      </c>
      <c r="H212" s="25">
        <v>65</v>
      </c>
      <c r="I212" s="25" t="s">
        <v>38</v>
      </c>
      <c r="J212" s="25">
        <v>19</v>
      </c>
      <c r="K212" s="25">
        <v>477</v>
      </c>
      <c r="L212" s="25">
        <v>2</v>
      </c>
      <c r="M212" s="25" t="s">
        <v>51</v>
      </c>
      <c r="N212" s="25">
        <v>96.9</v>
      </c>
      <c r="O212" s="25">
        <v>206</v>
      </c>
      <c r="P212" s="25">
        <v>0</v>
      </c>
    </row>
    <row r="213" spans="1:16" x14ac:dyDescent="0.25">
      <c r="A213" s="26">
        <v>45502.704780092594</v>
      </c>
      <c r="B213" s="25" t="s">
        <v>56</v>
      </c>
      <c r="C213" s="25" t="s">
        <v>458</v>
      </c>
      <c r="D213" s="25" t="s">
        <v>459</v>
      </c>
      <c r="E213" s="25">
        <v>106</v>
      </c>
      <c r="F213" s="25" t="s">
        <v>25</v>
      </c>
      <c r="G213" s="25">
        <v>27</v>
      </c>
      <c r="H213" s="25">
        <v>56.8</v>
      </c>
      <c r="I213" s="25" t="s">
        <v>20</v>
      </c>
      <c r="J213" s="25">
        <v>31</v>
      </c>
      <c r="K213" s="25">
        <v>120</v>
      </c>
      <c r="L213" s="25">
        <v>4</v>
      </c>
      <c r="M213" s="25" t="s">
        <v>27</v>
      </c>
      <c r="N213" s="25">
        <v>95.7</v>
      </c>
      <c r="O213" s="25">
        <v>286</v>
      </c>
      <c r="P213" s="25">
        <v>0</v>
      </c>
    </row>
    <row r="214" spans="1:16" ht="30" customHeight="1" x14ac:dyDescent="0.25">
      <c r="A214" s="26">
        <v>45635.570439814815</v>
      </c>
      <c r="B214" s="25" t="s">
        <v>61</v>
      </c>
      <c r="C214" s="25" t="s">
        <v>460</v>
      </c>
      <c r="D214" s="25" t="s">
        <v>461</v>
      </c>
      <c r="E214" s="25">
        <v>486</v>
      </c>
      <c r="F214" s="25" t="s">
        <v>25</v>
      </c>
      <c r="G214" s="25">
        <v>21.7</v>
      </c>
      <c r="H214" s="25">
        <v>76</v>
      </c>
      <c r="I214" s="25" t="s">
        <v>38</v>
      </c>
      <c r="J214" s="25">
        <v>42</v>
      </c>
      <c r="K214" s="25">
        <v>282</v>
      </c>
      <c r="L214" s="25">
        <v>9</v>
      </c>
      <c r="M214" s="25" t="s">
        <v>51</v>
      </c>
      <c r="N214" s="25">
        <v>80.5</v>
      </c>
      <c r="O214" s="25">
        <v>139</v>
      </c>
      <c r="P214" s="25">
        <v>0</v>
      </c>
    </row>
    <row r="215" spans="1:16" x14ac:dyDescent="0.25">
      <c r="A215" s="26">
        <v>45549.377708333333</v>
      </c>
      <c r="B215" s="25" t="s">
        <v>48</v>
      </c>
      <c r="C215" s="25" t="s">
        <v>462</v>
      </c>
      <c r="D215" s="25" t="s">
        <v>463</v>
      </c>
      <c r="E215" s="25">
        <v>248</v>
      </c>
      <c r="F215" s="25" t="s">
        <v>25</v>
      </c>
      <c r="G215" s="25">
        <v>26.3</v>
      </c>
      <c r="H215" s="25">
        <v>53.7</v>
      </c>
      <c r="I215" s="25" t="s">
        <v>20</v>
      </c>
      <c r="J215" s="25">
        <v>40</v>
      </c>
      <c r="K215" s="25">
        <v>146</v>
      </c>
      <c r="L215" s="25">
        <v>10</v>
      </c>
      <c r="M215" s="25" t="s">
        <v>27</v>
      </c>
      <c r="N215" s="25">
        <v>71.7</v>
      </c>
      <c r="O215" s="25">
        <v>246</v>
      </c>
      <c r="P215" s="25">
        <v>0</v>
      </c>
    </row>
    <row r="216" spans="1:16" x14ac:dyDescent="0.25">
      <c r="A216" s="26">
        <v>45627.078125</v>
      </c>
      <c r="B216" s="25" t="s">
        <v>61</v>
      </c>
      <c r="C216" s="25" t="s">
        <v>464</v>
      </c>
      <c r="D216" s="25" t="s">
        <v>465</v>
      </c>
      <c r="E216" s="25">
        <v>157</v>
      </c>
      <c r="F216" s="25" t="s">
        <v>25</v>
      </c>
      <c r="G216" s="25">
        <v>25.4</v>
      </c>
      <c r="H216" s="25">
        <v>79.099999999999994</v>
      </c>
      <c r="I216" s="25" t="s">
        <v>20</v>
      </c>
      <c r="J216" s="25">
        <v>17</v>
      </c>
      <c r="K216" s="25">
        <v>311</v>
      </c>
      <c r="L216" s="25">
        <v>9</v>
      </c>
      <c r="M216" s="25" t="s">
        <v>27</v>
      </c>
      <c r="N216" s="25">
        <v>69.900000000000006</v>
      </c>
      <c r="O216" s="25">
        <v>233</v>
      </c>
      <c r="P216" s="25">
        <v>0</v>
      </c>
    </row>
    <row r="217" spans="1:16" ht="30" customHeight="1" x14ac:dyDescent="0.25">
      <c r="A217" s="26">
        <v>45523.714861111112</v>
      </c>
      <c r="B217" s="25" t="s">
        <v>22</v>
      </c>
      <c r="C217" s="25" t="s">
        <v>466</v>
      </c>
      <c r="D217" s="25" t="s">
        <v>467</v>
      </c>
      <c r="E217" s="25">
        <v>235</v>
      </c>
      <c r="F217" s="25" t="s">
        <v>25</v>
      </c>
      <c r="G217" s="25">
        <v>23.2</v>
      </c>
      <c r="H217" s="25">
        <v>54.6</v>
      </c>
      <c r="I217" s="25" t="s">
        <v>38</v>
      </c>
      <c r="J217" s="25">
        <v>28</v>
      </c>
      <c r="K217" s="25">
        <v>467</v>
      </c>
      <c r="L217" s="25">
        <v>9</v>
      </c>
      <c r="M217" s="25" t="s">
        <v>51</v>
      </c>
      <c r="N217" s="25">
        <v>68.2</v>
      </c>
      <c r="O217" s="25">
        <v>206</v>
      </c>
      <c r="P217" s="25">
        <v>0</v>
      </c>
    </row>
    <row r="218" spans="1:16" x14ac:dyDescent="0.25">
      <c r="A218" s="26">
        <v>45397.790381944447</v>
      </c>
      <c r="B218" s="25" t="s">
        <v>16</v>
      </c>
      <c r="C218" s="25" t="s">
        <v>468</v>
      </c>
      <c r="D218" s="25" t="s">
        <v>469</v>
      </c>
      <c r="E218" s="25">
        <v>170</v>
      </c>
      <c r="F218" s="25" t="s">
        <v>19</v>
      </c>
      <c r="G218" s="25">
        <v>25.4</v>
      </c>
      <c r="H218" s="25">
        <v>55.8</v>
      </c>
      <c r="I218" s="25" t="s">
        <v>26</v>
      </c>
      <c r="J218" s="25">
        <v>55</v>
      </c>
      <c r="K218" s="25">
        <v>463</v>
      </c>
      <c r="L218" s="25">
        <v>10</v>
      </c>
      <c r="M218" s="25" t="s">
        <v>27</v>
      </c>
      <c r="N218" s="25">
        <v>60.1</v>
      </c>
      <c r="O218" s="25">
        <v>112</v>
      </c>
      <c r="P218" s="25">
        <v>1</v>
      </c>
    </row>
    <row r="219" spans="1:16" ht="30" customHeight="1" x14ac:dyDescent="0.25">
      <c r="A219" s="26">
        <v>45394.457187499997</v>
      </c>
      <c r="B219" s="25" t="s">
        <v>22</v>
      </c>
      <c r="C219" s="25" t="s">
        <v>470</v>
      </c>
      <c r="D219" s="25" t="s">
        <v>471</v>
      </c>
      <c r="E219" s="25">
        <v>342</v>
      </c>
      <c r="F219" s="25" t="s">
        <v>34</v>
      </c>
      <c r="G219" s="25">
        <v>25.1</v>
      </c>
      <c r="H219" s="25">
        <v>52.4</v>
      </c>
      <c r="I219" s="25" t="s">
        <v>38</v>
      </c>
      <c r="J219" s="25">
        <v>24</v>
      </c>
      <c r="K219" s="25">
        <v>103</v>
      </c>
      <c r="L219" s="25">
        <v>2</v>
      </c>
      <c r="M219" s="25" t="s">
        <v>51</v>
      </c>
      <c r="N219" s="25">
        <v>88</v>
      </c>
      <c r="O219" s="25">
        <v>209</v>
      </c>
      <c r="P219" s="25">
        <v>0</v>
      </c>
    </row>
    <row r="220" spans="1:16" ht="30" customHeight="1" x14ac:dyDescent="0.25">
      <c r="A220" s="26">
        <v>45345.395358796297</v>
      </c>
      <c r="B220" s="25" t="s">
        <v>61</v>
      </c>
      <c r="C220" s="25" t="s">
        <v>472</v>
      </c>
      <c r="D220" s="25" t="s">
        <v>473</v>
      </c>
      <c r="E220" s="25">
        <v>290</v>
      </c>
      <c r="F220" s="25" t="s">
        <v>25</v>
      </c>
      <c r="G220" s="25">
        <v>20.5</v>
      </c>
      <c r="H220" s="25">
        <v>51.4</v>
      </c>
      <c r="I220" s="25" t="s">
        <v>38</v>
      </c>
      <c r="J220" s="25">
        <v>22</v>
      </c>
      <c r="K220" s="25">
        <v>170</v>
      </c>
      <c r="L220" s="25">
        <v>4</v>
      </c>
      <c r="M220" s="25" t="s">
        <v>51</v>
      </c>
      <c r="N220" s="25">
        <v>74.7</v>
      </c>
      <c r="O220" s="25">
        <v>147</v>
      </c>
      <c r="P220" s="25">
        <v>0</v>
      </c>
    </row>
    <row r="221" spans="1:16" ht="30" customHeight="1" x14ac:dyDescent="0.25">
      <c r="A221" s="26">
        <v>45349.220555555556</v>
      </c>
      <c r="B221" s="25" t="s">
        <v>95</v>
      </c>
      <c r="C221" s="25" t="s">
        <v>474</v>
      </c>
      <c r="D221" s="25" t="s">
        <v>475</v>
      </c>
      <c r="E221" s="25">
        <v>260</v>
      </c>
      <c r="F221" s="25" t="s">
        <v>19</v>
      </c>
      <c r="G221" s="25">
        <v>22.8</v>
      </c>
      <c r="H221" s="25">
        <v>71.7</v>
      </c>
      <c r="I221" s="25" t="s">
        <v>26</v>
      </c>
      <c r="J221" s="25">
        <v>44</v>
      </c>
      <c r="K221" s="25">
        <v>393</v>
      </c>
      <c r="L221" s="25">
        <v>5</v>
      </c>
      <c r="M221" s="25" t="s">
        <v>51</v>
      </c>
      <c r="N221" s="25">
        <v>94.1</v>
      </c>
      <c r="O221" s="25">
        <v>154</v>
      </c>
      <c r="P221" s="25">
        <v>1</v>
      </c>
    </row>
    <row r="222" spans="1:16" x14ac:dyDescent="0.25">
      <c r="A222" s="26">
        <v>45499.799108796295</v>
      </c>
      <c r="B222" s="25" t="s">
        <v>64</v>
      </c>
      <c r="C222" s="25" t="s">
        <v>476</v>
      </c>
      <c r="D222" s="25" t="s">
        <v>477</v>
      </c>
      <c r="E222" s="25">
        <v>378</v>
      </c>
      <c r="F222" s="25" t="s">
        <v>19</v>
      </c>
      <c r="G222" s="25">
        <v>18.899999999999999</v>
      </c>
      <c r="H222" s="25">
        <v>55.5</v>
      </c>
      <c r="I222" s="25" t="s">
        <v>26</v>
      </c>
      <c r="J222" s="25">
        <v>35</v>
      </c>
      <c r="K222" s="25">
        <v>367</v>
      </c>
      <c r="L222" s="25">
        <v>4</v>
      </c>
      <c r="M222" s="25" t="s">
        <v>27</v>
      </c>
      <c r="N222" s="25">
        <v>74.400000000000006</v>
      </c>
      <c r="O222" s="25">
        <v>229</v>
      </c>
      <c r="P222" s="25">
        <v>1</v>
      </c>
    </row>
    <row r="223" spans="1:16" x14ac:dyDescent="0.25">
      <c r="A223" s="26">
        <v>45472.222500000003</v>
      </c>
      <c r="B223" s="25" t="s">
        <v>48</v>
      </c>
      <c r="C223" s="25" t="s">
        <v>478</v>
      </c>
      <c r="D223" s="25" t="s">
        <v>479</v>
      </c>
      <c r="E223" s="25">
        <v>177</v>
      </c>
      <c r="F223" s="25" t="s">
        <v>19</v>
      </c>
      <c r="G223" s="25">
        <v>19.2</v>
      </c>
      <c r="H223" s="25">
        <v>70.099999999999994</v>
      </c>
      <c r="I223" s="25" t="s">
        <v>38</v>
      </c>
      <c r="J223" s="25">
        <v>57</v>
      </c>
      <c r="K223" s="25">
        <v>141</v>
      </c>
      <c r="L223" s="25">
        <v>4</v>
      </c>
      <c r="M223" s="25" t="s">
        <v>27</v>
      </c>
      <c r="N223" s="25">
        <v>86.6</v>
      </c>
      <c r="O223" s="25">
        <v>249</v>
      </c>
      <c r="P223" s="25">
        <v>1</v>
      </c>
    </row>
    <row r="224" spans="1:16" ht="30" customHeight="1" x14ac:dyDescent="0.25">
      <c r="A224" s="26">
        <v>45397.194525462961</v>
      </c>
      <c r="B224" s="25" t="s">
        <v>48</v>
      </c>
      <c r="C224" s="25" t="s">
        <v>480</v>
      </c>
      <c r="D224" s="25" t="s">
        <v>481</v>
      </c>
      <c r="E224" s="25">
        <v>310</v>
      </c>
      <c r="F224" s="25" t="s">
        <v>25</v>
      </c>
      <c r="G224" s="25">
        <v>22.8</v>
      </c>
      <c r="H224" s="25">
        <v>64.400000000000006</v>
      </c>
      <c r="I224" s="25" t="s">
        <v>26</v>
      </c>
      <c r="J224" s="25">
        <v>33</v>
      </c>
      <c r="K224" s="25">
        <v>104</v>
      </c>
      <c r="L224" s="25">
        <v>2</v>
      </c>
      <c r="M224" s="25" t="s">
        <v>51</v>
      </c>
      <c r="N224" s="25">
        <v>98.9</v>
      </c>
      <c r="O224" s="25">
        <v>110</v>
      </c>
      <c r="P224" s="25">
        <v>1</v>
      </c>
    </row>
    <row r="225" spans="1:16" x14ac:dyDescent="0.25">
      <c r="A225" s="26">
        <v>45497.172939814816</v>
      </c>
      <c r="B225" s="25" t="s">
        <v>61</v>
      </c>
      <c r="C225" s="25" t="s">
        <v>482</v>
      </c>
      <c r="D225" s="25" t="s">
        <v>483</v>
      </c>
      <c r="E225" s="25">
        <v>132</v>
      </c>
      <c r="F225" s="25" t="s">
        <v>34</v>
      </c>
      <c r="G225" s="25">
        <v>27.5</v>
      </c>
      <c r="H225" s="25">
        <v>57.2</v>
      </c>
      <c r="I225" s="25" t="s">
        <v>26</v>
      </c>
      <c r="J225" s="25">
        <v>36</v>
      </c>
      <c r="K225" s="25">
        <v>481</v>
      </c>
      <c r="L225" s="25">
        <v>5</v>
      </c>
      <c r="M225" s="25" t="s">
        <v>35</v>
      </c>
      <c r="N225" s="25">
        <v>65.2</v>
      </c>
      <c r="O225" s="25">
        <v>140</v>
      </c>
      <c r="P225" s="25">
        <v>1</v>
      </c>
    </row>
    <row r="226" spans="1:16" x14ac:dyDescent="0.25">
      <c r="A226" s="26">
        <v>45492.046076388891</v>
      </c>
      <c r="B226" s="25" t="s">
        <v>56</v>
      </c>
      <c r="C226" s="25" t="s">
        <v>484</v>
      </c>
      <c r="D226" s="25" t="s">
        <v>485</v>
      </c>
      <c r="E226" s="25">
        <v>331</v>
      </c>
      <c r="F226" s="25" t="s">
        <v>19</v>
      </c>
      <c r="G226" s="25">
        <v>25.6</v>
      </c>
      <c r="H226" s="25">
        <v>77.8</v>
      </c>
      <c r="I226" s="25" t="s">
        <v>26</v>
      </c>
      <c r="J226" s="25">
        <v>26</v>
      </c>
      <c r="K226" s="25">
        <v>213</v>
      </c>
      <c r="L226" s="25">
        <v>9</v>
      </c>
      <c r="M226" s="25" t="s">
        <v>35</v>
      </c>
      <c r="N226" s="25">
        <v>90.7</v>
      </c>
      <c r="O226" s="25">
        <v>269</v>
      </c>
      <c r="P226" s="25">
        <v>1</v>
      </c>
    </row>
    <row r="227" spans="1:16" x14ac:dyDescent="0.25">
      <c r="A227" s="26">
        <v>45405.701909722222</v>
      </c>
      <c r="B227" s="25" t="s">
        <v>95</v>
      </c>
      <c r="C227" s="25" t="s">
        <v>486</v>
      </c>
      <c r="D227" s="25" t="s">
        <v>487</v>
      </c>
      <c r="E227" s="25">
        <v>294</v>
      </c>
      <c r="F227" s="25" t="s">
        <v>34</v>
      </c>
      <c r="G227" s="25">
        <v>24.4</v>
      </c>
      <c r="H227" s="25">
        <v>65.2</v>
      </c>
      <c r="I227" s="25" t="s">
        <v>20</v>
      </c>
      <c r="J227" s="25">
        <v>23</v>
      </c>
      <c r="K227" s="25">
        <v>439</v>
      </c>
      <c r="L227" s="25">
        <v>8</v>
      </c>
      <c r="M227" s="25" t="s">
        <v>35</v>
      </c>
      <c r="N227" s="25">
        <v>65</v>
      </c>
      <c r="O227" s="25">
        <v>213</v>
      </c>
      <c r="P227" s="25">
        <v>0</v>
      </c>
    </row>
    <row r="228" spans="1:16" ht="30" customHeight="1" x14ac:dyDescent="0.25">
      <c r="A228" s="26">
        <v>45461.539641203701</v>
      </c>
      <c r="B228" s="25" t="s">
        <v>22</v>
      </c>
      <c r="C228" s="25" t="s">
        <v>488</v>
      </c>
      <c r="D228" s="25" t="s">
        <v>489</v>
      </c>
      <c r="E228" s="25">
        <v>277</v>
      </c>
      <c r="F228" s="25" t="s">
        <v>34</v>
      </c>
      <c r="G228" s="25">
        <v>29.3</v>
      </c>
      <c r="H228" s="25">
        <v>50.7</v>
      </c>
      <c r="I228" s="25" t="s">
        <v>26</v>
      </c>
      <c r="J228" s="25">
        <v>24</v>
      </c>
      <c r="K228" s="25">
        <v>242</v>
      </c>
      <c r="L228" s="25">
        <v>2</v>
      </c>
      <c r="M228" s="25" t="s">
        <v>51</v>
      </c>
      <c r="N228" s="25">
        <v>93.4</v>
      </c>
      <c r="O228" s="25">
        <v>271</v>
      </c>
      <c r="P228" s="25">
        <v>1</v>
      </c>
    </row>
    <row r="229" spans="1:16" x14ac:dyDescent="0.25">
      <c r="A229" s="26">
        <v>45643.174525462964</v>
      </c>
      <c r="B229" s="25" t="s">
        <v>64</v>
      </c>
      <c r="C229" s="25" t="s">
        <v>490</v>
      </c>
      <c r="D229" s="25" t="s">
        <v>491</v>
      </c>
      <c r="E229" s="25">
        <v>329</v>
      </c>
      <c r="F229" s="25" t="s">
        <v>19</v>
      </c>
      <c r="G229" s="25">
        <v>29.7</v>
      </c>
      <c r="H229" s="25">
        <v>77.900000000000006</v>
      </c>
      <c r="I229" s="25" t="s">
        <v>26</v>
      </c>
      <c r="J229" s="25">
        <v>33</v>
      </c>
      <c r="K229" s="25">
        <v>232</v>
      </c>
      <c r="L229" s="25">
        <v>5</v>
      </c>
      <c r="M229" s="25" t="s">
        <v>27</v>
      </c>
      <c r="N229" s="25">
        <v>91.9</v>
      </c>
      <c r="O229" s="25">
        <v>124</v>
      </c>
      <c r="P229" s="25">
        <v>1</v>
      </c>
    </row>
    <row r="230" spans="1:16" x14ac:dyDescent="0.25">
      <c r="A230" s="26">
        <v>45613.195347222223</v>
      </c>
      <c r="B230" s="25" t="s">
        <v>56</v>
      </c>
      <c r="C230" s="25" t="s">
        <v>492</v>
      </c>
      <c r="D230" s="25" t="s">
        <v>493</v>
      </c>
      <c r="E230" s="25">
        <v>204</v>
      </c>
      <c r="F230" s="25" t="s">
        <v>34</v>
      </c>
      <c r="G230" s="25">
        <v>18.7</v>
      </c>
      <c r="H230" s="25">
        <v>68.5</v>
      </c>
      <c r="I230" s="25" t="s">
        <v>26</v>
      </c>
      <c r="J230" s="25">
        <v>27</v>
      </c>
      <c r="K230" s="25">
        <v>473</v>
      </c>
      <c r="L230" s="25">
        <v>2</v>
      </c>
      <c r="M230" s="25" t="s">
        <v>35</v>
      </c>
      <c r="N230" s="25">
        <v>76.900000000000006</v>
      </c>
      <c r="O230" s="25">
        <v>217</v>
      </c>
      <c r="P230" s="25">
        <v>1</v>
      </c>
    </row>
    <row r="231" spans="1:16" x14ac:dyDescent="0.25">
      <c r="A231" s="26">
        <v>45463.471365740741</v>
      </c>
      <c r="B231" s="25" t="s">
        <v>95</v>
      </c>
      <c r="C231" s="25" t="s">
        <v>494</v>
      </c>
      <c r="D231" s="25" t="s">
        <v>495</v>
      </c>
      <c r="E231" s="25">
        <v>410</v>
      </c>
      <c r="F231" s="25" t="s">
        <v>34</v>
      </c>
      <c r="G231" s="25">
        <v>28.9</v>
      </c>
      <c r="H231" s="25">
        <v>60.3</v>
      </c>
      <c r="I231" s="25" t="s">
        <v>38</v>
      </c>
      <c r="J231" s="25">
        <v>32</v>
      </c>
      <c r="K231" s="25">
        <v>436</v>
      </c>
      <c r="L231" s="25">
        <v>1</v>
      </c>
      <c r="M231" s="25" t="s">
        <v>21</v>
      </c>
      <c r="N231" s="25">
        <v>77.2</v>
      </c>
      <c r="O231" s="25">
        <v>272</v>
      </c>
      <c r="P231" s="25">
        <v>0</v>
      </c>
    </row>
    <row r="232" spans="1:16" ht="30" customHeight="1" x14ac:dyDescent="0.25">
      <c r="A232" s="26">
        <v>45472.46974537037</v>
      </c>
      <c r="B232" s="25" t="s">
        <v>16</v>
      </c>
      <c r="C232" s="25" t="s">
        <v>496</v>
      </c>
      <c r="D232" s="25" t="s">
        <v>497</v>
      </c>
      <c r="E232" s="25">
        <v>417</v>
      </c>
      <c r="F232" s="25" t="s">
        <v>19</v>
      </c>
      <c r="G232" s="25">
        <v>26.9</v>
      </c>
      <c r="H232" s="25">
        <v>70.8</v>
      </c>
      <c r="I232" s="25" t="s">
        <v>38</v>
      </c>
      <c r="J232" s="25">
        <v>44</v>
      </c>
      <c r="K232" s="25">
        <v>103</v>
      </c>
      <c r="L232" s="25">
        <v>7</v>
      </c>
      <c r="M232" s="25" t="s">
        <v>51</v>
      </c>
      <c r="N232" s="25">
        <v>94.7</v>
      </c>
      <c r="O232" s="25">
        <v>181</v>
      </c>
      <c r="P232" s="25">
        <v>1</v>
      </c>
    </row>
    <row r="233" spans="1:16" x14ac:dyDescent="0.25">
      <c r="A233" s="26">
        <v>45478.385277777779</v>
      </c>
      <c r="B233" s="25" t="s">
        <v>22</v>
      </c>
      <c r="C233" s="25" t="s">
        <v>498</v>
      </c>
      <c r="D233" s="25" t="s">
        <v>499</v>
      </c>
      <c r="E233" s="25">
        <v>324</v>
      </c>
      <c r="F233" s="25" t="s">
        <v>34</v>
      </c>
      <c r="G233" s="25">
        <v>20.7</v>
      </c>
      <c r="H233" s="25">
        <v>72.400000000000006</v>
      </c>
      <c r="I233" s="25" t="s">
        <v>38</v>
      </c>
      <c r="J233" s="25">
        <v>12</v>
      </c>
      <c r="K233" s="25">
        <v>173</v>
      </c>
      <c r="L233" s="25">
        <v>7</v>
      </c>
      <c r="M233" s="25" t="s">
        <v>21</v>
      </c>
      <c r="N233" s="25">
        <v>95.1</v>
      </c>
      <c r="O233" s="25">
        <v>243</v>
      </c>
      <c r="P233" s="25">
        <v>0</v>
      </c>
    </row>
    <row r="234" spans="1:16" x14ac:dyDescent="0.25">
      <c r="A234" s="26">
        <v>45492.840902777774</v>
      </c>
      <c r="B234" s="25" t="s">
        <v>56</v>
      </c>
      <c r="C234" s="25" t="s">
        <v>500</v>
      </c>
      <c r="D234" s="25" t="s">
        <v>501</v>
      </c>
      <c r="E234" s="25">
        <v>218</v>
      </c>
      <c r="F234" s="25" t="s">
        <v>19</v>
      </c>
      <c r="G234" s="25">
        <v>23.8</v>
      </c>
      <c r="H234" s="25">
        <v>52.3</v>
      </c>
      <c r="I234" s="25" t="s">
        <v>20</v>
      </c>
      <c r="J234" s="25">
        <v>52</v>
      </c>
      <c r="K234" s="25">
        <v>389</v>
      </c>
      <c r="L234" s="25">
        <v>2</v>
      </c>
      <c r="M234" s="25" t="s">
        <v>35</v>
      </c>
      <c r="N234" s="25">
        <v>79.5</v>
      </c>
      <c r="O234" s="25">
        <v>231</v>
      </c>
      <c r="P234" s="25">
        <v>1</v>
      </c>
    </row>
    <row r="235" spans="1:16" x14ac:dyDescent="0.25">
      <c r="A235" s="26">
        <v>45531.934930555559</v>
      </c>
      <c r="B235" s="25" t="s">
        <v>64</v>
      </c>
      <c r="C235" s="25" t="s">
        <v>502</v>
      </c>
      <c r="D235" s="25" t="s">
        <v>503</v>
      </c>
      <c r="E235" s="25">
        <v>137</v>
      </c>
      <c r="F235" s="25" t="s">
        <v>19</v>
      </c>
      <c r="G235" s="25">
        <v>23.6</v>
      </c>
      <c r="H235" s="25">
        <v>51.7</v>
      </c>
      <c r="I235" s="25" t="s">
        <v>20</v>
      </c>
      <c r="J235" s="25">
        <v>24</v>
      </c>
      <c r="K235" s="25">
        <v>124</v>
      </c>
      <c r="L235" s="25">
        <v>6</v>
      </c>
      <c r="M235" s="25" t="s">
        <v>35</v>
      </c>
      <c r="N235" s="25">
        <v>70.599999999999994</v>
      </c>
      <c r="O235" s="25">
        <v>279</v>
      </c>
      <c r="P235" s="25">
        <v>1</v>
      </c>
    </row>
    <row r="236" spans="1:16" x14ac:dyDescent="0.25">
      <c r="A236" s="26">
        <v>45460.113553240742</v>
      </c>
      <c r="B236" s="25" t="s">
        <v>41</v>
      </c>
      <c r="C236" s="25" t="s">
        <v>504</v>
      </c>
      <c r="D236" s="25" t="s">
        <v>505</v>
      </c>
      <c r="E236" s="25">
        <v>414</v>
      </c>
      <c r="F236" s="25" t="s">
        <v>19</v>
      </c>
      <c r="G236" s="25">
        <v>18.3</v>
      </c>
      <c r="H236" s="25">
        <v>76.400000000000006</v>
      </c>
      <c r="I236" s="25" t="s">
        <v>20</v>
      </c>
      <c r="J236" s="25">
        <v>42</v>
      </c>
      <c r="K236" s="25">
        <v>332</v>
      </c>
      <c r="L236" s="25">
        <v>10</v>
      </c>
      <c r="M236" s="25" t="s">
        <v>35</v>
      </c>
      <c r="N236" s="25">
        <v>66.3</v>
      </c>
      <c r="O236" s="25">
        <v>249</v>
      </c>
      <c r="P236" s="25">
        <v>1</v>
      </c>
    </row>
    <row r="237" spans="1:16" x14ac:dyDescent="0.25">
      <c r="A237" s="26">
        <v>45433.104375000003</v>
      </c>
      <c r="B237" s="25" t="s">
        <v>95</v>
      </c>
      <c r="C237" s="25" t="s">
        <v>506</v>
      </c>
      <c r="D237" s="25" t="s">
        <v>507</v>
      </c>
      <c r="E237" s="25">
        <v>216</v>
      </c>
      <c r="F237" s="25" t="s">
        <v>25</v>
      </c>
      <c r="G237" s="25">
        <v>26.9</v>
      </c>
      <c r="H237" s="25">
        <v>67.2</v>
      </c>
      <c r="I237" s="25" t="s">
        <v>20</v>
      </c>
      <c r="J237" s="25">
        <v>35</v>
      </c>
      <c r="K237" s="25">
        <v>181</v>
      </c>
      <c r="L237" s="25">
        <v>10</v>
      </c>
      <c r="M237" s="25" t="s">
        <v>27</v>
      </c>
      <c r="N237" s="25">
        <v>86.2</v>
      </c>
      <c r="O237" s="25">
        <v>185</v>
      </c>
      <c r="P237" s="25">
        <v>0</v>
      </c>
    </row>
    <row r="238" spans="1:16" x14ac:dyDescent="0.25">
      <c r="A238" s="26">
        <v>45420.092928240738</v>
      </c>
      <c r="B238" s="25" t="s">
        <v>56</v>
      </c>
      <c r="C238" s="25" t="s">
        <v>508</v>
      </c>
      <c r="D238" s="25" t="s">
        <v>509</v>
      </c>
      <c r="E238" s="25">
        <v>170</v>
      </c>
      <c r="F238" s="25" t="s">
        <v>19</v>
      </c>
      <c r="G238" s="25">
        <v>26.4</v>
      </c>
      <c r="H238" s="25">
        <v>51.6</v>
      </c>
      <c r="I238" s="25" t="s">
        <v>20</v>
      </c>
      <c r="J238" s="25">
        <v>47</v>
      </c>
      <c r="K238" s="25">
        <v>278</v>
      </c>
      <c r="L238" s="25">
        <v>3</v>
      </c>
      <c r="M238" s="25" t="s">
        <v>21</v>
      </c>
      <c r="N238" s="25">
        <v>96.4</v>
      </c>
      <c r="O238" s="25">
        <v>105</v>
      </c>
      <c r="P238" s="25">
        <v>1</v>
      </c>
    </row>
    <row r="239" spans="1:16" x14ac:dyDescent="0.25">
      <c r="A239" s="26">
        <v>45414.409456018519</v>
      </c>
      <c r="B239" s="25" t="s">
        <v>48</v>
      </c>
      <c r="C239" s="25" t="s">
        <v>510</v>
      </c>
      <c r="D239" s="25" t="s">
        <v>511</v>
      </c>
      <c r="E239" s="25">
        <v>154</v>
      </c>
      <c r="F239" s="25" t="s">
        <v>34</v>
      </c>
      <c r="G239" s="25">
        <v>28.6</v>
      </c>
      <c r="H239" s="25">
        <v>66.8</v>
      </c>
      <c r="I239" s="25" t="s">
        <v>38</v>
      </c>
      <c r="J239" s="25">
        <v>18</v>
      </c>
      <c r="K239" s="25">
        <v>384</v>
      </c>
      <c r="L239" s="25">
        <v>9</v>
      </c>
      <c r="M239" s="25" t="s">
        <v>27</v>
      </c>
      <c r="N239" s="25">
        <v>60.4</v>
      </c>
      <c r="O239" s="25">
        <v>263</v>
      </c>
      <c r="P239" s="25">
        <v>0</v>
      </c>
    </row>
    <row r="240" spans="1:16" x14ac:dyDescent="0.25">
      <c r="A240" s="26">
        <v>45316.843900462962</v>
      </c>
      <c r="B240" s="25" t="s">
        <v>48</v>
      </c>
      <c r="C240" s="25" t="s">
        <v>512</v>
      </c>
      <c r="D240" s="25" t="s">
        <v>513</v>
      </c>
      <c r="E240" s="25">
        <v>213</v>
      </c>
      <c r="F240" s="25" t="s">
        <v>34</v>
      </c>
      <c r="G240" s="25">
        <v>25</v>
      </c>
      <c r="H240" s="25">
        <v>72.7</v>
      </c>
      <c r="I240" s="25" t="s">
        <v>20</v>
      </c>
      <c r="J240" s="25">
        <v>51</v>
      </c>
      <c r="K240" s="25">
        <v>353</v>
      </c>
      <c r="L240" s="25">
        <v>8</v>
      </c>
      <c r="M240" s="25" t="s">
        <v>21</v>
      </c>
      <c r="N240" s="25">
        <v>82.6</v>
      </c>
      <c r="O240" s="25">
        <v>227</v>
      </c>
      <c r="P240" s="25">
        <v>0</v>
      </c>
    </row>
    <row r="241" spans="1:16" x14ac:dyDescent="0.25">
      <c r="A241" s="26">
        <v>45298.534166666665</v>
      </c>
      <c r="B241" s="25" t="s">
        <v>41</v>
      </c>
      <c r="C241" s="25" t="s">
        <v>514</v>
      </c>
      <c r="D241" s="25" t="s">
        <v>515</v>
      </c>
      <c r="E241" s="25">
        <v>276</v>
      </c>
      <c r="F241" s="25" t="s">
        <v>34</v>
      </c>
      <c r="G241" s="25">
        <v>24.9</v>
      </c>
      <c r="H241" s="25">
        <v>77</v>
      </c>
      <c r="I241" s="25" t="s">
        <v>20</v>
      </c>
      <c r="J241" s="25">
        <v>60</v>
      </c>
      <c r="K241" s="25">
        <v>467</v>
      </c>
      <c r="L241" s="25">
        <v>4</v>
      </c>
      <c r="M241" s="25" t="s">
        <v>27</v>
      </c>
      <c r="N241" s="25">
        <v>84.6</v>
      </c>
      <c r="O241" s="25">
        <v>292</v>
      </c>
      <c r="P241" s="25">
        <v>0</v>
      </c>
    </row>
    <row r="242" spans="1:16" x14ac:dyDescent="0.25">
      <c r="A242" s="26">
        <v>45359.423344907409</v>
      </c>
      <c r="B242" s="25" t="s">
        <v>28</v>
      </c>
      <c r="C242" s="25" t="s">
        <v>516</v>
      </c>
      <c r="D242" s="25" t="s">
        <v>517</v>
      </c>
      <c r="E242" s="25">
        <v>382</v>
      </c>
      <c r="F242" s="25" t="s">
        <v>25</v>
      </c>
      <c r="G242" s="25">
        <v>22</v>
      </c>
      <c r="H242" s="25">
        <v>77.8</v>
      </c>
      <c r="I242" s="25" t="s">
        <v>38</v>
      </c>
      <c r="J242" s="25">
        <v>47</v>
      </c>
      <c r="K242" s="25">
        <v>448</v>
      </c>
      <c r="L242" s="25">
        <v>5</v>
      </c>
      <c r="M242" s="25" t="s">
        <v>27</v>
      </c>
      <c r="N242" s="25">
        <v>81.400000000000006</v>
      </c>
      <c r="O242" s="25">
        <v>246</v>
      </c>
      <c r="P242" s="25">
        <v>0</v>
      </c>
    </row>
    <row r="243" spans="1:16" x14ac:dyDescent="0.25">
      <c r="A243" s="26">
        <v>45648.625914351855</v>
      </c>
      <c r="B243" s="25" t="s">
        <v>56</v>
      </c>
      <c r="C243" s="25" t="s">
        <v>518</v>
      </c>
      <c r="D243" s="25" t="s">
        <v>519</v>
      </c>
      <c r="E243" s="25">
        <v>383</v>
      </c>
      <c r="F243" s="25" t="s">
        <v>25</v>
      </c>
      <c r="G243" s="25">
        <v>19.100000000000001</v>
      </c>
      <c r="H243" s="25">
        <v>69</v>
      </c>
      <c r="I243" s="25" t="s">
        <v>20</v>
      </c>
      <c r="J243" s="25">
        <v>16</v>
      </c>
      <c r="K243" s="25">
        <v>238</v>
      </c>
      <c r="L243" s="25">
        <v>3</v>
      </c>
      <c r="M243" s="25" t="s">
        <v>27</v>
      </c>
      <c r="N243" s="25">
        <v>90.7</v>
      </c>
      <c r="O243" s="25">
        <v>290</v>
      </c>
      <c r="P243" s="25">
        <v>0</v>
      </c>
    </row>
    <row r="244" spans="1:16" x14ac:dyDescent="0.25">
      <c r="A244" s="26">
        <v>45312.553506944445</v>
      </c>
      <c r="B244" s="25" t="s">
        <v>95</v>
      </c>
      <c r="C244" s="25" t="s">
        <v>520</v>
      </c>
      <c r="D244" s="25" t="s">
        <v>521</v>
      </c>
      <c r="E244" s="25">
        <v>334</v>
      </c>
      <c r="F244" s="25" t="s">
        <v>19</v>
      </c>
      <c r="G244" s="25">
        <v>26.6</v>
      </c>
      <c r="H244" s="25">
        <v>74.099999999999994</v>
      </c>
      <c r="I244" s="25" t="s">
        <v>20</v>
      </c>
      <c r="J244" s="25">
        <v>10</v>
      </c>
      <c r="K244" s="25">
        <v>317</v>
      </c>
      <c r="L244" s="25">
        <v>3</v>
      </c>
      <c r="M244" s="25" t="s">
        <v>35</v>
      </c>
      <c r="N244" s="25">
        <v>73</v>
      </c>
      <c r="O244" s="25">
        <v>184</v>
      </c>
      <c r="P244" s="25">
        <v>1</v>
      </c>
    </row>
    <row r="245" spans="1:16" x14ac:dyDescent="0.25">
      <c r="A245" s="26">
        <v>45468.107800925929</v>
      </c>
      <c r="B245" s="25" t="s">
        <v>31</v>
      </c>
      <c r="C245" s="25" t="s">
        <v>522</v>
      </c>
      <c r="D245" s="25" t="s">
        <v>523</v>
      </c>
      <c r="E245" s="25">
        <v>421</v>
      </c>
      <c r="F245" s="25" t="s">
        <v>19</v>
      </c>
      <c r="G245" s="25">
        <v>26.3</v>
      </c>
      <c r="H245" s="25">
        <v>68.8</v>
      </c>
      <c r="I245" s="25" t="s">
        <v>26</v>
      </c>
      <c r="J245" s="25">
        <v>53</v>
      </c>
      <c r="K245" s="25">
        <v>128</v>
      </c>
      <c r="L245" s="25">
        <v>6</v>
      </c>
      <c r="M245" s="25" t="s">
        <v>21</v>
      </c>
      <c r="N245" s="25">
        <v>76.599999999999994</v>
      </c>
      <c r="O245" s="25">
        <v>100</v>
      </c>
      <c r="P245" s="25">
        <v>1</v>
      </c>
    </row>
    <row r="246" spans="1:16" ht="30" customHeight="1" x14ac:dyDescent="0.25">
      <c r="A246" s="26">
        <v>45439.217743055553</v>
      </c>
      <c r="B246" s="25" t="s">
        <v>48</v>
      </c>
      <c r="C246" s="25" t="s">
        <v>524</v>
      </c>
      <c r="D246" s="25" t="s">
        <v>525</v>
      </c>
      <c r="E246" s="25">
        <v>329</v>
      </c>
      <c r="F246" s="25" t="s">
        <v>34</v>
      </c>
      <c r="G246" s="25">
        <v>25</v>
      </c>
      <c r="H246" s="25">
        <v>51.2</v>
      </c>
      <c r="I246" s="25" t="s">
        <v>20</v>
      </c>
      <c r="J246" s="25">
        <v>53</v>
      </c>
      <c r="K246" s="25">
        <v>233</v>
      </c>
      <c r="L246" s="25">
        <v>5</v>
      </c>
      <c r="M246" s="25" t="s">
        <v>51</v>
      </c>
      <c r="N246" s="25">
        <v>67.2</v>
      </c>
      <c r="O246" s="25">
        <v>188</v>
      </c>
      <c r="P246" s="25">
        <v>0</v>
      </c>
    </row>
    <row r="247" spans="1:16" x14ac:dyDescent="0.25">
      <c r="A247" s="26">
        <v>45318.045578703706</v>
      </c>
      <c r="B247" s="25" t="s">
        <v>28</v>
      </c>
      <c r="C247" s="25" t="s">
        <v>526</v>
      </c>
      <c r="D247" s="25" t="s">
        <v>527</v>
      </c>
      <c r="E247" s="25">
        <v>284</v>
      </c>
      <c r="F247" s="25" t="s">
        <v>25</v>
      </c>
      <c r="G247" s="25">
        <v>22.1</v>
      </c>
      <c r="H247" s="25">
        <v>77.2</v>
      </c>
      <c r="I247" s="25" t="s">
        <v>26</v>
      </c>
      <c r="J247" s="25">
        <v>16</v>
      </c>
      <c r="K247" s="25">
        <v>226</v>
      </c>
      <c r="L247" s="25">
        <v>4</v>
      </c>
      <c r="M247" s="25" t="s">
        <v>21</v>
      </c>
      <c r="N247" s="25">
        <v>95.8</v>
      </c>
      <c r="O247" s="25">
        <v>206</v>
      </c>
      <c r="P247" s="25">
        <v>1</v>
      </c>
    </row>
    <row r="248" spans="1:16" ht="30" customHeight="1" x14ac:dyDescent="0.25">
      <c r="A248" s="26">
        <v>45312.133275462962</v>
      </c>
      <c r="B248" s="25" t="s">
        <v>48</v>
      </c>
      <c r="C248" s="25" t="s">
        <v>528</v>
      </c>
      <c r="D248" s="25" t="s">
        <v>529</v>
      </c>
      <c r="E248" s="25">
        <v>184</v>
      </c>
      <c r="F248" s="25" t="s">
        <v>19</v>
      </c>
      <c r="G248" s="25">
        <v>19.2</v>
      </c>
      <c r="H248" s="25">
        <v>59.8</v>
      </c>
      <c r="I248" s="25" t="s">
        <v>26</v>
      </c>
      <c r="J248" s="25">
        <v>23</v>
      </c>
      <c r="K248" s="25">
        <v>126</v>
      </c>
      <c r="L248" s="25">
        <v>4</v>
      </c>
      <c r="M248" s="25" t="s">
        <v>51</v>
      </c>
      <c r="N248" s="25">
        <v>90.4</v>
      </c>
      <c r="O248" s="25">
        <v>200</v>
      </c>
      <c r="P248" s="25">
        <v>1</v>
      </c>
    </row>
    <row r="249" spans="1:16" x14ac:dyDescent="0.25">
      <c r="A249" s="26">
        <v>45507.560034722221</v>
      </c>
      <c r="B249" s="25" t="s">
        <v>64</v>
      </c>
      <c r="C249" s="25" t="s">
        <v>530</v>
      </c>
      <c r="D249" s="25" t="s">
        <v>531</v>
      </c>
      <c r="E249" s="25">
        <v>403</v>
      </c>
      <c r="F249" s="25" t="s">
        <v>34</v>
      </c>
      <c r="G249" s="25">
        <v>20.6</v>
      </c>
      <c r="H249" s="25">
        <v>66.099999999999994</v>
      </c>
      <c r="I249" s="25" t="s">
        <v>38</v>
      </c>
      <c r="J249" s="25">
        <v>15</v>
      </c>
      <c r="K249" s="25">
        <v>461</v>
      </c>
      <c r="L249" s="25">
        <v>4</v>
      </c>
      <c r="M249" s="25" t="s">
        <v>21</v>
      </c>
      <c r="N249" s="25">
        <v>77.099999999999994</v>
      </c>
      <c r="O249" s="25">
        <v>263</v>
      </c>
      <c r="P249" s="25">
        <v>0</v>
      </c>
    </row>
    <row r="250" spans="1:16" x14ac:dyDescent="0.25">
      <c r="A250" s="26">
        <v>45448.756643518522</v>
      </c>
      <c r="B250" s="25" t="s">
        <v>22</v>
      </c>
      <c r="C250" s="25" t="s">
        <v>532</v>
      </c>
      <c r="D250" s="25" t="s">
        <v>533</v>
      </c>
      <c r="E250" s="25">
        <v>100</v>
      </c>
      <c r="F250" s="25" t="s">
        <v>25</v>
      </c>
      <c r="G250" s="25">
        <v>22.3</v>
      </c>
      <c r="H250" s="25">
        <v>72.3</v>
      </c>
      <c r="I250" s="25" t="s">
        <v>20</v>
      </c>
      <c r="J250" s="25">
        <v>43</v>
      </c>
      <c r="K250" s="25">
        <v>256</v>
      </c>
      <c r="L250" s="25">
        <v>5</v>
      </c>
      <c r="M250" s="25" t="s">
        <v>21</v>
      </c>
      <c r="N250" s="25">
        <v>92.8</v>
      </c>
      <c r="O250" s="25">
        <v>101</v>
      </c>
      <c r="P250" s="25">
        <v>0</v>
      </c>
    </row>
    <row r="251" spans="1:16" x14ac:dyDescent="0.25">
      <c r="A251" s="26">
        <v>45592.50644675926</v>
      </c>
      <c r="B251" s="25" t="s">
        <v>61</v>
      </c>
      <c r="C251" s="25" t="s">
        <v>534</v>
      </c>
      <c r="D251" s="25" t="s">
        <v>535</v>
      </c>
      <c r="E251" s="25">
        <v>135</v>
      </c>
      <c r="F251" s="25" t="s">
        <v>19</v>
      </c>
      <c r="G251" s="25">
        <v>18.899999999999999</v>
      </c>
      <c r="H251" s="25">
        <v>55.5</v>
      </c>
      <c r="I251" s="25" t="s">
        <v>26</v>
      </c>
      <c r="J251" s="25">
        <v>57</v>
      </c>
      <c r="K251" s="25">
        <v>162</v>
      </c>
      <c r="L251" s="25">
        <v>9</v>
      </c>
      <c r="M251" s="25" t="s">
        <v>21</v>
      </c>
      <c r="N251" s="25">
        <v>75.3</v>
      </c>
      <c r="O251" s="25">
        <v>127</v>
      </c>
      <c r="P251" s="25">
        <v>1</v>
      </c>
    </row>
    <row r="252" spans="1:16" x14ac:dyDescent="0.25">
      <c r="A252" s="26">
        <v>45587.603321759256</v>
      </c>
      <c r="B252" s="25" t="s">
        <v>95</v>
      </c>
      <c r="C252" s="25" t="s">
        <v>536</v>
      </c>
      <c r="D252" s="25" t="s">
        <v>537</v>
      </c>
      <c r="E252" s="25">
        <v>220</v>
      </c>
      <c r="F252" s="25" t="s">
        <v>25</v>
      </c>
      <c r="G252" s="25">
        <v>25</v>
      </c>
      <c r="H252" s="25">
        <v>79</v>
      </c>
      <c r="I252" s="25" t="s">
        <v>26</v>
      </c>
      <c r="J252" s="25">
        <v>51</v>
      </c>
      <c r="K252" s="25">
        <v>481</v>
      </c>
      <c r="L252" s="25">
        <v>2</v>
      </c>
      <c r="M252" s="25" t="s">
        <v>27</v>
      </c>
      <c r="N252" s="25">
        <v>64.3</v>
      </c>
      <c r="O252" s="25">
        <v>268</v>
      </c>
      <c r="P252" s="25">
        <v>1</v>
      </c>
    </row>
    <row r="253" spans="1:16" x14ac:dyDescent="0.25">
      <c r="A253" s="26">
        <v>45538.404143518521</v>
      </c>
      <c r="B253" s="25" t="s">
        <v>56</v>
      </c>
      <c r="C253" s="25" t="s">
        <v>538</v>
      </c>
      <c r="D253" s="25" t="s">
        <v>539</v>
      </c>
      <c r="E253" s="25">
        <v>318</v>
      </c>
      <c r="F253" s="25" t="s">
        <v>25</v>
      </c>
      <c r="G253" s="25">
        <v>29.8</v>
      </c>
      <c r="H253" s="25">
        <v>51.4</v>
      </c>
      <c r="I253" s="25" t="s">
        <v>38</v>
      </c>
      <c r="J253" s="25">
        <v>24</v>
      </c>
      <c r="K253" s="25">
        <v>216</v>
      </c>
      <c r="L253" s="25">
        <v>3</v>
      </c>
      <c r="M253" s="25" t="s">
        <v>27</v>
      </c>
      <c r="N253" s="25">
        <v>83.8</v>
      </c>
      <c r="O253" s="25">
        <v>221</v>
      </c>
      <c r="P253" s="25">
        <v>0</v>
      </c>
    </row>
    <row r="254" spans="1:16" x14ac:dyDescent="0.25">
      <c r="A254" s="26">
        <v>45294.472604166665</v>
      </c>
      <c r="B254" s="25" t="s">
        <v>16</v>
      </c>
      <c r="C254" s="25" t="s">
        <v>540</v>
      </c>
      <c r="D254" s="25" t="s">
        <v>541</v>
      </c>
      <c r="E254" s="25">
        <v>237</v>
      </c>
      <c r="F254" s="25" t="s">
        <v>34</v>
      </c>
      <c r="G254" s="25">
        <v>29.2</v>
      </c>
      <c r="H254" s="25">
        <v>56.2</v>
      </c>
      <c r="I254" s="25" t="s">
        <v>20</v>
      </c>
      <c r="J254" s="25">
        <v>15</v>
      </c>
      <c r="K254" s="25">
        <v>251</v>
      </c>
      <c r="L254" s="25">
        <v>3</v>
      </c>
      <c r="M254" s="25" t="s">
        <v>27</v>
      </c>
      <c r="N254" s="25">
        <v>76.3</v>
      </c>
      <c r="O254" s="25">
        <v>198</v>
      </c>
      <c r="P254" s="25">
        <v>0</v>
      </c>
    </row>
    <row r="255" spans="1:16" x14ac:dyDescent="0.25">
      <c r="A255" s="26">
        <v>45454.985335648147</v>
      </c>
      <c r="B255" s="25" t="s">
        <v>48</v>
      </c>
      <c r="C255" s="25" t="s">
        <v>542</v>
      </c>
      <c r="D255" s="25" t="s">
        <v>543</v>
      </c>
      <c r="E255" s="25">
        <v>459</v>
      </c>
      <c r="F255" s="25" t="s">
        <v>25</v>
      </c>
      <c r="G255" s="25">
        <v>27.2</v>
      </c>
      <c r="H255" s="25">
        <v>78.5</v>
      </c>
      <c r="I255" s="25" t="s">
        <v>26</v>
      </c>
      <c r="J255" s="25">
        <v>22</v>
      </c>
      <c r="K255" s="25">
        <v>323</v>
      </c>
      <c r="L255" s="25">
        <v>7</v>
      </c>
      <c r="M255" s="25" t="s">
        <v>21</v>
      </c>
      <c r="N255" s="25">
        <v>87.3</v>
      </c>
      <c r="O255" s="25">
        <v>271</v>
      </c>
      <c r="P255" s="25">
        <v>1</v>
      </c>
    </row>
    <row r="256" spans="1:16" x14ac:dyDescent="0.25">
      <c r="A256" s="26">
        <v>45295.98101851852</v>
      </c>
      <c r="B256" s="25" t="s">
        <v>22</v>
      </c>
      <c r="C256" s="25" t="s">
        <v>544</v>
      </c>
      <c r="D256" s="25" t="s">
        <v>545</v>
      </c>
      <c r="E256" s="25">
        <v>332</v>
      </c>
      <c r="F256" s="25" t="s">
        <v>25</v>
      </c>
      <c r="G256" s="25">
        <v>21.7</v>
      </c>
      <c r="H256" s="25">
        <v>58.9</v>
      </c>
      <c r="I256" s="25" t="s">
        <v>26</v>
      </c>
      <c r="J256" s="25">
        <v>33</v>
      </c>
      <c r="K256" s="25">
        <v>363</v>
      </c>
      <c r="L256" s="25">
        <v>6</v>
      </c>
      <c r="M256" s="25" t="s">
        <v>27</v>
      </c>
      <c r="N256" s="25">
        <v>90.1</v>
      </c>
      <c r="O256" s="25">
        <v>131</v>
      </c>
      <c r="P256" s="25">
        <v>1</v>
      </c>
    </row>
    <row r="257" spans="1:16" x14ac:dyDescent="0.25">
      <c r="A257" s="26">
        <v>45506.290520833332</v>
      </c>
      <c r="B257" s="25" t="s">
        <v>56</v>
      </c>
      <c r="C257" s="25" t="s">
        <v>546</v>
      </c>
      <c r="D257" s="25" t="s">
        <v>547</v>
      </c>
      <c r="E257" s="25">
        <v>133</v>
      </c>
      <c r="F257" s="25" t="s">
        <v>25</v>
      </c>
      <c r="G257" s="25">
        <v>28.7</v>
      </c>
      <c r="H257" s="25">
        <v>69.5</v>
      </c>
      <c r="I257" s="25" t="s">
        <v>20</v>
      </c>
      <c r="J257" s="25">
        <v>57</v>
      </c>
      <c r="K257" s="25">
        <v>342</v>
      </c>
      <c r="L257" s="25">
        <v>6</v>
      </c>
      <c r="M257" s="25" t="s">
        <v>35</v>
      </c>
      <c r="N257" s="25">
        <v>99.9</v>
      </c>
      <c r="O257" s="25">
        <v>261</v>
      </c>
      <c r="P257" s="25">
        <v>0</v>
      </c>
    </row>
    <row r="258" spans="1:16" ht="30" customHeight="1" x14ac:dyDescent="0.25">
      <c r="A258" s="26">
        <v>45533.088379629633</v>
      </c>
      <c r="B258" s="25" t="s">
        <v>56</v>
      </c>
      <c r="C258" s="25" t="s">
        <v>548</v>
      </c>
      <c r="D258" s="25" t="s">
        <v>549</v>
      </c>
      <c r="E258" s="25">
        <v>499</v>
      </c>
      <c r="F258" s="25" t="s">
        <v>19</v>
      </c>
      <c r="G258" s="25">
        <v>18.3</v>
      </c>
      <c r="H258" s="25">
        <v>75.099999999999994</v>
      </c>
      <c r="I258" s="25" t="s">
        <v>38</v>
      </c>
      <c r="J258" s="25">
        <v>22</v>
      </c>
      <c r="K258" s="25">
        <v>251</v>
      </c>
      <c r="L258" s="25">
        <v>1</v>
      </c>
      <c r="M258" s="25" t="s">
        <v>51</v>
      </c>
      <c r="N258" s="25">
        <v>79.2</v>
      </c>
      <c r="O258" s="25">
        <v>139</v>
      </c>
      <c r="P258" s="25">
        <v>1</v>
      </c>
    </row>
    <row r="259" spans="1:16" x14ac:dyDescent="0.25">
      <c r="A259" s="26">
        <v>45344.751388888886</v>
      </c>
      <c r="B259" s="25" t="s">
        <v>28</v>
      </c>
      <c r="C259" s="25" t="s">
        <v>550</v>
      </c>
      <c r="D259" s="25" t="s">
        <v>551</v>
      </c>
      <c r="E259" s="25">
        <v>350</v>
      </c>
      <c r="F259" s="25" t="s">
        <v>34</v>
      </c>
      <c r="G259" s="25">
        <v>25.3</v>
      </c>
      <c r="H259" s="25">
        <v>71.2</v>
      </c>
      <c r="I259" s="25" t="s">
        <v>20</v>
      </c>
      <c r="J259" s="25">
        <v>19</v>
      </c>
      <c r="K259" s="25">
        <v>177</v>
      </c>
      <c r="L259" s="25">
        <v>1</v>
      </c>
      <c r="M259" s="25" t="s">
        <v>21</v>
      </c>
      <c r="N259" s="25">
        <v>67</v>
      </c>
      <c r="O259" s="25">
        <v>209</v>
      </c>
      <c r="P259" s="25">
        <v>0</v>
      </c>
    </row>
    <row r="260" spans="1:16" x14ac:dyDescent="0.25">
      <c r="A260" s="26">
        <v>45464.855254629627</v>
      </c>
      <c r="B260" s="25" t="s">
        <v>16</v>
      </c>
      <c r="C260" s="25" t="s">
        <v>552</v>
      </c>
      <c r="D260" s="25" t="s">
        <v>553</v>
      </c>
      <c r="E260" s="25">
        <v>186</v>
      </c>
      <c r="F260" s="25" t="s">
        <v>19</v>
      </c>
      <c r="G260" s="25">
        <v>24.1</v>
      </c>
      <c r="H260" s="25">
        <v>72</v>
      </c>
      <c r="I260" s="25" t="s">
        <v>20</v>
      </c>
      <c r="J260" s="25">
        <v>26</v>
      </c>
      <c r="K260" s="25">
        <v>131</v>
      </c>
      <c r="L260" s="25">
        <v>4</v>
      </c>
      <c r="M260" s="25" t="s">
        <v>21</v>
      </c>
      <c r="N260" s="25">
        <v>68.2</v>
      </c>
      <c r="O260" s="25">
        <v>189</v>
      </c>
      <c r="P260" s="25">
        <v>1</v>
      </c>
    </row>
    <row r="261" spans="1:16" ht="30" customHeight="1" x14ac:dyDescent="0.25">
      <c r="A261" s="26">
        <v>45318.650173611109</v>
      </c>
      <c r="B261" s="25" t="s">
        <v>56</v>
      </c>
      <c r="C261" s="25" t="s">
        <v>554</v>
      </c>
      <c r="D261" s="25" t="s">
        <v>555</v>
      </c>
      <c r="E261" s="25">
        <v>403</v>
      </c>
      <c r="F261" s="25" t="s">
        <v>34</v>
      </c>
      <c r="G261" s="25">
        <v>23.1</v>
      </c>
      <c r="H261" s="25">
        <v>69.3</v>
      </c>
      <c r="I261" s="25" t="s">
        <v>20</v>
      </c>
      <c r="J261" s="25">
        <v>24</v>
      </c>
      <c r="K261" s="25">
        <v>487</v>
      </c>
      <c r="L261" s="25">
        <v>10</v>
      </c>
      <c r="M261" s="25" t="s">
        <v>51</v>
      </c>
      <c r="N261" s="25">
        <v>69.599999999999994</v>
      </c>
      <c r="O261" s="25">
        <v>104</v>
      </c>
      <c r="P261" s="25">
        <v>0</v>
      </c>
    </row>
    <row r="262" spans="1:16" x14ac:dyDescent="0.25">
      <c r="A262" s="26">
        <v>45460.527928240743</v>
      </c>
      <c r="B262" s="25" t="s">
        <v>22</v>
      </c>
      <c r="C262" s="25" t="s">
        <v>556</v>
      </c>
      <c r="D262" s="25" t="s">
        <v>557</v>
      </c>
      <c r="E262" s="25">
        <v>193</v>
      </c>
      <c r="F262" s="25" t="s">
        <v>19</v>
      </c>
      <c r="G262" s="25">
        <v>22.1</v>
      </c>
      <c r="H262" s="25">
        <v>68.2</v>
      </c>
      <c r="I262" s="25" t="s">
        <v>26</v>
      </c>
      <c r="J262" s="25">
        <v>29</v>
      </c>
      <c r="K262" s="25">
        <v>231</v>
      </c>
      <c r="L262" s="25">
        <v>3</v>
      </c>
      <c r="M262" s="25" t="s">
        <v>27</v>
      </c>
      <c r="N262" s="25">
        <v>69.7</v>
      </c>
      <c r="O262" s="25">
        <v>198</v>
      </c>
      <c r="P262" s="25">
        <v>1</v>
      </c>
    </row>
    <row r="263" spans="1:16" x14ac:dyDescent="0.25">
      <c r="A263" s="26">
        <v>45382.604375000003</v>
      </c>
      <c r="B263" s="25" t="s">
        <v>48</v>
      </c>
      <c r="C263" s="25" t="s">
        <v>558</v>
      </c>
      <c r="D263" s="25" t="s">
        <v>559</v>
      </c>
      <c r="E263" s="25">
        <v>254</v>
      </c>
      <c r="F263" s="25" t="s">
        <v>34</v>
      </c>
      <c r="G263" s="25">
        <v>24</v>
      </c>
      <c r="H263" s="25">
        <v>78.599999999999994</v>
      </c>
      <c r="I263" s="25" t="s">
        <v>26</v>
      </c>
      <c r="J263" s="25">
        <v>24</v>
      </c>
      <c r="K263" s="25">
        <v>108</v>
      </c>
      <c r="L263" s="25">
        <v>3</v>
      </c>
      <c r="M263" s="25" t="s">
        <v>27</v>
      </c>
      <c r="N263" s="25">
        <v>66.599999999999994</v>
      </c>
      <c r="O263" s="25">
        <v>219</v>
      </c>
      <c r="P263" s="25">
        <v>1</v>
      </c>
    </row>
    <row r="264" spans="1:16" ht="30" customHeight="1" x14ac:dyDescent="0.25">
      <c r="A264" s="26">
        <v>45374.340497685182</v>
      </c>
      <c r="B264" s="25" t="s">
        <v>31</v>
      </c>
      <c r="C264" s="25" t="s">
        <v>560</v>
      </c>
      <c r="D264" s="25" t="s">
        <v>561</v>
      </c>
      <c r="E264" s="25">
        <v>368</v>
      </c>
      <c r="F264" s="25" t="s">
        <v>34</v>
      </c>
      <c r="G264" s="25">
        <v>26.1</v>
      </c>
      <c r="H264" s="25">
        <v>71</v>
      </c>
      <c r="I264" s="25" t="s">
        <v>38</v>
      </c>
      <c r="J264" s="25">
        <v>58</v>
      </c>
      <c r="K264" s="25">
        <v>336</v>
      </c>
      <c r="L264" s="25">
        <v>2</v>
      </c>
      <c r="M264" s="25" t="s">
        <v>51</v>
      </c>
      <c r="N264" s="25">
        <v>86.5</v>
      </c>
      <c r="O264" s="25">
        <v>259</v>
      </c>
      <c r="P264" s="25">
        <v>0</v>
      </c>
    </row>
    <row r="265" spans="1:16" x14ac:dyDescent="0.25">
      <c r="A265" s="26">
        <v>45567.633333333331</v>
      </c>
      <c r="B265" s="25" t="s">
        <v>22</v>
      </c>
      <c r="C265" s="25" t="s">
        <v>562</v>
      </c>
      <c r="D265" s="25" t="s">
        <v>563</v>
      </c>
      <c r="E265" s="25">
        <v>283</v>
      </c>
      <c r="F265" s="25" t="s">
        <v>19</v>
      </c>
      <c r="G265" s="25">
        <v>28.5</v>
      </c>
      <c r="H265" s="25">
        <v>50.7</v>
      </c>
      <c r="I265" s="25" t="s">
        <v>20</v>
      </c>
      <c r="J265" s="25">
        <v>11</v>
      </c>
      <c r="K265" s="25">
        <v>495</v>
      </c>
      <c r="L265" s="25">
        <v>10</v>
      </c>
      <c r="M265" s="25" t="s">
        <v>27</v>
      </c>
      <c r="N265" s="25">
        <v>88.1</v>
      </c>
      <c r="O265" s="25">
        <v>200</v>
      </c>
      <c r="P265" s="25">
        <v>1</v>
      </c>
    </row>
    <row r="266" spans="1:16" ht="30" customHeight="1" x14ac:dyDescent="0.25">
      <c r="A266" s="26">
        <v>45501.775057870371</v>
      </c>
      <c r="B266" s="25" t="s">
        <v>28</v>
      </c>
      <c r="C266" s="25" t="s">
        <v>564</v>
      </c>
      <c r="D266" s="25" t="s">
        <v>565</v>
      </c>
      <c r="E266" s="25">
        <v>164</v>
      </c>
      <c r="F266" s="25" t="s">
        <v>34</v>
      </c>
      <c r="G266" s="25">
        <v>25.5</v>
      </c>
      <c r="H266" s="25">
        <v>67.599999999999994</v>
      </c>
      <c r="I266" s="25" t="s">
        <v>26</v>
      </c>
      <c r="J266" s="25">
        <v>20</v>
      </c>
      <c r="K266" s="25">
        <v>188</v>
      </c>
      <c r="L266" s="25">
        <v>7</v>
      </c>
      <c r="M266" s="25" t="s">
        <v>51</v>
      </c>
      <c r="N266" s="25">
        <v>60.1</v>
      </c>
      <c r="O266" s="25">
        <v>268</v>
      </c>
      <c r="P266" s="25">
        <v>1</v>
      </c>
    </row>
    <row r="267" spans="1:16" x14ac:dyDescent="0.25">
      <c r="A267" s="26">
        <v>45302.638807870368</v>
      </c>
      <c r="B267" s="25" t="s">
        <v>64</v>
      </c>
      <c r="C267" s="25" t="s">
        <v>566</v>
      </c>
      <c r="D267" s="25" t="s">
        <v>567</v>
      </c>
      <c r="E267" s="25">
        <v>419</v>
      </c>
      <c r="F267" s="25" t="s">
        <v>34</v>
      </c>
      <c r="G267" s="25">
        <v>22.1</v>
      </c>
      <c r="H267" s="25">
        <v>74.7</v>
      </c>
      <c r="I267" s="25" t="s">
        <v>20</v>
      </c>
      <c r="J267" s="25">
        <v>31</v>
      </c>
      <c r="K267" s="25">
        <v>236</v>
      </c>
      <c r="L267" s="25">
        <v>10</v>
      </c>
      <c r="M267" s="25" t="s">
        <v>35</v>
      </c>
      <c r="N267" s="25">
        <v>95.9</v>
      </c>
      <c r="O267" s="25">
        <v>182</v>
      </c>
      <c r="P267" s="25">
        <v>0</v>
      </c>
    </row>
    <row r="268" spans="1:16" x14ac:dyDescent="0.25">
      <c r="A268" s="26">
        <v>45654.787164351852</v>
      </c>
      <c r="B268" s="25" t="s">
        <v>31</v>
      </c>
      <c r="C268" s="25" t="s">
        <v>568</v>
      </c>
      <c r="D268" s="25" t="s">
        <v>569</v>
      </c>
      <c r="E268" s="25">
        <v>489</v>
      </c>
      <c r="F268" s="25" t="s">
        <v>34</v>
      </c>
      <c r="G268" s="25">
        <v>25</v>
      </c>
      <c r="H268" s="25">
        <v>69.400000000000006</v>
      </c>
      <c r="I268" s="25" t="s">
        <v>38</v>
      </c>
      <c r="J268" s="25">
        <v>30</v>
      </c>
      <c r="K268" s="25">
        <v>345</v>
      </c>
      <c r="L268" s="25">
        <v>8</v>
      </c>
      <c r="M268" s="25" t="s">
        <v>21</v>
      </c>
      <c r="N268" s="25">
        <v>66.099999999999994</v>
      </c>
      <c r="O268" s="25">
        <v>128</v>
      </c>
      <c r="P268" s="25">
        <v>0</v>
      </c>
    </row>
    <row r="269" spans="1:16" x14ac:dyDescent="0.25">
      <c r="A269" s="26">
        <v>45542.534907407404</v>
      </c>
      <c r="B269" s="25" t="s">
        <v>48</v>
      </c>
      <c r="C269" s="25" t="s">
        <v>570</v>
      </c>
      <c r="D269" s="25" t="s">
        <v>571</v>
      </c>
      <c r="E269" s="25">
        <v>498</v>
      </c>
      <c r="F269" s="25" t="s">
        <v>19</v>
      </c>
      <c r="G269" s="25">
        <v>20.2</v>
      </c>
      <c r="H269" s="25">
        <v>55</v>
      </c>
      <c r="I269" s="25" t="s">
        <v>38</v>
      </c>
      <c r="J269" s="25">
        <v>51</v>
      </c>
      <c r="K269" s="25">
        <v>147</v>
      </c>
      <c r="L269" s="25">
        <v>8</v>
      </c>
      <c r="M269" s="25" t="s">
        <v>27</v>
      </c>
      <c r="N269" s="25">
        <v>97.7</v>
      </c>
      <c r="O269" s="25">
        <v>247</v>
      </c>
      <c r="P269" s="25">
        <v>1</v>
      </c>
    </row>
    <row r="270" spans="1:16" x14ac:dyDescent="0.25">
      <c r="A270" s="26">
        <v>45635.468773148146</v>
      </c>
      <c r="B270" s="25" t="s">
        <v>28</v>
      </c>
      <c r="C270" s="25" t="s">
        <v>572</v>
      </c>
      <c r="D270" s="25" t="s">
        <v>573</v>
      </c>
      <c r="E270" s="25">
        <v>244</v>
      </c>
      <c r="F270" s="25" t="s">
        <v>19</v>
      </c>
      <c r="G270" s="25">
        <v>21.2</v>
      </c>
      <c r="H270" s="25">
        <v>61.8</v>
      </c>
      <c r="I270" s="25" t="s">
        <v>20</v>
      </c>
      <c r="J270" s="25">
        <v>24</v>
      </c>
      <c r="K270" s="25">
        <v>181</v>
      </c>
      <c r="L270" s="25">
        <v>2</v>
      </c>
      <c r="M270" s="25" t="s">
        <v>35</v>
      </c>
      <c r="N270" s="25">
        <v>70.099999999999994</v>
      </c>
      <c r="O270" s="25">
        <v>238</v>
      </c>
      <c r="P270" s="25">
        <v>1</v>
      </c>
    </row>
    <row r="271" spans="1:16" ht="30" customHeight="1" x14ac:dyDescent="0.25">
      <c r="A271" s="26">
        <v>45570.773611111108</v>
      </c>
      <c r="B271" s="25" t="s">
        <v>41</v>
      </c>
      <c r="C271" s="25" t="s">
        <v>574</v>
      </c>
      <c r="D271" s="25" t="s">
        <v>575</v>
      </c>
      <c r="E271" s="25">
        <v>488</v>
      </c>
      <c r="F271" s="25" t="s">
        <v>34</v>
      </c>
      <c r="G271" s="25">
        <v>21.5</v>
      </c>
      <c r="H271" s="25">
        <v>50.3</v>
      </c>
      <c r="I271" s="25" t="s">
        <v>26</v>
      </c>
      <c r="J271" s="25">
        <v>32</v>
      </c>
      <c r="K271" s="25">
        <v>120</v>
      </c>
      <c r="L271" s="25">
        <v>1</v>
      </c>
      <c r="M271" s="25" t="s">
        <v>51</v>
      </c>
      <c r="N271" s="25">
        <v>79.099999999999994</v>
      </c>
      <c r="O271" s="25">
        <v>111</v>
      </c>
      <c r="P271" s="25">
        <v>1</v>
      </c>
    </row>
    <row r="272" spans="1:16" x14ac:dyDescent="0.25">
      <c r="A272" s="26">
        <v>45404.455081018517</v>
      </c>
      <c r="B272" s="25" t="s">
        <v>31</v>
      </c>
      <c r="C272" s="25" t="s">
        <v>576</v>
      </c>
      <c r="D272" s="25" t="s">
        <v>577</v>
      </c>
      <c r="E272" s="25">
        <v>152</v>
      </c>
      <c r="F272" s="25" t="s">
        <v>19</v>
      </c>
      <c r="G272" s="25">
        <v>21.2</v>
      </c>
      <c r="H272" s="25">
        <v>70.3</v>
      </c>
      <c r="I272" s="25" t="s">
        <v>38</v>
      </c>
      <c r="J272" s="25">
        <v>10</v>
      </c>
      <c r="K272" s="25">
        <v>467</v>
      </c>
      <c r="L272" s="25">
        <v>10</v>
      </c>
      <c r="M272" s="25" t="s">
        <v>21</v>
      </c>
      <c r="N272" s="25">
        <v>61.5</v>
      </c>
      <c r="O272" s="25">
        <v>269</v>
      </c>
      <c r="P272" s="25">
        <v>1</v>
      </c>
    </row>
    <row r="273" spans="1:16" x14ac:dyDescent="0.25">
      <c r="A273" s="26">
        <v>45349.906805555554</v>
      </c>
      <c r="B273" s="25" t="s">
        <v>28</v>
      </c>
      <c r="C273" s="25" t="s">
        <v>578</v>
      </c>
      <c r="D273" s="25" t="s">
        <v>579</v>
      </c>
      <c r="E273" s="25">
        <v>168</v>
      </c>
      <c r="F273" s="25" t="s">
        <v>19</v>
      </c>
      <c r="G273" s="25">
        <v>23.2</v>
      </c>
      <c r="H273" s="25">
        <v>71.5</v>
      </c>
      <c r="I273" s="25" t="s">
        <v>38</v>
      </c>
      <c r="J273" s="25">
        <v>23</v>
      </c>
      <c r="K273" s="25">
        <v>292</v>
      </c>
      <c r="L273" s="25">
        <v>3</v>
      </c>
      <c r="M273" s="25" t="s">
        <v>35</v>
      </c>
      <c r="N273" s="25">
        <v>98.8</v>
      </c>
      <c r="O273" s="25">
        <v>102</v>
      </c>
      <c r="P273" s="25">
        <v>1</v>
      </c>
    </row>
    <row r="274" spans="1:16" ht="30" customHeight="1" x14ac:dyDescent="0.25">
      <c r="A274" s="26">
        <v>45435.919247685182</v>
      </c>
      <c r="B274" s="25" t="s">
        <v>64</v>
      </c>
      <c r="C274" s="25" t="s">
        <v>580</v>
      </c>
      <c r="D274" s="25" t="s">
        <v>581</v>
      </c>
      <c r="E274" s="25">
        <v>268</v>
      </c>
      <c r="F274" s="25" t="s">
        <v>34</v>
      </c>
      <c r="G274" s="25">
        <v>23.9</v>
      </c>
      <c r="H274" s="25">
        <v>79.2</v>
      </c>
      <c r="I274" s="25" t="s">
        <v>38</v>
      </c>
      <c r="J274" s="25">
        <v>41</v>
      </c>
      <c r="K274" s="25">
        <v>295</v>
      </c>
      <c r="L274" s="25">
        <v>9</v>
      </c>
      <c r="M274" s="25" t="s">
        <v>51</v>
      </c>
      <c r="N274" s="25">
        <v>69.5</v>
      </c>
      <c r="O274" s="25">
        <v>146</v>
      </c>
      <c r="P274" s="25">
        <v>0</v>
      </c>
    </row>
    <row r="275" spans="1:16" x14ac:dyDescent="0.25">
      <c r="A275" s="26">
        <v>45293.930347222224</v>
      </c>
      <c r="B275" s="25" t="s">
        <v>16</v>
      </c>
      <c r="C275" s="25" t="s">
        <v>582</v>
      </c>
      <c r="D275" s="25" t="s">
        <v>583</v>
      </c>
      <c r="E275" s="25">
        <v>341</v>
      </c>
      <c r="F275" s="25" t="s">
        <v>25</v>
      </c>
      <c r="G275" s="25">
        <v>21.3</v>
      </c>
      <c r="H275" s="25">
        <v>76.2</v>
      </c>
      <c r="I275" s="25" t="s">
        <v>26</v>
      </c>
      <c r="J275" s="25">
        <v>58</v>
      </c>
      <c r="K275" s="25">
        <v>429</v>
      </c>
      <c r="L275" s="25">
        <v>3</v>
      </c>
      <c r="M275" s="25" t="s">
        <v>21</v>
      </c>
      <c r="N275" s="25">
        <v>78.599999999999994</v>
      </c>
      <c r="O275" s="25">
        <v>178</v>
      </c>
      <c r="P275" s="25">
        <v>1</v>
      </c>
    </row>
    <row r="276" spans="1:16" x14ac:dyDescent="0.25">
      <c r="A276" s="26">
        <v>45564.272164351853</v>
      </c>
      <c r="B276" s="25" t="s">
        <v>16</v>
      </c>
      <c r="C276" s="25" t="s">
        <v>584</v>
      </c>
      <c r="D276" s="25" t="s">
        <v>585</v>
      </c>
      <c r="E276" s="25">
        <v>166</v>
      </c>
      <c r="F276" s="25" t="s">
        <v>34</v>
      </c>
      <c r="G276" s="25">
        <v>28.9</v>
      </c>
      <c r="H276" s="25">
        <v>50.6</v>
      </c>
      <c r="I276" s="25" t="s">
        <v>26</v>
      </c>
      <c r="J276" s="25">
        <v>58</v>
      </c>
      <c r="K276" s="25">
        <v>197</v>
      </c>
      <c r="L276" s="25">
        <v>3</v>
      </c>
      <c r="M276" s="25" t="s">
        <v>35</v>
      </c>
      <c r="N276" s="25">
        <v>88.8</v>
      </c>
      <c r="O276" s="25">
        <v>282</v>
      </c>
      <c r="P276" s="25">
        <v>1</v>
      </c>
    </row>
    <row r="277" spans="1:16" x14ac:dyDescent="0.25">
      <c r="A277" s="26">
        <v>45644.356921296298</v>
      </c>
      <c r="B277" s="25" t="s">
        <v>16</v>
      </c>
      <c r="C277" s="25" t="s">
        <v>586</v>
      </c>
      <c r="D277" s="25" t="s">
        <v>587</v>
      </c>
      <c r="E277" s="25">
        <v>483</v>
      </c>
      <c r="F277" s="25" t="s">
        <v>19</v>
      </c>
      <c r="G277" s="25">
        <v>21.4</v>
      </c>
      <c r="H277" s="25">
        <v>51.2</v>
      </c>
      <c r="I277" s="25" t="s">
        <v>26</v>
      </c>
      <c r="J277" s="25">
        <v>33</v>
      </c>
      <c r="K277" s="25">
        <v>249</v>
      </c>
      <c r="L277" s="25">
        <v>2</v>
      </c>
      <c r="M277" s="25" t="s">
        <v>21</v>
      </c>
      <c r="N277" s="25">
        <v>67.599999999999994</v>
      </c>
      <c r="O277" s="25">
        <v>165</v>
      </c>
      <c r="P277" s="25">
        <v>1</v>
      </c>
    </row>
    <row r="278" spans="1:16" x14ac:dyDescent="0.25">
      <c r="A278" s="26">
        <v>45515.436782407407</v>
      </c>
      <c r="B278" s="25" t="s">
        <v>28</v>
      </c>
      <c r="C278" s="25" t="s">
        <v>588</v>
      </c>
      <c r="D278" s="25" t="s">
        <v>589</v>
      </c>
      <c r="E278" s="25">
        <v>232</v>
      </c>
      <c r="F278" s="25" t="s">
        <v>34</v>
      </c>
      <c r="G278" s="25">
        <v>22.3</v>
      </c>
      <c r="H278" s="25">
        <v>73.3</v>
      </c>
      <c r="I278" s="25" t="s">
        <v>26</v>
      </c>
      <c r="J278" s="25">
        <v>19</v>
      </c>
      <c r="K278" s="25">
        <v>332</v>
      </c>
      <c r="L278" s="25">
        <v>4</v>
      </c>
      <c r="M278" s="25" t="s">
        <v>21</v>
      </c>
      <c r="N278" s="25">
        <v>78.599999999999994</v>
      </c>
      <c r="O278" s="25">
        <v>135</v>
      </c>
      <c r="P278" s="25">
        <v>1</v>
      </c>
    </row>
    <row r="279" spans="1:16" x14ac:dyDescent="0.25">
      <c r="A279" s="26">
        <v>45375.955925925926</v>
      </c>
      <c r="B279" s="25" t="s">
        <v>61</v>
      </c>
      <c r="C279" s="25" t="s">
        <v>590</v>
      </c>
      <c r="D279" s="25" t="s">
        <v>591</v>
      </c>
      <c r="E279" s="25">
        <v>392</v>
      </c>
      <c r="F279" s="25" t="s">
        <v>25</v>
      </c>
      <c r="G279" s="25">
        <v>20.7</v>
      </c>
      <c r="H279" s="25">
        <v>62.8</v>
      </c>
      <c r="I279" s="25" t="s">
        <v>20</v>
      </c>
      <c r="J279" s="25">
        <v>12</v>
      </c>
      <c r="K279" s="25">
        <v>417</v>
      </c>
      <c r="L279" s="25">
        <v>2</v>
      </c>
      <c r="M279" s="25" t="s">
        <v>27</v>
      </c>
      <c r="N279" s="25">
        <v>69.3</v>
      </c>
      <c r="O279" s="25">
        <v>109</v>
      </c>
      <c r="P279" s="25">
        <v>0</v>
      </c>
    </row>
    <row r="280" spans="1:16" ht="30" customHeight="1" x14ac:dyDescent="0.25">
      <c r="A280" s="26">
        <v>45445.016712962963</v>
      </c>
      <c r="B280" s="25" t="s">
        <v>56</v>
      </c>
      <c r="C280" s="25" t="s">
        <v>592</v>
      </c>
      <c r="D280" s="25" t="s">
        <v>593</v>
      </c>
      <c r="E280" s="25">
        <v>480</v>
      </c>
      <c r="F280" s="25" t="s">
        <v>25</v>
      </c>
      <c r="G280" s="25">
        <v>24.9</v>
      </c>
      <c r="H280" s="25">
        <v>77.8</v>
      </c>
      <c r="I280" s="25" t="s">
        <v>26</v>
      </c>
      <c r="J280" s="25">
        <v>53</v>
      </c>
      <c r="K280" s="25">
        <v>318</v>
      </c>
      <c r="L280" s="25">
        <v>3</v>
      </c>
      <c r="M280" s="25" t="s">
        <v>51</v>
      </c>
      <c r="N280" s="25">
        <v>69.5</v>
      </c>
      <c r="O280" s="25">
        <v>181</v>
      </c>
      <c r="P280" s="25">
        <v>1</v>
      </c>
    </row>
    <row r="281" spans="1:16" x14ac:dyDescent="0.25">
      <c r="A281" s="26">
        <v>45324.157569444447</v>
      </c>
      <c r="B281" s="25" t="s">
        <v>61</v>
      </c>
      <c r="C281" s="25" t="s">
        <v>594</v>
      </c>
      <c r="D281" s="25" t="s">
        <v>595</v>
      </c>
      <c r="E281" s="25">
        <v>368</v>
      </c>
      <c r="F281" s="25" t="s">
        <v>34</v>
      </c>
      <c r="G281" s="25">
        <v>28</v>
      </c>
      <c r="H281" s="25">
        <v>53.4</v>
      </c>
      <c r="I281" s="25" t="s">
        <v>20</v>
      </c>
      <c r="J281" s="25">
        <v>42</v>
      </c>
      <c r="K281" s="25">
        <v>182</v>
      </c>
      <c r="L281" s="25">
        <v>5</v>
      </c>
      <c r="M281" s="25" t="s">
        <v>21</v>
      </c>
      <c r="N281" s="25">
        <v>77.5</v>
      </c>
      <c r="O281" s="25">
        <v>205</v>
      </c>
      <c r="P281" s="25">
        <v>0</v>
      </c>
    </row>
    <row r="282" spans="1:16" ht="30" customHeight="1" x14ac:dyDescent="0.25">
      <c r="A282" s="26">
        <v>45567.539421296293</v>
      </c>
      <c r="B282" s="25" t="s">
        <v>22</v>
      </c>
      <c r="C282" s="25" t="s">
        <v>596</v>
      </c>
      <c r="D282" s="25" t="s">
        <v>597</v>
      </c>
      <c r="E282" s="25">
        <v>373</v>
      </c>
      <c r="F282" s="25" t="s">
        <v>25</v>
      </c>
      <c r="G282" s="25">
        <v>25</v>
      </c>
      <c r="H282" s="25">
        <v>62.4</v>
      </c>
      <c r="I282" s="25" t="s">
        <v>38</v>
      </c>
      <c r="J282" s="25">
        <v>20</v>
      </c>
      <c r="K282" s="25">
        <v>125</v>
      </c>
      <c r="L282" s="25">
        <v>1</v>
      </c>
      <c r="M282" s="25" t="s">
        <v>51</v>
      </c>
      <c r="N282" s="25">
        <v>91.2</v>
      </c>
      <c r="O282" s="25">
        <v>160</v>
      </c>
      <c r="P282" s="25">
        <v>0</v>
      </c>
    </row>
    <row r="283" spans="1:16" x14ac:dyDescent="0.25">
      <c r="A283" s="26">
        <v>45560.513969907406</v>
      </c>
      <c r="B283" s="25" t="s">
        <v>48</v>
      </c>
      <c r="C283" s="25" t="s">
        <v>598</v>
      </c>
      <c r="D283" s="25" t="s">
        <v>599</v>
      </c>
      <c r="E283" s="25">
        <v>154</v>
      </c>
      <c r="F283" s="25" t="s">
        <v>34</v>
      </c>
      <c r="G283" s="25">
        <v>22</v>
      </c>
      <c r="H283" s="25">
        <v>53.3</v>
      </c>
      <c r="I283" s="25" t="s">
        <v>26</v>
      </c>
      <c r="J283" s="25">
        <v>50</v>
      </c>
      <c r="K283" s="25">
        <v>208</v>
      </c>
      <c r="L283" s="25">
        <v>4</v>
      </c>
      <c r="M283" s="25" t="s">
        <v>21</v>
      </c>
      <c r="N283" s="25">
        <v>85</v>
      </c>
      <c r="O283" s="25">
        <v>231</v>
      </c>
      <c r="P283" s="25">
        <v>1</v>
      </c>
    </row>
    <row r="284" spans="1:16" x14ac:dyDescent="0.25">
      <c r="A284" s="26">
        <v>45346.34107638889</v>
      </c>
      <c r="B284" s="25" t="s">
        <v>61</v>
      </c>
      <c r="C284" s="25" t="s">
        <v>600</v>
      </c>
      <c r="D284" s="25" t="s">
        <v>601</v>
      </c>
      <c r="E284" s="25">
        <v>184</v>
      </c>
      <c r="F284" s="25" t="s">
        <v>34</v>
      </c>
      <c r="G284" s="25">
        <v>19.2</v>
      </c>
      <c r="H284" s="25">
        <v>55.3</v>
      </c>
      <c r="I284" s="25" t="s">
        <v>26</v>
      </c>
      <c r="J284" s="25">
        <v>14</v>
      </c>
      <c r="K284" s="25">
        <v>450</v>
      </c>
      <c r="L284" s="25">
        <v>3</v>
      </c>
      <c r="M284" s="25" t="s">
        <v>21</v>
      </c>
      <c r="N284" s="25">
        <v>86.7</v>
      </c>
      <c r="O284" s="25">
        <v>247</v>
      </c>
      <c r="P284" s="25">
        <v>1</v>
      </c>
    </row>
    <row r="285" spans="1:16" ht="30" customHeight="1" x14ac:dyDescent="0.25">
      <c r="A285" s="26">
        <v>45593.416898148149</v>
      </c>
      <c r="B285" s="25" t="s">
        <v>31</v>
      </c>
      <c r="C285" s="25" t="s">
        <v>602</v>
      </c>
      <c r="D285" s="25" t="s">
        <v>603</v>
      </c>
      <c r="E285" s="25">
        <v>204</v>
      </c>
      <c r="F285" s="25" t="s">
        <v>34</v>
      </c>
      <c r="G285" s="25">
        <v>21.4</v>
      </c>
      <c r="H285" s="25">
        <v>61.5</v>
      </c>
      <c r="I285" s="25" t="s">
        <v>38</v>
      </c>
      <c r="J285" s="25">
        <v>51</v>
      </c>
      <c r="K285" s="25">
        <v>490</v>
      </c>
      <c r="L285" s="25">
        <v>5</v>
      </c>
      <c r="M285" s="25" t="s">
        <v>51</v>
      </c>
      <c r="N285" s="25">
        <v>68</v>
      </c>
      <c r="O285" s="25">
        <v>288</v>
      </c>
      <c r="P285" s="25">
        <v>0</v>
      </c>
    </row>
    <row r="286" spans="1:16" x14ac:dyDescent="0.25">
      <c r="A286" s="26">
        <v>45443.972581018519</v>
      </c>
      <c r="B286" s="25" t="s">
        <v>48</v>
      </c>
      <c r="C286" s="25" t="s">
        <v>604</v>
      </c>
      <c r="D286" s="25" t="s">
        <v>605</v>
      </c>
      <c r="E286" s="25">
        <v>227</v>
      </c>
      <c r="F286" s="25" t="s">
        <v>34</v>
      </c>
      <c r="G286" s="25">
        <v>26.1</v>
      </c>
      <c r="H286" s="25">
        <v>65.7</v>
      </c>
      <c r="I286" s="25" t="s">
        <v>20</v>
      </c>
      <c r="J286" s="25">
        <v>47</v>
      </c>
      <c r="K286" s="25">
        <v>247</v>
      </c>
      <c r="L286" s="25">
        <v>8</v>
      </c>
      <c r="M286" s="25" t="s">
        <v>35</v>
      </c>
      <c r="N286" s="25">
        <v>77.8</v>
      </c>
      <c r="O286" s="25">
        <v>135</v>
      </c>
      <c r="P286" s="25">
        <v>0</v>
      </c>
    </row>
    <row r="287" spans="1:16" ht="30" customHeight="1" x14ac:dyDescent="0.25">
      <c r="A287" s="26">
        <v>45313.023831018516</v>
      </c>
      <c r="B287" s="25" t="s">
        <v>64</v>
      </c>
      <c r="C287" s="25" t="s">
        <v>606</v>
      </c>
      <c r="D287" s="25" t="s">
        <v>607</v>
      </c>
      <c r="E287" s="25">
        <v>405</v>
      </c>
      <c r="F287" s="25" t="s">
        <v>25</v>
      </c>
      <c r="G287" s="25">
        <v>28</v>
      </c>
      <c r="H287" s="25">
        <v>67.7</v>
      </c>
      <c r="I287" s="25" t="s">
        <v>38</v>
      </c>
      <c r="J287" s="25">
        <v>48</v>
      </c>
      <c r="K287" s="25">
        <v>348</v>
      </c>
      <c r="L287" s="25">
        <v>3</v>
      </c>
      <c r="M287" s="25" t="s">
        <v>51</v>
      </c>
      <c r="N287" s="25">
        <v>78.3</v>
      </c>
      <c r="O287" s="25">
        <v>213</v>
      </c>
      <c r="P287" s="25">
        <v>0</v>
      </c>
    </row>
    <row r="288" spans="1:16" x14ac:dyDescent="0.25">
      <c r="A288" s="26">
        <v>45645.462604166663</v>
      </c>
      <c r="B288" s="25" t="s">
        <v>16</v>
      </c>
      <c r="C288" s="25" t="s">
        <v>608</v>
      </c>
      <c r="D288" s="25" t="s">
        <v>609</v>
      </c>
      <c r="E288" s="25">
        <v>392</v>
      </c>
      <c r="F288" s="25" t="s">
        <v>34</v>
      </c>
      <c r="G288" s="25">
        <v>27.4</v>
      </c>
      <c r="H288" s="25">
        <v>69</v>
      </c>
      <c r="I288" s="25" t="s">
        <v>20</v>
      </c>
      <c r="J288" s="25">
        <v>31</v>
      </c>
      <c r="K288" s="25">
        <v>347</v>
      </c>
      <c r="L288" s="25">
        <v>9</v>
      </c>
      <c r="M288" s="25" t="s">
        <v>27</v>
      </c>
      <c r="N288" s="25">
        <v>98</v>
      </c>
      <c r="O288" s="25">
        <v>133</v>
      </c>
      <c r="P288" s="25">
        <v>0</v>
      </c>
    </row>
    <row r="289" spans="1:16" x14ac:dyDescent="0.25">
      <c r="A289" s="26">
        <v>45296.948912037034</v>
      </c>
      <c r="B289" s="25" t="s">
        <v>61</v>
      </c>
      <c r="C289" s="25" t="s">
        <v>610</v>
      </c>
      <c r="D289" s="25" t="s">
        <v>611</v>
      </c>
      <c r="E289" s="25">
        <v>429</v>
      </c>
      <c r="F289" s="25" t="s">
        <v>25</v>
      </c>
      <c r="G289" s="25">
        <v>27.7</v>
      </c>
      <c r="H289" s="25">
        <v>75</v>
      </c>
      <c r="I289" s="25" t="s">
        <v>26</v>
      </c>
      <c r="J289" s="25">
        <v>12</v>
      </c>
      <c r="K289" s="25">
        <v>446</v>
      </c>
      <c r="L289" s="25">
        <v>4</v>
      </c>
      <c r="M289" s="25" t="s">
        <v>21</v>
      </c>
      <c r="N289" s="25">
        <v>65.7</v>
      </c>
      <c r="O289" s="25">
        <v>203</v>
      </c>
      <c r="P289" s="25">
        <v>1</v>
      </c>
    </row>
    <row r="290" spans="1:16" x14ac:dyDescent="0.25">
      <c r="A290" s="26">
        <v>45469.339733796296</v>
      </c>
      <c r="B290" s="25" t="s">
        <v>16</v>
      </c>
      <c r="C290" s="25" t="s">
        <v>612</v>
      </c>
      <c r="D290" s="25" t="s">
        <v>613</v>
      </c>
      <c r="E290" s="25">
        <v>488</v>
      </c>
      <c r="F290" s="25" t="s">
        <v>34</v>
      </c>
      <c r="G290" s="25">
        <v>25.2</v>
      </c>
      <c r="H290" s="25">
        <v>63.9</v>
      </c>
      <c r="I290" s="25" t="s">
        <v>26</v>
      </c>
      <c r="J290" s="25">
        <v>19</v>
      </c>
      <c r="K290" s="25">
        <v>219</v>
      </c>
      <c r="L290" s="25">
        <v>4</v>
      </c>
      <c r="M290" s="25" t="s">
        <v>27</v>
      </c>
      <c r="N290" s="25">
        <v>100</v>
      </c>
      <c r="O290" s="25">
        <v>184</v>
      </c>
      <c r="P290" s="25">
        <v>1</v>
      </c>
    </row>
    <row r="291" spans="1:16" x14ac:dyDescent="0.25">
      <c r="A291" s="26">
        <v>45504.08829861111</v>
      </c>
      <c r="B291" s="25" t="s">
        <v>22</v>
      </c>
      <c r="C291" s="25" t="s">
        <v>614</v>
      </c>
      <c r="D291" s="25" t="s">
        <v>615</v>
      </c>
      <c r="E291" s="25">
        <v>444</v>
      </c>
      <c r="F291" s="25" t="s">
        <v>19</v>
      </c>
      <c r="G291" s="25">
        <v>29.8</v>
      </c>
      <c r="H291" s="25">
        <v>67.5</v>
      </c>
      <c r="I291" s="25" t="s">
        <v>38</v>
      </c>
      <c r="J291" s="25">
        <v>41</v>
      </c>
      <c r="K291" s="25">
        <v>125</v>
      </c>
      <c r="L291" s="25">
        <v>5</v>
      </c>
      <c r="M291" s="25" t="s">
        <v>27</v>
      </c>
      <c r="N291" s="25">
        <v>63.3</v>
      </c>
      <c r="O291" s="25">
        <v>152</v>
      </c>
      <c r="P291" s="25">
        <v>1</v>
      </c>
    </row>
    <row r="292" spans="1:16" x14ac:dyDescent="0.25">
      <c r="A292" s="26">
        <v>45623.181458333333</v>
      </c>
      <c r="B292" s="25" t="s">
        <v>95</v>
      </c>
      <c r="C292" s="25" t="s">
        <v>616</v>
      </c>
      <c r="D292" s="25" t="s">
        <v>617</v>
      </c>
      <c r="E292" s="25">
        <v>420</v>
      </c>
      <c r="F292" s="25" t="s">
        <v>19</v>
      </c>
      <c r="G292" s="25">
        <v>18.399999999999999</v>
      </c>
      <c r="H292" s="25">
        <v>68.5</v>
      </c>
      <c r="I292" s="25" t="s">
        <v>26</v>
      </c>
      <c r="J292" s="25">
        <v>50</v>
      </c>
      <c r="K292" s="25">
        <v>340</v>
      </c>
      <c r="L292" s="25">
        <v>10</v>
      </c>
      <c r="M292" s="25" t="s">
        <v>27</v>
      </c>
      <c r="N292" s="25">
        <v>76.8</v>
      </c>
      <c r="O292" s="25">
        <v>212</v>
      </c>
      <c r="P292" s="25">
        <v>1</v>
      </c>
    </row>
    <row r="293" spans="1:16" x14ac:dyDescent="0.25">
      <c r="A293" s="26">
        <v>45449.16814814815</v>
      </c>
      <c r="B293" s="25" t="s">
        <v>95</v>
      </c>
      <c r="C293" s="25" t="s">
        <v>618</v>
      </c>
      <c r="D293" s="25" t="s">
        <v>619</v>
      </c>
      <c r="E293" s="25">
        <v>391</v>
      </c>
      <c r="F293" s="25" t="s">
        <v>25</v>
      </c>
      <c r="G293" s="25">
        <v>25.5</v>
      </c>
      <c r="H293" s="25">
        <v>73.7</v>
      </c>
      <c r="I293" s="25" t="s">
        <v>20</v>
      </c>
      <c r="J293" s="25">
        <v>31</v>
      </c>
      <c r="K293" s="25">
        <v>472</v>
      </c>
      <c r="L293" s="25">
        <v>10</v>
      </c>
      <c r="M293" s="25" t="s">
        <v>27</v>
      </c>
      <c r="N293" s="25">
        <v>77.2</v>
      </c>
      <c r="O293" s="25">
        <v>109</v>
      </c>
      <c r="P293" s="25">
        <v>0</v>
      </c>
    </row>
    <row r="294" spans="1:16" ht="30" customHeight="1" x14ac:dyDescent="0.25">
      <c r="A294" s="26">
        <v>45428.85701388889</v>
      </c>
      <c r="B294" s="25" t="s">
        <v>31</v>
      </c>
      <c r="C294" s="25" t="s">
        <v>620</v>
      </c>
      <c r="D294" s="25" t="s">
        <v>621</v>
      </c>
      <c r="E294" s="25">
        <v>212</v>
      </c>
      <c r="F294" s="25" t="s">
        <v>34</v>
      </c>
      <c r="G294" s="25">
        <v>20.6</v>
      </c>
      <c r="H294" s="25">
        <v>50.5</v>
      </c>
      <c r="I294" s="25" t="s">
        <v>38</v>
      </c>
      <c r="J294" s="25">
        <v>41</v>
      </c>
      <c r="K294" s="25">
        <v>498</v>
      </c>
      <c r="L294" s="25">
        <v>5</v>
      </c>
      <c r="M294" s="25" t="s">
        <v>51</v>
      </c>
      <c r="N294" s="25">
        <v>94.1</v>
      </c>
      <c r="O294" s="25">
        <v>162</v>
      </c>
      <c r="P294" s="25">
        <v>0</v>
      </c>
    </row>
    <row r="295" spans="1:16" x14ac:dyDescent="0.25">
      <c r="A295" s="26">
        <v>45487.884814814817</v>
      </c>
      <c r="B295" s="25" t="s">
        <v>41</v>
      </c>
      <c r="C295" s="25" t="s">
        <v>622</v>
      </c>
      <c r="D295" s="25" t="s">
        <v>623</v>
      </c>
      <c r="E295" s="25">
        <v>157</v>
      </c>
      <c r="F295" s="25" t="s">
        <v>34</v>
      </c>
      <c r="G295" s="25">
        <v>20.9</v>
      </c>
      <c r="H295" s="25">
        <v>77.099999999999994</v>
      </c>
      <c r="I295" s="25" t="s">
        <v>38</v>
      </c>
      <c r="J295" s="25">
        <v>26</v>
      </c>
      <c r="K295" s="25">
        <v>499</v>
      </c>
      <c r="L295" s="25">
        <v>4</v>
      </c>
      <c r="M295" s="25" t="s">
        <v>35</v>
      </c>
      <c r="N295" s="25">
        <v>91.4</v>
      </c>
      <c r="O295" s="25">
        <v>214</v>
      </c>
      <c r="P295" s="25">
        <v>0</v>
      </c>
    </row>
    <row r="296" spans="1:16" ht="30" customHeight="1" x14ac:dyDescent="0.25">
      <c r="A296" s="26">
        <v>45618.480486111112</v>
      </c>
      <c r="B296" s="25" t="s">
        <v>56</v>
      </c>
      <c r="C296" s="25" t="s">
        <v>624</v>
      </c>
      <c r="D296" s="25" t="s">
        <v>625</v>
      </c>
      <c r="E296" s="25">
        <v>399</v>
      </c>
      <c r="F296" s="25" t="s">
        <v>34</v>
      </c>
      <c r="G296" s="25">
        <v>26.3</v>
      </c>
      <c r="H296" s="25">
        <v>79.400000000000006</v>
      </c>
      <c r="I296" s="25" t="s">
        <v>20</v>
      </c>
      <c r="J296" s="25">
        <v>25</v>
      </c>
      <c r="K296" s="25">
        <v>476</v>
      </c>
      <c r="L296" s="25">
        <v>4</v>
      </c>
      <c r="M296" s="25" t="s">
        <v>51</v>
      </c>
      <c r="N296" s="25">
        <v>95.6</v>
      </c>
      <c r="O296" s="25">
        <v>256</v>
      </c>
      <c r="P296" s="25">
        <v>0</v>
      </c>
    </row>
    <row r="297" spans="1:16" x14ac:dyDescent="0.25">
      <c r="A297" s="26">
        <v>45597.896689814814</v>
      </c>
      <c r="B297" s="25" t="s">
        <v>48</v>
      </c>
      <c r="C297" s="25" t="s">
        <v>626</v>
      </c>
      <c r="D297" s="25" t="s">
        <v>627</v>
      </c>
      <c r="E297" s="25">
        <v>103</v>
      </c>
      <c r="F297" s="25" t="s">
        <v>34</v>
      </c>
      <c r="G297" s="25">
        <v>27.9</v>
      </c>
      <c r="H297" s="25">
        <v>53.1</v>
      </c>
      <c r="I297" s="25" t="s">
        <v>20</v>
      </c>
      <c r="J297" s="25">
        <v>52</v>
      </c>
      <c r="K297" s="25">
        <v>386</v>
      </c>
      <c r="L297" s="25">
        <v>1</v>
      </c>
      <c r="M297" s="25" t="s">
        <v>21</v>
      </c>
      <c r="N297" s="25">
        <v>97.7</v>
      </c>
      <c r="O297" s="25">
        <v>141</v>
      </c>
      <c r="P297" s="25">
        <v>0</v>
      </c>
    </row>
    <row r="298" spans="1:16" ht="30" customHeight="1" x14ac:dyDescent="0.25">
      <c r="A298" s="26">
        <v>45592.652511574073</v>
      </c>
      <c r="B298" s="25" t="s">
        <v>31</v>
      </c>
      <c r="C298" s="25" t="s">
        <v>628</v>
      </c>
      <c r="D298" s="25" t="s">
        <v>629</v>
      </c>
      <c r="E298" s="25">
        <v>333</v>
      </c>
      <c r="F298" s="25" t="s">
        <v>19</v>
      </c>
      <c r="G298" s="25">
        <v>22.1</v>
      </c>
      <c r="H298" s="25">
        <v>65</v>
      </c>
      <c r="I298" s="25" t="s">
        <v>20</v>
      </c>
      <c r="J298" s="25">
        <v>22</v>
      </c>
      <c r="K298" s="25">
        <v>243</v>
      </c>
      <c r="L298" s="25">
        <v>5</v>
      </c>
      <c r="M298" s="25" t="s">
        <v>51</v>
      </c>
      <c r="N298" s="25">
        <v>83.2</v>
      </c>
      <c r="O298" s="25">
        <v>176</v>
      </c>
      <c r="P298" s="25">
        <v>1</v>
      </c>
    </row>
    <row r="299" spans="1:16" x14ac:dyDescent="0.25">
      <c r="A299" s="26">
        <v>45336.514317129629</v>
      </c>
      <c r="B299" s="25" t="s">
        <v>22</v>
      </c>
      <c r="C299" s="25" t="s">
        <v>630</v>
      </c>
      <c r="D299" s="25" t="s">
        <v>631</v>
      </c>
      <c r="E299" s="25">
        <v>234</v>
      </c>
      <c r="F299" s="25" t="s">
        <v>34</v>
      </c>
      <c r="G299" s="25">
        <v>27.3</v>
      </c>
      <c r="H299" s="25">
        <v>70.099999999999994</v>
      </c>
      <c r="I299" s="25" t="s">
        <v>20</v>
      </c>
      <c r="J299" s="25">
        <v>45</v>
      </c>
      <c r="K299" s="25">
        <v>416</v>
      </c>
      <c r="L299" s="25">
        <v>8</v>
      </c>
      <c r="M299" s="25" t="s">
        <v>21</v>
      </c>
      <c r="N299" s="25">
        <v>86.9</v>
      </c>
      <c r="O299" s="25">
        <v>165</v>
      </c>
      <c r="P299" s="25">
        <v>0</v>
      </c>
    </row>
    <row r="300" spans="1:16" ht="30" customHeight="1" x14ac:dyDescent="0.25">
      <c r="A300" s="26">
        <v>45414.468564814815</v>
      </c>
      <c r="B300" s="25" t="s">
        <v>31</v>
      </c>
      <c r="C300" s="25" t="s">
        <v>632</v>
      </c>
      <c r="D300" s="25" t="s">
        <v>633</v>
      </c>
      <c r="E300" s="25">
        <v>146</v>
      </c>
      <c r="F300" s="25" t="s">
        <v>19</v>
      </c>
      <c r="G300" s="25">
        <v>29</v>
      </c>
      <c r="H300" s="25">
        <v>55.5</v>
      </c>
      <c r="I300" s="25" t="s">
        <v>20</v>
      </c>
      <c r="J300" s="25">
        <v>52</v>
      </c>
      <c r="K300" s="25">
        <v>414</v>
      </c>
      <c r="L300" s="25">
        <v>10</v>
      </c>
      <c r="M300" s="25" t="s">
        <v>51</v>
      </c>
      <c r="N300" s="25">
        <v>82.3</v>
      </c>
      <c r="O300" s="25">
        <v>228</v>
      </c>
      <c r="P300" s="25">
        <v>1</v>
      </c>
    </row>
    <row r="301" spans="1:16" x14ac:dyDescent="0.25">
      <c r="A301" s="26">
        <v>45537.210706018515</v>
      </c>
      <c r="B301" s="25" t="s">
        <v>16</v>
      </c>
      <c r="C301" s="25" t="s">
        <v>634</v>
      </c>
      <c r="D301" s="25" t="s">
        <v>635</v>
      </c>
      <c r="E301" s="25">
        <v>109</v>
      </c>
      <c r="F301" s="25" t="s">
        <v>19</v>
      </c>
      <c r="G301" s="25">
        <v>20.7</v>
      </c>
      <c r="H301" s="25">
        <v>60.9</v>
      </c>
      <c r="I301" s="25" t="s">
        <v>26</v>
      </c>
      <c r="J301" s="25">
        <v>39</v>
      </c>
      <c r="K301" s="25">
        <v>147</v>
      </c>
      <c r="L301" s="25">
        <v>9</v>
      </c>
      <c r="M301" s="25" t="s">
        <v>35</v>
      </c>
      <c r="N301" s="25">
        <v>75</v>
      </c>
      <c r="O301" s="25">
        <v>116</v>
      </c>
      <c r="P301" s="25">
        <v>1</v>
      </c>
    </row>
    <row r="302" spans="1:16" x14ac:dyDescent="0.25">
      <c r="A302" s="26">
        <v>45634.191412037035</v>
      </c>
      <c r="B302" s="25" t="s">
        <v>56</v>
      </c>
      <c r="C302" s="25" t="s">
        <v>636</v>
      </c>
      <c r="D302" s="25" t="s">
        <v>637</v>
      </c>
      <c r="E302" s="25">
        <v>357</v>
      </c>
      <c r="F302" s="25" t="s">
        <v>19</v>
      </c>
      <c r="G302" s="25">
        <v>24.6</v>
      </c>
      <c r="H302" s="25">
        <v>73.5</v>
      </c>
      <c r="I302" s="25" t="s">
        <v>38</v>
      </c>
      <c r="J302" s="25">
        <v>48</v>
      </c>
      <c r="K302" s="25">
        <v>266</v>
      </c>
      <c r="L302" s="25">
        <v>10</v>
      </c>
      <c r="M302" s="25" t="s">
        <v>35</v>
      </c>
      <c r="N302" s="25">
        <v>74.400000000000006</v>
      </c>
      <c r="O302" s="25">
        <v>226</v>
      </c>
      <c r="P302" s="25">
        <v>1</v>
      </c>
    </row>
    <row r="303" spans="1:16" x14ac:dyDescent="0.25">
      <c r="A303" s="26">
        <v>45314.233263888891</v>
      </c>
      <c r="B303" s="25" t="s">
        <v>31</v>
      </c>
      <c r="C303" s="25" t="s">
        <v>638</v>
      </c>
      <c r="D303" s="25" t="s">
        <v>639</v>
      </c>
      <c r="E303" s="25">
        <v>356</v>
      </c>
      <c r="F303" s="25" t="s">
        <v>34</v>
      </c>
      <c r="G303" s="25">
        <v>19.5</v>
      </c>
      <c r="H303" s="25">
        <v>63.1</v>
      </c>
      <c r="I303" s="25" t="s">
        <v>38</v>
      </c>
      <c r="J303" s="25">
        <v>16</v>
      </c>
      <c r="K303" s="25">
        <v>118</v>
      </c>
      <c r="L303" s="25">
        <v>3</v>
      </c>
      <c r="M303" s="25" t="s">
        <v>21</v>
      </c>
      <c r="N303" s="25">
        <v>77.8</v>
      </c>
      <c r="O303" s="25">
        <v>230</v>
      </c>
      <c r="P303" s="25">
        <v>0</v>
      </c>
    </row>
    <row r="304" spans="1:16" x14ac:dyDescent="0.25">
      <c r="A304" s="26">
        <v>45316.477708333332</v>
      </c>
      <c r="B304" s="25" t="s">
        <v>48</v>
      </c>
      <c r="C304" s="25" t="s">
        <v>640</v>
      </c>
      <c r="D304" s="25" t="s">
        <v>641</v>
      </c>
      <c r="E304" s="25">
        <v>349</v>
      </c>
      <c r="F304" s="25" t="s">
        <v>34</v>
      </c>
      <c r="G304" s="25">
        <v>19.399999999999999</v>
      </c>
      <c r="H304" s="25">
        <v>62.7</v>
      </c>
      <c r="I304" s="25" t="s">
        <v>20</v>
      </c>
      <c r="J304" s="25">
        <v>19</v>
      </c>
      <c r="K304" s="25">
        <v>296</v>
      </c>
      <c r="L304" s="25">
        <v>3</v>
      </c>
      <c r="M304" s="25" t="s">
        <v>21</v>
      </c>
      <c r="N304" s="25">
        <v>72.3</v>
      </c>
      <c r="O304" s="25">
        <v>177</v>
      </c>
      <c r="P304" s="25">
        <v>0</v>
      </c>
    </row>
    <row r="305" spans="1:16" x14ac:dyDescent="0.25">
      <c r="A305" s="26">
        <v>45604.563842592594</v>
      </c>
      <c r="B305" s="25" t="s">
        <v>95</v>
      </c>
      <c r="C305" s="25" t="s">
        <v>642</v>
      </c>
      <c r="D305" s="25" t="s">
        <v>643</v>
      </c>
      <c r="E305" s="25">
        <v>159</v>
      </c>
      <c r="F305" s="25" t="s">
        <v>34</v>
      </c>
      <c r="G305" s="25">
        <v>27.1</v>
      </c>
      <c r="H305" s="25">
        <v>77.5</v>
      </c>
      <c r="I305" s="25" t="s">
        <v>26</v>
      </c>
      <c r="J305" s="25">
        <v>33</v>
      </c>
      <c r="K305" s="25">
        <v>429</v>
      </c>
      <c r="L305" s="25">
        <v>9</v>
      </c>
      <c r="M305" s="25" t="s">
        <v>21</v>
      </c>
      <c r="N305" s="25">
        <v>77.900000000000006</v>
      </c>
      <c r="O305" s="25">
        <v>200</v>
      </c>
      <c r="P305" s="25">
        <v>1</v>
      </c>
    </row>
    <row r="306" spans="1:16" ht="30" customHeight="1" x14ac:dyDescent="0.25">
      <c r="A306" s="26">
        <v>45442.045023148145</v>
      </c>
      <c r="B306" s="25" t="s">
        <v>41</v>
      </c>
      <c r="C306" s="25" t="s">
        <v>644</v>
      </c>
      <c r="D306" s="25" t="s">
        <v>645</v>
      </c>
      <c r="E306" s="25">
        <v>148</v>
      </c>
      <c r="F306" s="25" t="s">
        <v>34</v>
      </c>
      <c r="G306" s="25">
        <v>25</v>
      </c>
      <c r="H306" s="25">
        <v>60.7</v>
      </c>
      <c r="I306" s="25" t="s">
        <v>38</v>
      </c>
      <c r="J306" s="25">
        <v>43</v>
      </c>
      <c r="K306" s="25">
        <v>196</v>
      </c>
      <c r="L306" s="25">
        <v>4</v>
      </c>
      <c r="M306" s="25" t="s">
        <v>51</v>
      </c>
      <c r="N306" s="25">
        <v>64.599999999999994</v>
      </c>
      <c r="O306" s="25">
        <v>240</v>
      </c>
      <c r="P306" s="25">
        <v>0</v>
      </c>
    </row>
    <row r="307" spans="1:16" x14ac:dyDescent="0.25">
      <c r="A307" s="26">
        <v>45442.479560185187</v>
      </c>
      <c r="B307" s="25" t="s">
        <v>61</v>
      </c>
      <c r="C307" s="25" t="s">
        <v>646</v>
      </c>
      <c r="D307" s="25" t="s">
        <v>647</v>
      </c>
      <c r="E307" s="25">
        <v>354</v>
      </c>
      <c r="F307" s="25" t="s">
        <v>34</v>
      </c>
      <c r="G307" s="25">
        <v>26.9</v>
      </c>
      <c r="H307" s="25">
        <v>65.5</v>
      </c>
      <c r="I307" s="25" t="s">
        <v>26</v>
      </c>
      <c r="J307" s="25">
        <v>14</v>
      </c>
      <c r="K307" s="25">
        <v>245</v>
      </c>
      <c r="L307" s="25">
        <v>4</v>
      </c>
      <c r="M307" s="25" t="s">
        <v>21</v>
      </c>
      <c r="N307" s="25">
        <v>73.400000000000006</v>
      </c>
      <c r="O307" s="25">
        <v>151</v>
      </c>
      <c r="P307" s="25">
        <v>1</v>
      </c>
    </row>
    <row r="308" spans="1:16" x14ac:dyDescent="0.25">
      <c r="A308" s="26">
        <v>45353.992604166669</v>
      </c>
      <c r="B308" s="25" t="s">
        <v>56</v>
      </c>
      <c r="C308" s="25" t="s">
        <v>648</v>
      </c>
      <c r="D308" s="25" t="s">
        <v>649</v>
      </c>
      <c r="E308" s="25">
        <v>214</v>
      </c>
      <c r="F308" s="25" t="s">
        <v>34</v>
      </c>
      <c r="G308" s="25">
        <v>21.5</v>
      </c>
      <c r="H308" s="25">
        <v>69.099999999999994</v>
      </c>
      <c r="I308" s="25" t="s">
        <v>26</v>
      </c>
      <c r="J308" s="25">
        <v>49</v>
      </c>
      <c r="K308" s="25">
        <v>417</v>
      </c>
      <c r="L308" s="25">
        <v>10</v>
      </c>
      <c r="M308" s="25" t="s">
        <v>35</v>
      </c>
      <c r="N308" s="25">
        <v>76.7</v>
      </c>
      <c r="O308" s="25">
        <v>249</v>
      </c>
      <c r="P308" s="25">
        <v>1</v>
      </c>
    </row>
    <row r="309" spans="1:16" x14ac:dyDescent="0.25">
      <c r="A309" s="26">
        <v>45533.494849537034</v>
      </c>
      <c r="B309" s="25" t="s">
        <v>56</v>
      </c>
      <c r="C309" s="25" t="s">
        <v>650</v>
      </c>
      <c r="D309" s="25" t="s">
        <v>651</v>
      </c>
      <c r="E309" s="25">
        <v>307</v>
      </c>
      <c r="F309" s="25" t="s">
        <v>19</v>
      </c>
      <c r="G309" s="25">
        <v>21</v>
      </c>
      <c r="H309" s="25">
        <v>52.8</v>
      </c>
      <c r="I309" s="25" t="s">
        <v>38</v>
      </c>
      <c r="J309" s="25">
        <v>21</v>
      </c>
      <c r="K309" s="25">
        <v>475</v>
      </c>
      <c r="L309" s="25">
        <v>4</v>
      </c>
      <c r="M309" s="25" t="s">
        <v>21</v>
      </c>
      <c r="N309" s="25">
        <v>82.8</v>
      </c>
      <c r="O309" s="25">
        <v>107</v>
      </c>
      <c r="P309" s="25">
        <v>1</v>
      </c>
    </row>
    <row r="310" spans="1:16" x14ac:dyDescent="0.25">
      <c r="A310" s="26">
        <v>45438.078506944446</v>
      </c>
      <c r="B310" s="25" t="s">
        <v>95</v>
      </c>
      <c r="C310" s="25" t="s">
        <v>652</v>
      </c>
      <c r="D310" s="25" t="s">
        <v>653</v>
      </c>
      <c r="E310" s="25">
        <v>385</v>
      </c>
      <c r="F310" s="25" t="s">
        <v>25</v>
      </c>
      <c r="G310" s="25">
        <v>24.3</v>
      </c>
      <c r="H310" s="25">
        <v>59.4</v>
      </c>
      <c r="I310" s="25" t="s">
        <v>38</v>
      </c>
      <c r="J310" s="25">
        <v>37</v>
      </c>
      <c r="K310" s="25">
        <v>239</v>
      </c>
      <c r="L310" s="25">
        <v>3</v>
      </c>
      <c r="M310" s="25" t="s">
        <v>21</v>
      </c>
      <c r="N310" s="25">
        <v>88.3</v>
      </c>
      <c r="O310" s="25">
        <v>148</v>
      </c>
      <c r="P310" s="25">
        <v>0</v>
      </c>
    </row>
    <row r="311" spans="1:16" ht="30" customHeight="1" x14ac:dyDescent="0.25">
      <c r="A311" s="26">
        <v>45497.05605324074</v>
      </c>
      <c r="B311" s="25" t="s">
        <v>56</v>
      </c>
      <c r="C311" s="25" t="s">
        <v>654</v>
      </c>
      <c r="D311" s="25" t="s">
        <v>655</v>
      </c>
      <c r="E311" s="25">
        <v>490</v>
      </c>
      <c r="F311" s="25" t="s">
        <v>19</v>
      </c>
      <c r="G311" s="25">
        <v>24</v>
      </c>
      <c r="H311" s="25">
        <v>56.1</v>
      </c>
      <c r="I311" s="25" t="s">
        <v>26</v>
      </c>
      <c r="J311" s="25">
        <v>29</v>
      </c>
      <c r="K311" s="25">
        <v>463</v>
      </c>
      <c r="L311" s="25">
        <v>6</v>
      </c>
      <c r="M311" s="25" t="s">
        <v>51</v>
      </c>
      <c r="N311" s="25">
        <v>81.099999999999994</v>
      </c>
      <c r="O311" s="25">
        <v>134</v>
      </c>
      <c r="P311" s="25">
        <v>1</v>
      </c>
    </row>
    <row r="312" spans="1:16" x14ac:dyDescent="0.25">
      <c r="A312" s="26">
        <v>45650.431203703702</v>
      </c>
      <c r="B312" s="25" t="s">
        <v>41</v>
      </c>
      <c r="C312" s="25" t="s">
        <v>656</v>
      </c>
      <c r="D312" s="25" t="s">
        <v>657</v>
      </c>
      <c r="E312" s="25">
        <v>133</v>
      </c>
      <c r="F312" s="25" t="s">
        <v>19</v>
      </c>
      <c r="G312" s="25">
        <v>19.399999999999999</v>
      </c>
      <c r="H312" s="25">
        <v>76</v>
      </c>
      <c r="I312" s="25" t="s">
        <v>20</v>
      </c>
      <c r="J312" s="25">
        <v>36</v>
      </c>
      <c r="K312" s="25">
        <v>182</v>
      </c>
      <c r="L312" s="25">
        <v>3</v>
      </c>
      <c r="M312" s="25" t="s">
        <v>21</v>
      </c>
      <c r="N312" s="25">
        <v>70.5</v>
      </c>
      <c r="O312" s="25">
        <v>249</v>
      </c>
      <c r="P312" s="25">
        <v>1</v>
      </c>
    </row>
    <row r="313" spans="1:16" x14ac:dyDescent="0.25">
      <c r="A313" s="26">
        <v>45333.611157407409</v>
      </c>
      <c r="B313" s="25" t="s">
        <v>48</v>
      </c>
      <c r="C313" s="25" t="s">
        <v>658</v>
      </c>
      <c r="D313" s="25" t="s">
        <v>659</v>
      </c>
      <c r="E313" s="25">
        <v>472</v>
      </c>
      <c r="F313" s="25" t="s">
        <v>34</v>
      </c>
      <c r="G313" s="25">
        <v>24.9</v>
      </c>
      <c r="H313" s="25">
        <v>63.2</v>
      </c>
      <c r="I313" s="25" t="s">
        <v>20</v>
      </c>
      <c r="J313" s="25">
        <v>36</v>
      </c>
      <c r="K313" s="25">
        <v>485</v>
      </c>
      <c r="L313" s="25">
        <v>9</v>
      </c>
      <c r="M313" s="25" t="s">
        <v>21</v>
      </c>
      <c r="N313" s="25">
        <v>78.900000000000006</v>
      </c>
      <c r="O313" s="25">
        <v>271</v>
      </c>
      <c r="P313" s="25">
        <v>0</v>
      </c>
    </row>
    <row r="314" spans="1:16" ht="30" customHeight="1" x14ac:dyDescent="0.25">
      <c r="A314" s="26">
        <v>45406.03806712963</v>
      </c>
      <c r="B314" s="25" t="s">
        <v>16</v>
      </c>
      <c r="C314" s="25" t="s">
        <v>660</v>
      </c>
      <c r="D314" s="25" t="s">
        <v>661</v>
      </c>
      <c r="E314" s="25">
        <v>338</v>
      </c>
      <c r="F314" s="25" t="s">
        <v>25</v>
      </c>
      <c r="G314" s="25">
        <v>28.9</v>
      </c>
      <c r="H314" s="25">
        <v>55.5</v>
      </c>
      <c r="I314" s="25" t="s">
        <v>20</v>
      </c>
      <c r="J314" s="25">
        <v>39</v>
      </c>
      <c r="K314" s="25">
        <v>181</v>
      </c>
      <c r="L314" s="25">
        <v>2</v>
      </c>
      <c r="M314" s="25" t="s">
        <v>51</v>
      </c>
      <c r="N314" s="25">
        <v>88.6</v>
      </c>
      <c r="O314" s="25">
        <v>143</v>
      </c>
      <c r="P314" s="25">
        <v>0</v>
      </c>
    </row>
    <row r="315" spans="1:16" x14ac:dyDescent="0.25">
      <c r="A315" s="26">
        <v>45299.431064814817</v>
      </c>
      <c r="B315" s="25" t="s">
        <v>48</v>
      </c>
      <c r="C315" s="25" t="s">
        <v>662</v>
      </c>
      <c r="D315" s="25" t="s">
        <v>663</v>
      </c>
      <c r="E315" s="25">
        <v>172</v>
      </c>
      <c r="F315" s="25" t="s">
        <v>34</v>
      </c>
      <c r="G315" s="25">
        <v>25.5</v>
      </c>
      <c r="H315" s="25">
        <v>55.7</v>
      </c>
      <c r="I315" s="25" t="s">
        <v>20</v>
      </c>
      <c r="J315" s="25">
        <v>25</v>
      </c>
      <c r="K315" s="25">
        <v>259</v>
      </c>
      <c r="L315" s="25">
        <v>1</v>
      </c>
      <c r="M315" s="25" t="s">
        <v>35</v>
      </c>
      <c r="N315" s="25">
        <v>65.2</v>
      </c>
      <c r="O315" s="25">
        <v>255</v>
      </c>
      <c r="P315" s="25">
        <v>0</v>
      </c>
    </row>
    <row r="316" spans="1:16" x14ac:dyDescent="0.25">
      <c r="A316" s="26">
        <v>45590.126203703701</v>
      </c>
      <c r="B316" s="25" t="s">
        <v>48</v>
      </c>
      <c r="C316" s="25" t="s">
        <v>664</v>
      </c>
      <c r="D316" s="25" t="s">
        <v>665</v>
      </c>
      <c r="E316" s="25">
        <v>187</v>
      </c>
      <c r="F316" s="25" t="s">
        <v>19</v>
      </c>
      <c r="G316" s="25">
        <v>24.8</v>
      </c>
      <c r="H316" s="25">
        <v>52</v>
      </c>
      <c r="I316" s="25" t="s">
        <v>20</v>
      </c>
      <c r="J316" s="25">
        <v>31</v>
      </c>
      <c r="K316" s="25">
        <v>231</v>
      </c>
      <c r="L316" s="25">
        <v>5</v>
      </c>
      <c r="M316" s="25" t="s">
        <v>27</v>
      </c>
      <c r="N316" s="25">
        <v>91.6</v>
      </c>
      <c r="O316" s="25">
        <v>234</v>
      </c>
      <c r="P316" s="25">
        <v>1</v>
      </c>
    </row>
    <row r="317" spans="1:16" x14ac:dyDescent="0.25">
      <c r="A317" s="26">
        <v>45638.62767361111</v>
      </c>
      <c r="B317" s="25" t="s">
        <v>56</v>
      </c>
      <c r="C317" s="25" t="s">
        <v>666</v>
      </c>
      <c r="D317" s="25" t="s">
        <v>667</v>
      </c>
      <c r="E317" s="25">
        <v>439</v>
      </c>
      <c r="F317" s="25" t="s">
        <v>25</v>
      </c>
      <c r="G317" s="25">
        <v>23.5</v>
      </c>
      <c r="H317" s="25">
        <v>55.1</v>
      </c>
      <c r="I317" s="25" t="s">
        <v>20</v>
      </c>
      <c r="J317" s="25">
        <v>47</v>
      </c>
      <c r="K317" s="25">
        <v>454</v>
      </c>
      <c r="L317" s="25">
        <v>3</v>
      </c>
      <c r="M317" s="25" t="s">
        <v>27</v>
      </c>
      <c r="N317" s="25">
        <v>75.5</v>
      </c>
      <c r="O317" s="25">
        <v>196</v>
      </c>
      <c r="P317" s="25">
        <v>0</v>
      </c>
    </row>
    <row r="318" spans="1:16" x14ac:dyDescent="0.25">
      <c r="A318" s="26">
        <v>45626.386574074073</v>
      </c>
      <c r="B318" s="25" t="s">
        <v>16</v>
      </c>
      <c r="C318" s="25" t="s">
        <v>668</v>
      </c>
      <c r="D318" s="25" t="s">
        <v>669</v>
      </c>
      <c r="E318" s="25">
        <v>159</v>
      </c>
      <c r="F318" s="25" t="s">
        <v>25</v>
      </c>
      <c r="G318" s="25">
        <v>18.100000000000001</v>
      </c>
      <c r="H318" s="25">
        <v>76</v>
      </c>
      <c r="I318" s="25" t="s">
        <v>20</v>
      </c>
      <c r="J318" s="25">
        <v>18</v>
      </c>
      <c r="K318" s="25">
        <v>202</v>
      </c>
      <c r="L318" s="25">
        <v>2</v>
      </c>
      <c r="M318" s="25" t="s">
        <v>27</v>
      </c>
      <c r="N318" s="25">
        <v>94.4</v>
      </c>
      <c r="O318" s="25">
        <v>197</v>
      </c>
      <c r="P318" s="25">
        <v>0</v>
      </c>
    </row>
    <row r="319" spans="1:16" ht="30" customHeight="1" x14ac:dyDescent="0.25">
      <c r="A319" s="26">
        <v>45425.378761574073</v>
      </c>
      <c r="B319" s="25" t="s">
        <v>16</v>
      </c>
      <c r="C319" s="25" t="s">
        <v>670</v>
      </c>
      <c r="D319" s="25" t="s">
        <v>671</v>
      </c>
      <c r="E319" s="25">
        <v>362</v>
      </c>
      <c r="F319" s="25" t="s">
        <v>34</v>
      </c>
      <c r="G319" s="25">
        <v>18.3</v>
      </c>
      <c r="H319" s="25">
        <v>57.6</v>
      </c>
      <c r="I319" s="25" t="s">
        <v>26</v>
      </c>
      <c r="J319" s="25">
        <v>58</v>
      </c>
      <c r="K319" s="25">
        <v>437</v>
      </c>
      <c r="L319" s="25">
        <v>8</v>
      </c>
      <c r="M319" s="25" t="s">
        <v>51</v>
      </c>
      <c r="N319" s="25">
        <v>66.8</v>
      </c>
      <c r="O319" s="25">
        <v>123</v>
      </c>
      <c r="P319" s="25">
        <v>1</v>
      </c>
    </row>
    <row r="320" spans="1:16" x14ac:dyDescent="0.25">
      <c r="A320" s="26">
        <v>45642.254826388889</v>
      </c>
      <c r="B320" s="25" t="s">
        <v>41</v>
      </c>
      <c r="C320" s="25" t="s">
        <v>672</v>
      </c>
      <c r="D320" s="25" t="s">
        <v>673</v>
      </c>
      <c r="E320" s="25">
        <v>163</v>
      </c>
      <c r="F320" s="25" t="s">
        <v>34</v>
      </c>
      <c r="G320" s="25">
        <v>24.6</v>
      </c>
      <c r="H320" s="25">
        <v>53.2</v>
      </c>
      <c r="I320" s="25" t="s">
        <v>20</v>
      </c>
      <c r="J320" s="25">
        <v>34</v>
      </c>
      <c r="K320" s="25">
        <v>473</v>
      </c>
      <c r="L320" s="25">
        <v>9</v>
      </c>
      <c r="M320" s="25" t="s">
        <v>35</v>
      </c>
      <c r="N320" s="25">
        <v>72.400000000000006</v>
      </c>
      <c r="O320" s="25">
        <v>263</v>
      </c>
      <c r="P320" s="25">
        <v>0</v>
      </c>
    </row>
    <row r="321" spans="1:16" x14ac:dyDescent="0.25">
      <c r="A321" s="26">
        <v>45336.32984953704</v>
      </c>
      <c r="B321" s="25" t="s">
        <v>16</v>
      </c>
      <c r="C321" s="25" t="s">
        <v>674</v>
      </c>
      <c r="D321" s="25" t="s">
        <v>675</v>
      </c>
      <c r="E321" s="25">
        <v>258</v>
      </c>
      <c r="F321" s="25" t="s">
        <v>19</v>
      </c>
      <c r="G321" s="25">
        <v>19.899999999999999</v>
      </c>
      <c r="H321" s="25">
        <v>51.9</v>
      </c>
      <c r="I321" s="25" t="s">
        <v>26</v>
      </c>
      <c r="J321" s="25">
        <v>54</v>
      </c>
      <c r="K321" s="25">
        <v>237</v>
      </c>
      <c r="L321" s="25">
        <v>10</v>
      </c>
      <c r="M321" s="25" t="s">
        <v>21</v>
      </c>
      <c r="N321" s="25">
        <v>92.7</v>
      </c>
      <c r="O321" s="25">
        <v>271</v>
      </c>
      <c r="P321" s="25">
        <v>1</v>
      </c>
    </row>
    <row r="322" spans="1:16" x14ac:dyDescent="0.25">
      <c r="A322" s="26">
        <v>45468.510740740741</v>
      </c>
      <c r="B322" s="25" t="s">
        <v>31</v>
      </c>
      <c r="C322" s="25" t="s">
        <v>676</v>
      </c>
      <c r="D322" s="25" t="s">
        <v>677</v>
      </c>
      <c r="E322" s="25">
        <v>319</v>
      </c>
      <c r="F322" s="25" t="s">
        <v>19</v>
      </c>
      <c r="G322" s="25">
        <v>18</v>
      </c>
      <c r="H322" s="25">
        <v>63.6</v>
      </c>
      <c r="I322" s="25" t="s">
        <v>20</v>
      </c>
      <c r="J322" s="25">
        <v>23</v>
      </c>
      <c r="K322" s="25">
        <v>473</v>
      </c>
      <c r="L322" s="25">
        <v>7</v>
      </c>
      <c r="M322" s="25" t="s">
        <v>27</v>
      </c>
      <c r="N322" s="25">
        <v>83</v>
      </c>
      <c r="O322" s="25">
        <v>187</v>
      </c>
      <c r="P322" s="25">
        <v>1</v>
      </c>
    </row>
    <row r="323" spans="1:16" ht="30" customHeight="1" x14ac:dyDescent="0.25">
      <c r="A323" s="26">
        <v>45518.165972222225</v>
      </c>
      <c r="B323" s="25" t="s">
        <v>31</v>
      </c>
      <c r="C323" s="25" t="s">
        <v>678</v>
      </c>
      <c r="D323" s="25" t="s">
        <v>679</v>
      </c>
      <c r="E323" s="25">
        <v>247</v>
      </c>
      <c r="F323" s="25" t="s">
        <v>34</v>
      </c>
      <c r="G323" s="25">
        <v>28.9</v>
      </c>
      <c r="H323" s="25">
        <v>60.7</v>
      </c>
      <c r="I323" s="25" t="s">
        <v>38</v>
      </c>
      <c r="J323" s="25">
        <v>56</v>
      </c>
      <c r="K323" s="25">
        <v>115</v>
      </c>
      <c r="L323" s="25">
        <v>10</v>
      </c>
      <c r="M323" s="25" t="s">
        <v>51</v>
      </c>
      <c r="N323" s="25">
        <v>61.6</v>
      </c>
      <c r="O323" s="25">
        <v>270</v>
      </c>
      <c r="P323" s="25">
        <v>0</v>
      </c>
    </row>
    <row r="324" spans="1:16" ht="30" customHeight="1" x14ac:dyDescent="0.25">
      <c r="A324" s="26">
        <v>45390.822141203702</v>
      </c>
      <c r="B324" s="25" t="s">
        <v>56</v>
      </c>
      <c r="C324" s="25" t="s">
        <v>680</v>
      </c>
      <c r="D324" s="25" t="s">
        <v>681</v>
      </c>
      <c r="E324" s="25">
        <v>134</v>
      </c>
      <c r="F324" s="25" t="s">
        <v>25</v>
      </c>
      <c r="G324" s="25">
        <v>19.899999999999999</v>
      </c>
      <c r="H324" s="25">
        <v>67.5</v>
      </c>
      <c r="I324" s="25" t="s">
        <v>20</v>
      </c>
      <c r="J324" s="25">
        <v>42</v>
      </c>
      <c r="K324" s="25">
        <v>421</v>
      </c>
      <c r="L324" s="25">
        <v>5</v>
      </c>
      <c r="M324" s="25" t="s">
        <v>51</v>
      </c>
      <c r="N324" s="25">
        <v>77.599999999999994</v>
      </c>
      <c r="O324" s="25">
        <v>183</v>
      </c>
      <c r="P324" s="25">
        <v>0</v>
      </c>
    </row>
    <row r="325" spans="1:16" ht="30" customHeight="1" x14ac:dyDescent="0.25">
      <c r="A325" s="26">
        <v>45603.598506944443</v>
      </c>
      <c r="B325" s="25" t="s">
        <v>41</v>
      </c>
      <c r="C325" s="25" t="s">
        <v>682</v>
      </c>
      <c r="D325" s="25" t="s">
        <v>683</v>
      </c>
      <c r="E325" s="25">
        <v>175</v>
      </c>
      <c r="F325" s="25" t="s">
        <v>25</v>
      </c>
      <c r="G325" s="25">
        <v>20.9</v>
      </c>
      <c r="H325" s="25">
        <v>58.7</v>
      </c>
      <c r="I325" s="25" t="s">
        <v>20</v>
      </c>
      <c r="J325" s="25">
        <v>35</v>
      </c>
      <c r="K325" s="25">
        <v>274</v>
      </c>
      <c r="L325" s="25">
        <v>9</v>
      </c>
      <c r="M325" s="25" t="s">
        <v>51</v>
      </c>
      <c r="N325" s="25">
        <v>61.1</v>
      </c>
      <c r="O325" s="25">
        <v>240</v>
      </c>
      <c r="P325" s="25">
        <v>0</v>
      </c>
    </row>
    <row r="326" spans="1:16" x14ac:dyDescent="0.25">
      <c r="A326" s="26">
        <v>45303.709409722222</v>
      </c>
      <c r="B326" s="25" t="s">
        <v>31</v>
      </c>
      <c r="C326" s="25" t="s">
        <v>684</v>
      </c>
      <c r="D326" s="25" t="s">
        <v>685</v>
      </c>
      <c r="E326" s="25">
        <v>179</v>
      </c>
      <c r="F326" s="25" t="s">
        <v>19</v>
      </c>
      <c r="G326" s="25">
        <v>24.2</v>
      </c>
      <c r="H326" s="25">
        <v>50.2</v>
      </c>
      <c r="I326" s="25" t="s">
        <v>38</v>
      </c>
      <c r="J326" s="25">
        <v>31</v>
      </c>
      <c r="K326" s="25">
        <v>485</v>
      </c>
      <c r="L326" s="25">
        <v>10</v>
      </c>
      <c r="M326" s="25" t="s">
        <v>21</v>
      </c>
      <c r="N326" s="25">
        <v>75.8</v>
      </c>
      <c r="O326" s="25">
        <v>255</v>
      </c>
      <c r="P326" s="25">
        <v>1</v>
      </c>
    </row>
    <row r="327" spans="1:16" x14ac:dyDescent="0.25">
      <c r="A327" s="26">
        <v>45442.35359953704</v>
      </c>
      <c r="B327" s="25" t="s">
        <v>28</v>
      </c>
      <c r="C327" s="25" t="s">
        <v>686</v>
      </c>
      <c r="D327" s="25" t="s">
        <v>687</v>
      </c>
      <c r="E327" s="25">
        <v>105</v>
      </c>
      <c r="F327" s="25" t="s">
        <v>19</v>
      </c>
      <c r="G327" s="25">
        <v>27.1</v>
      </c>
      <c r="H327" s="25">
        <v>59.8</v>
      </c>
      <c r="I327" s="25" t="s">
        <v>38</v>
      </c>
      <c r="J327" s="25">
        <v>36</v>
      </c>
      <c r="K327" s="25">
        <v>409</v>
      </c>
      <c r="L327" s="25">
        <v>7</v>
      </c>
      <c r="M327" s="25" t="s">
        <v>35</v>
      </c>
      <c r="N327" s="25">
        <v>75.7</v>
      </c>
      <c r="O327" s="25">
        <v>290</v>
      </c>
      <c r="P327" s="25">
        <v>1</v>
      </c>
    </row>
    <row r="328" spans="1:16" x14ac:dyDescent="0.25">
      <c r="A328" s="26">
        <v>45428.315405092595</v>
      </c>
      <c r="B328" s="25" t="s">
        <v>48</v>
      </c>
      <c r="C328" s="25" t="s">
        <v>688</v>
      </c>
      <c r="D328" s="25" t="s">
        <v>689</v>
      </c>
      <c r="E328" s="25">
        <v>277</v>
      </c>
      <c r="F328" s="25" t="s">
        <v>25</v>
      </c>
      <c r="G328" s="25">
        <v>23.5</v>
      </c>
      <c r="H328" s="25">
        <v>63.9</v>
      </c>
      <c r="I328" s="25" t="s">
        <v>26</v>
      </c>
      <c r="J328" s="25">
        <v>11</v>
      </c>
      <c r="K328" s="25">
        <v>292</v>
      </c>
      <c r="L328" s="25">
        <v>8</v>
      </c>
      <c r="M328" s="25" t="s">
        <v>27</v>
      </c>
      <c r="N328" s="25">
        <v>67.5</v>
      </c>
      <c r="O328" s="25">
        <v>234</v>
      </c>
      <c r="P328" s="25">
        <v>1</v>
      </c>
    </row>
    <row r="329" spans="1:16" x14ac:dyDescent="0.25">
      <c r="A329" s="26">
        <v>45634.518495370372</v>
      </c>
      <c r="B329" s="25" t="s">
        <v>64</v>
      </c>
      <c r="C329" s="25" t="s">
        <v>690</v>
      </c>
      <c r="D329" s="25" t="s">
        <v>691</v>
      </c>
      <c r="E329" s="25">
        <v>427</v>
      </c>
      <c r="F329" s="25" t="s">
        <v>19</v>
      </c>
      <c r="G329" s="25">
        <v>26.7</v>
      </c>
      <c r="H329" s="25">
        <v>63.8</v>
      </c>
      <c r="I329" s="25" t="s">
        <v>20</v>
      </c>
      <c r="J329" s="25">
        <v>54</v>
      </c>
      <c r="K329" s="25">
        <v>453</v>
      </c>
      <c r="L329" s="25">
        <v>6</v>
      </c>
      <c r="M329" s="25" t="s">
        <v>27</v>
      </c>
      <c r="N329" s="25">
        <v>86.7</v>
      </c>
      <c r="O329" s="25">
        <v>101</v>
      </c>
      <c r="P329" s="25">
        <v>1</v>
      </c>
    </row>
    <row r="330" spans="1:16" ht="30" customHeight="1" x14ac:dyDescent="0.25">
      <c r="A330" s="26">
        <v>45379.356956018521</v>
      </c>
      <c r="B330" s="25" t="s">
        <v>61</v>
      </c>
      <c r="C330" s="25" t="s">
        <v>692</v>
      </c>
      <c r="D330" s="25" t="s">
        <v>693</v>
      </c>
      <c r="E330" s="25">
        <v>348</v>
      </c>
      <c r="F330" s="25" t="s">
        <v>19</v>
      </c>
      <c r="G330" s="25">
        <v>22.7</v>
      </c>
      <c r="H330" s="25">
        <v>63.3</v>
      </c>
      <c r="I330" s="25" t="s">
        <v>20</v>
      </c>
      <c r="J330" s="25">
        <v>23</v>
      </c>
      <c r="K330" s="25">
        <v>134</v>
      </c>
      <c r="L330" s="25">
        <v>4</v>
      </c>
      <c r="M330" s="25" t="s">
        <v>51</v>
      </c>
      <c r="N330" s="25">
        <v>99.6</v>
      </c>
      <c r="O330" s="25">
        <v>251</v>
      </c>
      <c r="P330" s="25">
        <v>1</v>
      </c>
    </row>
    <row r="331" spans="1:16" x14ac:dyDescent="0.25">
      <c r="A331" s="26">
        <v>45398.897141203706</v>
      </c>
      <c r="B331" s="25" t="s">
        <v>61</v>
      </c>
      <c r="C331" s="25" t="s">
        <v>694</v>
      </c>
      <c r="D331" s="25" t="s">
        <v>695</v>
      </c>
      <c r="E331" s="25">
        <v>300</v>
      </c>
      <c r="F331" s="25" t="s">
        <v>19</v>
      </c>
      <c r="G331" s="25">
        <v>23.1</v>
      </c>
      <c r="H331" s="25">
        <v>78.099999999999994</v>
      </c>
      <c r="I331" s="25" t="s">
        <v>20</v>
      </c>
      <c r="J331" s="25">
        <v>53</v>
      </c>
      <c r="K331" s="25">
        <v>146</v>
      </c>
      <c r="L331" s="25">
        <v>4</v>
      </c>
      <c r="M331" s="25" t="s">
        <v>27</v>
      </c>
      <c r="N331" s="25">
        <v>73.3</v>
      </c>
      <c r="O331" s="25">
        <v>280</v>
      </c>
      <c r="P331" s="25">
        <v>1</v>
      </c>
    </row>
    <row r="332" spans="1:16" x14ac:dyDescent="0.25">
      <c r="A332" s="26">
        <v>45616.614236111112</v>
      </c>
      <c r="B332" s="25" t="s">
        <v>95</v>
      </c>
      <c r="C332" s="25" t="s">
        <v>696</v>
      </c>
      <c r="D332" s="25" t="s">
        <v>697</v>
      </c>
      <c r="E332" s="25">
        <v>457</v>
      </c>
      <c r="F332" s="25" t="s">
        <v>34</v>
      </c>
      <c r="G332" s="25">
        <v>27.2</v>
      </c>
      <c r="H332" s="25">
        <v>69.099999999999994</v>
      </c>
      <c r="I332" s="25" t="s">
        <v>26</v>
      </c>
      <c r="J332" s="25">
        <v>55</v>
      </c>
      <c r="K332" s="25">
        <v>319</v>
      </c>
      <c r="L332" s="25">
        <v>2</v>
      </c>
      <c r="M332" s="25" t="s">
        <v>35</v>
      </c>
      <c r="N332" s="25">
        <v>67.7</v>
      </c>
      <c r="O332" s="25">
        <v>132</v>
      </c>
      <c r="P332" s="25">
        <v>1</v>
      </c>
    </row>
    <row r="333" spans="1:16" ht="30" customHeight="1" x14ac:dyDescent="0.25">
      <c r="A333" s="26">
        <v>45463.345775462964</v>
      </c>
      <c r="B333" s="25" t="s">
        <v>95</v>
      </c>
      <c r="C333" s="25" t="s">
        <v>698</v>
      </c>
      <c r="D333" s="25" t="s">
        <v>699</v>
      </c>
      <c r="E333" s="25">
        <v>316</v>
      </c>
      <c r="F333" s="25" t="s">
        <v>19</v>
      </c>
      <c r="G333" s="25">
        <v>26.8</v>
      </c>
      <c r="H333" s="25">
        <v>53.5</v>
      </c>
      <c r="I333" s="25" t="s">
        <v>38</v>
      </c>
      <c r="J333" s="25">
        <v>35</v>
      </c>
      <c r="K333" s="25">
        <v>402</v>
      </c>
      <c r="L333" s="25">
        <v>10</v>
      </c>
      <c r="M333" s="25" t="s">
        <v>51</v>
      </c>
      <c r="N333" s="25">
        <v>93.6</v>
      </c>
      <c r="O333" s="25">
        <v>206</v>
      </c>
      <c r="P333" s="25">
        <v>1</v>
      </c>
    </row>
    <row r="334" spans="1:16" x14ac:dyDescent="0.25">
      <c r="A334" s="26">
        <v>45515.653171296297</v>
      </c>
      <c r="B334" s="25" t="s">
        <v>31</v>
      </c>
      <c r="C334" s="25" t="s">
        <v>700</v>
      </c>
      <c r="D334" s="25" t="s">
        <v>701</v>
      </c>
      <c r="E334" s="25">
        <v>207</v>
      </c>
      <c r="F334" s="25" t="s">
        <v>25</v>
      </c>
      <c r="G334" s="25">
        <v>19.2</v>
      </c>
      <c r="H334" s="25">
        <v>59.7</v>
      </c>
      <c r="I334" s="25" t="s">
        <v>20</v>
      </c>
      <c r="J334" s="25">
        <v>56</v>
      </c>
      <c r="K334" s="25">
        <v>484</v>
      </c>
      <c r="L334" s="25">
        <v>7</v>
      </c>
      <c r="M334" s="25" t="s">
        <v>35</v>
      </c>
      <c r="N334" s="25">
        <v>72.599999999999994</v>
      </c>
      <c r="O334" s="25">
        <v>285</v>
      </c>
      <c r="P334" s="25">
        <v>0</v>
      </c>
    </row>
    <row r="335" spans="1:16" x14ac:dyDescent="0.25">
      <c r="A335" s="26">
        <v>45595.530914351853</v>
      </c>
      <c r="B335" s="25" t="s">
        <v>28</v>
      </c>
      <c r="C335" s="25" t="s">
        <v>702</v>
      </c>
      <c r="D335" s="25" t="s">
        <v>703</v>
      </c>
      <c r="E335" s="25">
        <v>333</v>
      </c>
      <c r="F335" s="25" t="s">
        <v>34</v>
      </c>
      <c r="G335" s="25">
        <v>27.5</v>
      </c>
      <c r="H335" s="25">
        <v>55.8</v>
      </c>
      <c r="I335" s="25" t="s">
        <v>26</v>
      </c>
      <c r="J335" s="25">
        <v>36</v>
      </c>
      <c r="K335" s="25">
        <v>141</v>
      </c>
      <c r="L335" s="25">
        <v>2</v>
      </c>
      <c r="M335" s="25" t="s">
        <v>35</v>
      </c>
      <c r="N335" s="25">
        <v>67</v>
      </c>
      <c r="O335" s="25">
        <v>264</v>
      </c>
      <c r="P335" s="25">
        <v>1</v>
      </c>
    </row>
    <row r="336" spans="1:16" x14ac:dyDescent="0.25">
      <c r="A336" s="26">
        <v>45373.458564814813</v>
      </c>
      <c r="B336" s="25" t="s">
        <v>28</v>
      </c>
      <c r="C336" s="25" t="s">
        <v>704</v>
      </c>
      <c r="D336" s="25" t="s">
        <v>705</v>
      </c>
      <c r="E336" s="25">
        <v>327</v>
      </c>
      <c r="F336" s="25" t="s">
        <v>19</v>
      </c>
      <c r="G336" s="25">
        <v>22.6</v>
      </c>
      <c r="H336" s="25">
        <v>57.4</v>
      </c>
      <c r="I336" s="25" t="s">
        <v>20</v>
      </c>
      <c r="J336" s="25">
        <v>38</v>
      </c>
      <c r="K336" s="25">
        <v>432</v>
      </c>
      <c r="L336" s="25">
        <v>4</v>
      </c>
      <c r="M336" s="25" t="s">
        <v>35</v>
      </c>
      <c r="N336" s="25">
        <v>68.400000000000006</v>
      </c>
      <c r="O336" s="25">
        <v>171</v>
      </c>
      <c r="P336" s="25">
        <v>1</v>
      </c>
    </row>
    <row r="337" spans="1:16" x14ac:dyDescent="0.25">
      <c r="A337" s="26">
        <v>45424.569502314815</v>
      </c>
      <c r="B337" s="25" t="s">
        <v>61</v>
      </c>
      <c r="C337" s="25" t="s">
        <v>706</v>
      </c>
      <c r="D337" s="25" t="s">
        <v>707</v>
      </c>
      <c r="E337" s="25">
        <v>197</v>
      </c>
      <c r="F337" s="25" t="s">
        <v>25</v>
      </c>
      <c r="G337" s="25">
        <v>20</v>
      </c>
      <c r="H337" s="25">
        <v>69.599999999999994</v>
      </c>
      <c r="I337" s="25" t="s">
        <v>20</v>
      </c>
      <c r="J337" s="25">
        <v>42</v>
      </c>
      <c r="K337" s="25">
        <v>314</v>
      </c>
      <c r="L337" s="25">
        <v>3</v>
      </c>
      <c r="M337" s="25" t="s">
        <v>35</v>
      </c>
      <c r="N337" s="25">
        <v>87.2</v>
      </c>
      <c r="O337" s="25">
        <v>201</v>
      </c>
      <c r="P337" s="25">
        <v>0</v>
      </c>
    </row>
    <row r="338" spans="1:16" ht="30" customHeight="1" x14ac:dyDescent="0.25">
      <c r="A338" s="26">
        <v>45611.339085648149</v>
      </c>
      <c r="B338" s="25" t="s">
        <v>16</v>
      </c>
      <c r="C338" s="25" t="s">
        <v>708</v>
      </c>
      <c r="D338" s="25" t="s">
        <v>709</v>
      </c>
      <c r="E338" s="25">
        <v>356</v>
      </c>
      <c r="F338" s="25" t="s">
        <v>19</v>
      </c>
      <c r="G338" s="25">
        <v>23.4</v>
      </c>
      <c r="H338" s="25">
        <v>72.8</v>
      </c>
      <c r="I338" s="25" t="s">
        <v>20</v>
      </c>
      <c r="J338" s="25">
        <v>39</v>
      </c>
      <c r="K338" s="25">
        <v>486</v>
      </c>
      <c r="L338" s="25">
        <v>9</v>
      </c>
      <c r="M338" s="25" t="s">
        <v>51</v>
      </c>
      <c r="N338" s="25">
        <v>99.2</v>
      </c>
      <c r="O338" s="25">
        <v>282</v>
      </c>
      <c r="P338" s="25">
        <v>1</v>
      </c>
    </row>
    <row r="339" spans="1:16" x14ac:dyDescent="0.25">
      <c r="A339" s="26">
        <v>45572.258090277777</v>
      </c>
      <c r="B339" s="25" t="s">
        <v>31</v>
      </c>
      <c r="C339" s="25" t="s">
        <v>710</v>
      </c>
      <c r="D339" s="25" t="s">
        <v>711</v>
      </c>
      <c r="E339" s="25">
        <v>359</v>
      </c>
      <c r="F339" s="25" t="s">
        <v>19</v>
      </c>
      <c r="G339" s="25">
        <v>29.2</v>
      </c>
      <c r="H339" s="25">
        <v>54.5</v>
      </c>
      <c r="I339" s="25" t="s">
        <v>20</v>
      </c>
      <c r="J339" s="25">
        <v>50</v>
      </c>
      <c r="K339" s="25">
        <v>268</v>
      </c>
      <c r="L339" s="25">
        <v>1</v>
      </c>
      <c r="M339" s="25" t="s">
        <v>21</v>
      </c>
      <c r="N339" s="25">
        <v>67.400000000000006</v>
      </c>
      <c r="O339" s="25">
        <v>249</v>
      </c>
      <c r="P339" s="25">
        <v>1</v>
      </c>
    </row>
    <row r="340" spans="1:16" x14ac:dyDescent="0.25">
      <c r="A340" s="26">
        <v>45544.145972222221</v>
      </c>
      <c r="B340" s="25" t="s">
        <v>61</v>
      </c>
      <c r="C340" s="25" t="s">
        <v>712</v>
      </c>
      <c r="D340" s="25" t="s">
        <v>713</v>
      </c>
      <c r="E340" s="25">
        <v>377</v>
      </c>
      <c r="F340" s="25" t="s">
        <v>34</v>
      </c>
      <c r="G340" s="25">
        <v>18.100000000000001</v>
      </c>
      <c r="H340" s="25">
        <v>55</v>
      </c>
      <c r="I340" s="25" t="s">
        <v>20</v>
      </c>
      <c r="J340" s="25">
        <v>59</v>
      </c>
      <c r="K340" s="25">
        <v>476</v>
      </c>
      <c r="L340" s="25">
        <v>6</v>
      </c>
      <c r="M340" s="25" t="s">
        <v>27</v>
      </c>
      <c r="N340" s="25">
        <v>70.2</v>
      </c>
      <c r="O340" s="25">
        <v>268</v>
      </c>
      <c r="P340" s="25">
        <v>0</v>
      </c>
    </row>
    <row r="341" spans="1:16" x14ac:dyDescent="0.25">
      <c r="A341" s="26">
        <v>45525.838287037041</v>
      </c>
      <c r="B341" s="25" t="s">
        <v>22</v>
      </c>
      <c r="C341" s="25" t="s">
        <v>714</v>
      </c>
      <c r="D341" s="25" t="s">
        <v>715</v>
      </c>
      <c r="E341" s="25">
        <v>228</v>
      </c>
      <c r="F341" s="25" t="s">
        <v>19</v>
      </c>
      <c r="G341" s="25">
        <v>24.2</v>
      </c>
      <c r="H341" s="25">
        <v>59.2</v>
      </c>
      <c r="I341" s="25" t="s">
        <v>26</v>
      </c>
      <c r="J341" s="25">
        <v>26</v>
      </c>
      <c r="K341" s="25">
        <v>321</v>
      </c>
      <c r="L341" s="25">
        <v>5</v>
      </c>
      <c r="M341" s="25" t="s">
        <v>35</v>
      </c>
      <c r="N341" s="25">
        <v>96.3</v>
      </c>
      <c r="O341" s="25">
        <v>132</v>
      </c>
      <c r="P341" s="25">
        <v>1</v>
      </c>
    </row>
    <row r="342" spans="1:16" x14ac:dyDescent="0.25">
      <c r="A342" s="26">
        <v>45308.148564814815</v>
      </c>
      <c r="B342" s="25" t="s">
        <v>28</v>
      </c>
      <c r="C342" s="25" t="s">
        <v>716</v>
      </c>
      <c r="D342" s="25" t="s">
        <v>717</v>
      </c>
      <c r="E342" s="25">
        <v>399</v>
      </c>
      <c r="F342" s="25" t="s">
        <v>34</v>
      </c>
      <c r="G342" s="25">
        <v>23.4</v>
      </c>
      <c r="H342" s="25">
        <v>71.7</v>
      </c>
      <c r="I342" s="25" t="s">
        <v>26</v>
      </c>
      <c r="J342" s="25">
        <v>12</v>
      </c>
      <c r="K342" s="25">
        <v>239</v>
      </c>
      <c r="L342" s="25">
        <v>1</v>
      </c>
      <c r="M342" s="25" t="s">
        <v>21</v>
      </c>
      <c r="N342" s="25">
        <v>67.599999999999994</v>
      </c>
      <c r="O342" s="25">
        <v>156</v>
      </c>
      <c r="P342" s="25">
        <v>1</v>
      </c>
    </row>
    <row r="343" spans="1:16" x14ac:dyDescent="0.25">
      <c r="A343" s="26">
        <v>45628.505543981482</v>
      </c>
      <c r="B343" s="25" t="s">
        <v>61</v>
      </c>
      <c r="C343" s="25" t="s">
        <v>718</v>
      </c>
      <c r="D343" s="25" t="s">
        <v>719</v>
      </c>
      <c r="E343" s="25">
        <v>157</v>
      </c>
      <c r="F343" s="25" t="s">
        <v>25</v>
      </c>
      <c r="G343" s="25">
        <v>29.8</v>
      </c>
      <c r="H343" s="25">
        <v>54</v>
      </c>
      <c r="I343" s="25" t="s">
        <v>38</v>
      </c>
      <c r="J343" s="25">
        <v>33</v>
      </c>
      <c r="K343" s="25">
        <v>151</v>
      </c>
      <c r="L343" s="25">
        <v>10</v>
      </c>
      <c r="M343" s="25" t="s">
        <v>27</v>
      </c>
      <c r="N343" s="25">
        <v>81.2</v>
      </c>
      <c r="O343" s="25">
        <v>192</v>
      </c>
      <c r="P343" s="25">
        <v>0</v>
      </c>
    </row>
    <row r="344" spans="1:16" ht="30" customHeight="1" x14ac:dyDescent="0.25">
      <c r="A344" s="26">
        <v>45614.327928240738</v>
      </c>
      <c r="B344" s="25" t="s">
        <v>28</v>
      </c>
      <c r="C344" s="25" t="s">
        <v>720</v>
      </c>
      <c r="D344" s="25" t="s">
        <v>721</v>
      </c>
      <c r="E344" s="25">
        <v>327</v>
      </c>
      <c r="F344" s="25" t="s">
        <v>25</v>
      </c>
      <c r="G344" s="25">
        <v>21.2</v>
      </c>
      <c r="H344" s="25">
        <v>52.6</v>
      </c>
      <c r="I344" s="25" t="s">
        <v>38</v>
      </c>
      <c r="J344" s="25">
        <v>48</v>
      </c>
      <c r="K344" s="25">
        <v>209</v>
      </c>
      <c r="L344" s="25">
        <v>8</v>
      </c>
      <c r="M344" s="25" t="s">
        <v>51</v>
      </c>
      <c r="N344" s="25">
        <v>98.6</v>
      </c>
      <c r="O344" s="25">
        <v>104</v>
      </c>
      <c r="P344" s="25">
        <v>0</v>
      </c>
    </row>
    <row r="345" spans="1:16" x14ac:dyDescent="0.25">
      <c r="A345" s="26">
        <v>45411.496134259258</v>
      </c>
      <c r="B345" s="25" t="s">
        <v>48</v>
      </c>
      <c r="C345" s="25" t="s">
        <v>722</v>
      </c>
      <c r="D345" s="25" t="s">
        <v>723</v>
      </c>
      <c r="E345" s="25">
        <v>215</v>
      </c>
      <c r="F345" s="25" t="s">
        <v>19</v>
      </c>
      <c r="G345" s="25">
        <v>21.7</v>
      </c>
      <c r="H345" s="25">
        <v>73.400000000000006</v>
      </c>
      <c r="I345" s="25" t="s">
        <v>20</v>
      </c>
      <c r="J345" s="25">
        <v>17</v>
      </c>
      <c r="K345" s="25">
        <v>146</v>
      </c>
      <c r="L345" s="25">
        <v>9</v>
      </c>
      <c r="M345" s="25" t="s">
        <v>21</v>
      </c>
      <c r="N345" s="25">
        <v>70.400000000000006</v>
      </c>
      <c r="O345" s="25">
        <v>296</v>
      </c>
      <c r="P345" s="25">
        <v>1</v>
      </c>
    </row>
    <row r="346" spans="1:16" x14ac:dyDescent="0.25">
      <c r="A346" s="26">
        <v>45441.28460648148</v>
      </c>
      <c r="B346" s="25" t="s">
        <v>31</v>
      </c>
      <c r="C346" s="25" t="s">
        <v>724</v>
      </c>
      <c r="D346" s="25" t="s">
        <v>725</v>
      </c>
      <c r="E346" s="25">
        <v>213</v>
      </c>
      <c r="F346" s="25" t="s">
        <v>19</v>
      </c>
      <c r="G346" s="25">
        <v>20.2</v>
      </c>
      <c r="H346" s="25">
        <v>63.7</v>
      </c>
      <c r="I346" s="25" t="s">
        <v>38</v>
      </c>
      <c r="J346" s="25">
        <v>16</v>
      </c>
      <c r="K346" s="25">
        <v>248</v>
      </c>
      <c r="L346" s="25">
        <v>10</v>
      </c>
      <c r="M346" s="25" t="s">
        <v>21</v>
      </c>
      <c r="N346" s="25">
        <v>68.8</v>
      </c>
      <c r="O346" s="25">
        <v>136</v>
      </c>
      <c r="P346" s="25">
        <v>1</v>
      </c>
    </row>
    <row r="347" spans="1:16" ht="30" customHeight="1" x14ac:dyDescent="0.25">
      <c r="A347" s="26">
        <v>45606.242604166669</v>
      </c>
      <c r="B347" s="25" t="s">
        <v>16</v>
      </c>
      <c r="C347" s="25" t="s">
        <v>726</v>
      </c>
      <c r="D347" s="25" t="s">
        <v>727</v>
      </c>
      <c r="E347" s="25">
        <v>226</v>
      </c>
      <c r="F347" s="25" t="s">
        <v>25</v>
      </c>
      <c r="G347" s="25">
        <v>21.4</v>
      </c>
      <c r="H347" s="25">
        <v>58</v>
      </c>
      <c r="I347" s="25" t="s">
        <v>20</v>
      </c>
      <c r="J347" s="25">
        <v>47</v>
      </c>
      <c r="K347" s="25">
        <v>348</v>
      </c>
      <c r="L347" s="25">
        <v>7</v>
      </c>
      <c r="M347" s="25" t="s">
        <v>51</v>
      </c>
      <c r="N347" s="25">
        <v>85.7</v>
      </c>
      <c r="O347" s="25">
        <v>136</v>
      </c>
      <c r="P347" s="25">
        <v>0</v>
      </c>
    </row>
    <row r="348" spans="1:16" x14ac:dyDescent="0.25">
      <c r="A348" s="26">
        <v>45599.848356481481</v>
      </c>
      <c r="B348" s="25" t="s">
        <v>95</v>
      </c>
      <c r="C348" s="25" t="s">
        <v>728</v>
      </c>
      <c r="D348" s="25" t="s">
        <v>729</v>
      </c>
      <c r="E348" s="25">
        <v>334</v>
      </c>
      <c r="F348" s="25" t="s">
        <v>34</v>
      </c>
      <c r="G348" s="25">
        <v>24.2</v>
      </c>
      <c r="H348" s="25">
        <v>76.2</v>
      </c>
      <c r="I348" s="25" t="s">
        <v>38</v>
      </c>
      <c r="J348" s="25">
        <v>24</v>
      </c>
      <c r="K348" s="25">
        <v>402</v>
      </c>
      <c r="L348" s="25">
        <v>7</v>
      </c>
      <c r="M348" s="25" t="s">
        <v>35</v>
      </c>
      <c r="N348" s="25">
        <v>71.5</v>
      </c>
      <c r="O348" s="25">
        <v>105</v>
      </c>
      <c r="P348" s="25">
        <v>0</v>
      </c>
    </row>
    <row r="349" spans="1:16" x14ac:dyDescent="0.25">
      <c r="A349" s="26">
        <v>45539.448067129626</v>
      </c>
      <c r="B349" s="25" t="s">
        <v>48</v>
      </c>
      <c r="C349" s="25" t="s">
        <v>730</v>
      </c>
      <c r="D349" s="25" t="s">
        <v>731</v>
      </c>
      <c r="E349" s="25">
        <v>319</v>
      </c>
      <c r="F349" s="25" t="s">
        <v>25</v>
      </c>
      <c r="G349" s="25">
        <v>25.5</v>
      </c>
      <c r="H349" s="25">
        <v>51.7</v>
      </c>
      <c r="I349" s="25" t="s">
        <v>20</v>
      </c>
      <c r="J349" s="25">
        <v>32</v>
      </c>
      <c r="K349" s="25">
        <v>350</v>
      </c>
      <c r="L349" s="25">
        <v>2</v>
      </c>
      <c r="M349" s="25" t="s">
        <v>21</v>
      </c>
      <c r="N349" s="25">
        <v>69.7</v>
      </c>
      <c r="O349" s="25">
        <v>254</v>
      </c>
      <c r="P349" s="25">
        <v>0</v>
      </c>
    </row>
    <row r="350" spans="1:16" ht="30" customHeight="1" x14ac:dyDescent="0.25">
      <c r="A350" s="26">
        <v>45560.911909722221</v>
      </c>
      <c r="B350" s="25" t="s">
        <v>56</v>
      </c>
      <c r="C350" s="25" t="s">
        <v>732</v>
      </c>
      <c r="D350" s="25" t="s">
        <v>733</v>
      </c>
      <c r="E350" s="25">
        <v>411</v>
      </c>
      <c r="F350" s="25" t="s">
        <v>25</v>
      </c>
      <c r="G350" s="25">
        <v>20.5</v>
      </c>
      <c r="H350" s="25">
        <v>77.400000000000006</v>
      </c>
      <c r="I350" s="25" t="s">
        <v>26</v>
      </c>
      <c r="J350" s="25">
        <v>51</v>
      </c>
      <c r="K350" s="25">
        <v>211</v>
      </c>
      <c r="L350" s="25">
        <v>5</v>
      </c>
      <c r="M350" s="25" t="s">
        <v>51</v>
      </c>
      <c r="N350" s="25">
        <v>76.900000000000006</v>
      </c>
      <c r="O350" s="25">
        <v>244</v>
      </c>
      <c r="P350" s="25">
        <v>1</v>
      </c>
    </row>
    <row r="351" spans="1:16" x14ac:dyDescent="0.25">
      <c r="A351" s="26">
        <v>45497.271041666667</v>
      </c>
      <c r="B351" s="25" t="s">
        <v>22</v>
      </c>
      <c r="C351" s="25" t="s">
        <v>734</v>
      </c>
      <c r="D351" s="25" t="s">
        <v>735</v>
      </c>
      <c r="E351" s="25">
        <v>208</v>
      </c>
      <c r="F351" s="25" t="s">
        <v>19</v>
      </c>
      <c r="G351" s="25">
        <v>28.8</v>
      </c>
      <c r="H351" s="25">
        <v>64.900000000000006</v>
      </c>
      <c r="I351" s="25" t="s">
        <v>38</v>
      </c>
      <c r="J351" s="25">
        <v>40</v>
      </c>
      <c r="K351" s="25">
        <v>437</v>
      </c>
      <c r="L351" s="25">
        <v>6</v>
      </c>
      <c r="M351" s="25" t="s">
        <v>27</v>
      </c>
      <c r="N351" s="25">
        <v>64.599999999999994</v>
      </c>
      <c r="O351" s="25">
        <v>185</v>
      </c>
      <c r="P351" s="25">
        <v>1</v>
      </c>
    </row>
    <row r="352" spans="1:16" ht="30" customHeight="1" x14ac:dyDescent="0.25">
      <c r="A352" s="26">
        <v>45384.571597222224</v>
      </c>
      <c r="B352" s="25" t="s">
        <v>64</v>
      </c>
      <c r="C352" s="25" t="s">
        <v>736</v>
      </c>
      <c r="D352" s="25" t="s">
        <v>737</v>
      </c>
      <c r="E352" s="25">
        <v>328</v>
      </c>
      <c r="F352" s="25" t="s">
        <v>34</v>
      </c>
      <c r="G352" s="25">
        <v>22.8</v>
      </c>
      <c r="H352" s="25">
        <v>73.599999999999994</v>
      </c>
      <c r="I352" s="25" t="s">
        <v>38</v>
      </c>
      <c r="J352" s="25">
        <v>12</v>
      </c>
      <c r="K352" s="25">
        <v>349</v>
      </c>
      <c r="L352" s="25">
        <v>9</v>
      </c>
      <c r="M352" s="25" t="s">
        <v>51</v>
      </c>
      <c r="N352" s="25">
        <v>93.3</v>
      </c>
      <c r="O352" s="25">
        <v>162</v>
      </c>
      <c r="P352" s="25">
        <v>0</v>
      </c>
    </row>
    <row r="353" spans="1:16" ht="30" customHeight="1" x14ac:dyDescent="0.25">
      <c r="A353" s="26">
        <v>45355.280324074076</v>
      </c>
      <c r="B353" s="25" t="s">
        <v>61</v>
      </c>
      <c r="C353" s="25" t="s">
        <v>738</v>
      </c>
      <c r="D353" s="25" t="s">
        <v>739</v>
      </c>
      <c r="E353" s="25">
        <v>219</v>
      </c>
      <c r="F353" s="25" t="s">
        <v>19</v>
      </c>
      <c r="G353" s="25">
        <v>22.9</v>
      </c>
      <c r="H353" s="25">
        <v>56.6</v>
      </c>
      <c r="I353" s="25" t="s">
        <v>26</v>
      </c>
      <c r="J353" s="25">
        <v>49</v>
      </c>
      <c r="K353" s="25">
        <v>372</v>
      </c>
      <c r="L353" s="25">
        <v>6</v>
      </c>
      <c r="M353" s="25" t="s">
        <v>51</v>
      </c>
      <c r="N353" s="25">
        <v>64.400000000000006</v>
      </c>
      <c r="O353" s="25">
        <v>300</v>
      </c>
      <c r="P353" s="25">
        <v>1</v>
      </c>
    </row>
    <row r="354" spans="1:16" x14ac:dyDescent="0.25">
      <c r="A354" s="26">
        <v>45636.527662037035</v>
      </c>
      <c r="B354" s="25" t="s">
        <v>56</v>
      </c>
      <c r="C354" s="25" t="s">
        <v>740</v>
      </c>
      <c r="D354" s="25" t="s">
        <v>741</v>
      </c>
      <c r="E354" s="25">
        <v>438</v>
      </c>
      <c r="F354" s="25" t="s">
        <v>25</v>
      </c>
      <c r="G354" s="25">
        <v>25.7</v>
      </c>
      <c r="H354" s="25">
        <v>71.2</v>
      </c>
      <c r="I354" s="25" t="s">
        <v>20</v>
      </c>
      <c r="J354" s="25">
        <v>21</v>
      </c>
      <c r="K354" s="25">
        <v>445</v>
      </c>
      <c r="L354" s="25">
        <v>5</v>
      </c>
      <c r="M354" s="25" t="s">
        <v>27</v>
      </c>
      <c r="N354" s="25">
        <v>90.4</v>
      </c>
      <c r="O354" s="25">
        <v>154</v>
      </c>
      <c r="P354" s="25">
        <v>0</v>
      </c>
    </row>
    <row r="355" spans="1:16" x14ac:dyDescent="0.25">
      <c r="A355" s="26">
        <v>45296.141041666669</v>
      </c>
      <c r="B355" s="25" t="s">
        <v>31</v>
      </c>
      <c r="C355" s="25" t="s">
        <v>742</v>
      </c>
      <c r="D355" s="25" t="s">
        <v>743</v>
      </c>
      <c r="E355" s="25">
        <v>145</v>
      </c>
      <c r="F355" s="25" t="s">
        <v>25</v>
      </c>
      <c r="G355" s="25">
        <v>23.3</v>
      </c>
      <c r="H355" s="25">
        <v>70.3</v>
      </c>
      <c r="I355" s="25" t="s">
        <v>20</v>
      </c>
      <c r="J355" s="25">
        <v>44</v>
      </c>
      <c r="K355" s="25">
        <v>421</v>
      </c>
      <c r="L355" s="25">
        <v>2</v>
      </c>
      <c r="M355" s="25" t="s">
        <v>21</v>
      </c>
      <c r="N355" s="25">
        <v>93.9</v>
      </c>
      <c r="O355" s="25">
        <v>286</v>
      </c>
      <c r="P355" s="25">
        <v>0</v>
      </c>
    </row>
    <row r="356" spans="1:16" x14ac:dyDescent="0.25">
      <c r="A356" s="26">
        <v>45309.717916666668</v>
      </c>
      <c r="B356" s="25" t="s">
        <v>95</v>
      </c>
      <c r="C356" s="25" t="s">
        <v>744</v>
      </c>
      <c r="D356" s="25" t="s">
        <v>745</v>
      </c>
      <c r="E356" s="25">
        <v>299</v>
      </c>
      <c r="F356" s="25" t="s">
        <v>34</v>
      </c>
      <c r="G356" s="25">
        <v>22.4</v>
      </c>
      <c r="H356" s="25">
        <v>64.2</v>
      </c>
      <c r="I356" s="25" t="s">
        <v>38</v>
      </c>
      <c r="J356" s="25">
        <v>54</v>
      </c>
      <c r="K356" s="25">
        <v>303</v>
      </c>
      <c r="L356" s="25">
        <v>1</v>
      </c>
      <c r="M356" s="25" t="s">
        <v>35</v>
      </c>
      <c r="N356" s="25">
        <v>88.1</v>
      </c>
      <c r="O356" s="25">
        <v>125</v>
      </c>
      <c r="P356" s="25">
        <v>0</v>
      </c>
    </row>
    <row r="357" spans="1:16" x14ac:dyDescent="0.25">
      <c r="A357" s="26">
        <v>45422.251064814816</v>
      </c>
      <c r="B357" s="25" t="s">
        <v>64</v>
      </c>
      <c r="C357" s="25" t="s">
        <v>746</v>
      </c>
      <c r="D357" s="25" t="s">
        <v>747</v>
      </c>
      <c r="E357" s="25">
        <v>356</v>
      </c>
      <c r="F357" s="25" t="s">
        <v>34</v>
      </c>
      <c r="G357" s="25">
        <v>18.899999999999999</v>
      </c>
      <c r="H357" s="25">
        <v>71.7</v>
      </c>
      <c r="I357" s="25" t="s">
        <v>38</v>
      </c>
      <c r="J357" s="25">
        <v>25</v>
      </c>
      <c r="K357" s="25">
        <v>368</v>
      </c>
      <c r="L357" s="25">
        <v>1</v>
      </c>
      <c r="M357" s="25" t="s">
        <v>35</v>
      </c>
      <c r="N357" s="25">
        <v>66.099999999999994</v>
      </c>
      <c r="O357" s="25">
        <v>228</v>
      </c>
      <c r="P357" s="25">
        <v>0</v>
      </c>
    </row>
    <row r="358" spans="1:16" x14ac:dyDescent="0.25">
      <c r="A358" s="26">
        <v>45591.249930555554</v>
      </c>
      <c r="B358" s="25" t="s">
        <v>61</v>
      </c>
      <c r="C358" s="25" t="s">
        <v>748</v>
      </c>
      <c r="D358" s="25" t="s">
        <v>749</v>
      </c>
      <c r="E358" s="25">
        <v>137</v>
      </c>
      <c r="F358" s="25" t="s">
        <v>34</v>
      </c>
      <c r="G358" s="25">
        <v>22.8</v>
      </c>
      <c r="H358" s="25">
        <v>50.6</v>
      </c>
      <c r="I358" s="25" t="s">
        <v>20</v>
      </c>
      <c r="J358" s="25">
        <v>24</v>
      </c>
      <c r="K358" s="25">
        <v>465</v>
      </c>
      <c r="L358" s="25">
        <v>6</v>
      </c>
      <c r="M358" s="25" t="s">
        <v>27</v>
      </c>
      <c r="N358" s="25">
        <v>61.3</v>
      </c>
      <c r="O358" s="25">
        <v>226</v>
      </c>
      <c r="P358" s="25">
        <v>0</v>
      </c>
    </row>
    <row r="359" spans="1:16" x14ac:dyDescent="0.25">
      <c r="A359" s="26">
        <v>45403.676307870373</v>
      </c>
      <c r="B359" s="25" t="s">
        <v>56</v>
      </c>
      <c r="C359" s="25" t="s">
        <v>750</v>
      </c>
      <c r="D359" s="25" t="s">
        <v>751</v>
      </c>
      <c r="E359" s="25">
        <v>231</v>
      </c>
      <c r="F359" s="25" t="s">
        <v>34</v>
      </c>
      <c r="G359" s="25">
        <v>24.3</v>
      </c>
      <c r="H359" s="25">
        <v>57.8</v>
      </c>
      <c r="I359" s="25" t="s">
        <v>38</v>
      </c>
      <c r="J359" s="25">
        <v>56</v>
      </c>
      <c r="K359" s="25">
        <v>368</v>
      </c>
      <c r="L359" s="25">
        <v>7</v>
      </c>
      <c r="M359" s="25" t="s">
        <v>27</v>
      </c>
      <c r="N359" s="25">
        <v>87.2</v>
      </c>
      <c r="O359" s="25">
        <v>203</v>
      </c>
      <c r="P359" s="25">
        <v>0</v>
      </c>
    </row>
    <row r="360" spans="1:16" ht="30" customHeight="1" x14ac:dyDescent="0.25">
      <c r="A360" s="26">
        <v>45549.07739583333</v>
      </c>
      <c r="B360" s="25" t="s">
        <v>48</v>
      </c>
      <c r="C360" s="25" t="s">
        <v>752</v>
      </c>
      <c r="D360" s="25" t="s">
        <v>753</v>
      </c>
      <c r="E360" s="25">
        <v>336</v>
      </c>
      <c r="F360" s="25" t="s">
        <v>34</v>
      </c>
      <c r="G360" s="25">
        <v>19.7</v>
      </c>
      <c r="H360" s="25">
        <v>66.7</v>
      </c>
      <c r="I360" s="25" t="s">
        <v>38</v>
      </c>
      <c r="J360" s="25">
        <v>54</v>
      </c>
      <c r="K360" s="25">
        <v>163</v>
      </c>
      <c r="L360" s="25">
        <v>7</v>
      </c>
      <c r="M360" s="25" t="s">
        <v>51</v>
      </c>
      <c r="N360" s="25">
        <v>71.400000000000006</v>
      </c>
      <c r="O360" s="25">
        <v>122</v>
      </c>
      <c r="P360" s="25">
        <v>0</v>
      </c>
    </row>
    <row r="361" spans="1:16" ht="30" customHeight="1" x14ac:dyDescent="0.25">
      <c r="A361" s="26">
        <v>45424.743761574071</v>
      </c>
      <c r="B361" s="25" t="s">
        <v>31</v>
      </c>
      <c r="C361" s="25" t="s">
        <v>754</v>
      </c>
      <c r="D361" s="25" t="s">
        <v>755</v>
      </c>
      <c r="E361" s="25">
        <v>290</v>
      </c>
      <c r="F361" s="25" t="s">
        <v>25</v>
      </c>
      <c r="G361" s="25">
        <v>27.6</v>
      </c>
      <c r="H361" s="25">
        <v>71.8</v>
      </c>
      <c r="I361" s="25" t="s">
        <v>26</v>
      </c>
      <c r="J361" s="25">
        <v>50</v>
      </c>
      <c r="K361" s="25">
        <v>460</v>
      </c>
      <c r="L361" s="25">
        <v>7</v>
      </c>
      <c r="M361" s="25" t="s">
        <v>51</v>
      </c>
      <c r="N361" s="25">
        <v>95.9</v>
      </c>
      <c r="O361" s="25">
        <v>118</v>
      </c>
      <c r="P361" s="25">
        <v>1</v>
      </c>
    </row>
    <row r="362" spans="1:16" x14ac:dyDescent="0.25">
      <c r="A362" s="26">
        <v>45538.379837962966</v>
      </c>
      <c r="B362" s="25" t="s">
        <v>95</v>
      </c>
      <c r="C362" s="25" t="s">
        <v>756</v>
      </c>
      <c r="D362" s="25" t="s">
        <v>757</v>
      </c>
      <c r="E362" s="25">
        <v>427</v>
      </c>
      <c r="F362" s="25" t="s">
        <v>19</v>
      </c>
      <c r="G362" s="25">
        <v>23.2</v>
      </c>
      <c r="H362" s="25">
        <v>70.099999999999994</v>
      </c>
      <c r="I362" s="25" t="s">
        <v>26</v>
      </c>
      <c r="J362" s="25">
        <v>17</v>
      </c>
      <c r="K362" s="25">
        <v>320</v>
      </c>
      <c r="L362" s="25">
        <v>4</v>
      </c>
      <c r="M362" s="25" t="s">
        <v>27</v>
      </c>
      <c r="N362" s="25">
        <v>73</v>
      </c>
      <c r="O362" s="25">
        <v>162</v>
      </c>
      <c r="P362" s="25">
        <v>1</v>
      </c>
    </row>
    <row r="363" spans="1:16" x14ac:dyDescent="0.25">
      <c r="A363" s="26">
        <v>45418.386550925927</v>
      </c>
      <c r="B363" s="25" t="s">
        <v>31</v>
      </c>
      <c r="C363" s="25" t="s">
        <v>758</v>
      </c>
      <c r="D363" s="25" t="s">
        <v>759</v>
      </c>
      <c r="E363" s="25">
        <v>439</v>
      </c>
      <c r="F363" s="25" t="s">
        <v>34</v>
      </c>
      <c r="G363" s="25">
        <v>26.4</v>
      </c>
      <c r="H363" s="25">
        <v>71.3</v>
      </c>
      <c r="I363" s="25" t="s">
        <v>38</v>
      </c>
      <c r="J363" s="25">
        <v>41</v>
      </c>
      <c r="K363" s="25">
        <v>491</v>
      </c>
      <c r="L363" s="25">
        <v>7</v>
      </c>
      <c r="M363" s="25" t="s">
        <v>35</v>
      </c>
      <c r="N363" s="25">
        <v>67.400000000000006</v>
      </c>
      <c r="O363" s="25">
        <v>273</v>
      </c>
      <c r="P363" s="25">
        <v>0</v>
      </c>
    </row>
    <row r="364" spans="1:16" x14ac:dyDescent="0.25">
      <c r="A364" s="26">
        <v>45300.369953703703</v>
      </c>
      <c r="B364" s="25" t="s">
        <v>16</v>
      </c>
      <c r="C364" s="25" t="s">
        <v>760</v>
      </c>
      <c r="D364" s="25" t="s">
        <v>761</v>
      </c>
      <c r="E364" s="25">
        <v>461</v>
      </c>
      <c r="F364" s="25" t="s">
        <v>34</v>
      </c>
      <c r="G364" s="25">
        <v>18.600000000000001</v>
      </c>
      <c r="H364" s="25">
        <v>74.599999999999994</v>
      </c>
      <c r="I364" s="25" t="s">
        <v>26</v>
      </c>
      <c r="J364" s="25">
        <v>23</v>
      </c>
      <c r="K364" s="25">
        <v>185</v>
      </c>
      <c r="L364" s="25">
        <v>4</v>
      </c>
      <c r="M364" s="25" t="s">
        <v>35</v>
      </c>
      <c r="N364" s="25">
        <v>77.8</v>
      </c>
      <c r="O364" s="25">
        <v>215</v>
      </c>
      <c r="P364" s="25">
        <v>1</v>
      </c>
    </row>
    <row r="365" spans="1:16" x14ac:dyDescent="0.25">
      <c r="A365" s="26">
        <v>45541.126851851855</v>
      </c>
      <c r="B365" s="25" t="s">
        <v>31</v>
      </c>
      <c r="C365" s="25" t="s">
        <v>762</v>
      </c>
      <c r="D365" s="25" t="s">
        <v>763</v>
      </c>
      <c r="E365" s="25">
        <v>414</v>
      </c>
      <c r="F365" s="25" t="s">
        <v>34</v>
      </c>
      <c r="G365" s="25">
        <v>29</v>
      </c>
      <c r="H365" s="25">
        <v>70.599999999999994</v>
      </c>
      <c r="I365" s="25" t="s">
        <v>26</v>
      </c>
      <c r="J365" s="25">
        <v>25</v>
      </c>
      <c r="K365" s="25">
        <v>291</v>
      </c>
      <c r="L365" s="25">
        <v>4</v>
      </c>
      <c r="M365" s="25" t="s">
        <v>35</v>
      </c>
      <c r="N365" s="25">
        <v>92.9</v>
      </c>
      <c r="O365" s="25">
        <v>154</v>
      </c>
      <c r="P365" s="25">
        <v>1</v>
      </c>
    </row>
    <row r="366" spans="1:16" x14ac:dyDescent="0.25">
      <c r="A366" s="26">
        <v>45509.697754629633</v>
      </c>
      <c r="B366" s="25" t="s">
        <v>22</v>
      </c>
      <c r="C366" s="25" t="s">
        <v>764</v>
      </c>
      <c r="D366" s="25" t="s">
        <v>765</v>
      </c>
      <c r="E366" s="25">
        <v>498</v>
      </c>
      <c r="F366" s="25" t="s">
        <v>19</v>
      </c>
      <c r="G366" s="25">
        <v>23.8</v>
      </c>
      <c r="H366" s="25">
        <v>55.9</v>
      </c>
      <c r="I366" s="25" t="s">
        <v>20</v>
      </c>
      <c r="J366" s="25">
        <v>16</v>
      </c>
      <c r="K366" s="25">
        <v>381</v>
      </c>
      <c r="L366" s="25">
        <v>7</v>
      </c>
      <c r="M366" s="25" t="s">
        <v>21</v>
      </c>
      <c r="N366" s="25">
        <v>67.2</v>
      </c>
      <c r="O366" s="25">
        <v>131</v>
      </c>
      <c r="P366" s="25">
        <v>1</v>
      </c>
    </row>
    <row r="367" spans="1:16" x14ac:dyDescent="0.25">
      <c r="A367" s="26">
        <v>45520.448599537034</v>
      </c>
      <c r="B367" s="25" t="s">
        <v>41</v>
      </c>
      <c r="C367" s="25" t="s">
        <v>766</v>
      </c>
      <c r="D367" s="25" t="s">
        <v>767</v>
      </c>
      <c r="E367" s="25">
        <v>334</v>
      </c>
      <c r="F367" s="25" t="s">
        <v>34</v>
      </c>
      <c r="G367" s="25">
        <v>22.5</v>
      </c>
      <c r="H367" s="25">
        <v>57.1</v>
      </c>
      <c r="I367" s="25" t="s">
        <v>38</v>
      </c>
      <c r="J367" s="25">
        <v>43</v>
      </c>
      <c r="K367" s="25">
        <v>381</v>
      </c>
      <c r="L367" s="25">
        <v>6</v>
      </c>
      <c r="M367" s="25" t="s">
        <v>21</v>
      </c>
      <c r="N367" s="25">
        <v>73.8</v>
      </c>
      <c r="O367" s="25">
        <v>157</v>
      </c>
      <c r="P367" s="25">
        <v>0</v>
      </c>
    </row>
    <row r="368" spans="1:16" ht="30" customHeight="1" x14ac:dyDescent="0.25">
      <c r="A368" s="26">
        <v>45485.115937499999</v>
      </c>
      <c r="B368" s="25" t="s">
        <v>48</v>
      </c>
      <c r="C368" s="25" t="s">
        <v>768</v>
      </c>
      <c r="D368" s="25" t="s">
        <v>769</v>
      </c>
      <c r="E368" s="25">
        <v>144</v>
      </c>
      <c r="F368" s="25" t="s">
        <v>19</v>
      </c>
      <c r="G368" s="25">
        <v>23</v>
      </c>
      <c r="H368" s="25">
        <v>70.3</v>
      </c>
      <c r="I368" s="25" t="s">
        <v>26</v>
      </c>
      <c r="J368" s="25">
        <v>54</v>
      </c>
      <c r="K368" s="25">
        <v>152</v>
      </c>
      <c r="L368" s="25">
        <v>1</v>
      </c>
      <c r="M368" s="25" t="s">
        <v>51</v>
      </c>
      <c r="N368" s="25">
        <v>84.3</v>
      </c>
      <c r="O368" s="25">
        <v>242</v>
      </c>
      <c r="P368" s="25">
        <v>1</v>
      </c>
    </row>
    <row r="369" spans="1:16" x14ac:dyDescent="0.25">
      <c r="A369" s="26">
        <v>45315.364166666666</v>
      </c>
      <c r="B369" s="25" t="s">
        <v>61</v>
      </c>
      <c r="C369" s="25" t="s">
        <v>770</v>
      </c>
      <c r="D369" s="25" t="s">
        <v>771</v>
      </c>
      <c r="E369" s="25">
        <v>231</v>
      </c>
      <c r="F369" s="25" t="s">
        <v>34</v>
      </c>
      <c r="G369" s="25">
        <v>28.2</v>
      </c>
      <c r="H369" s="25">
        <v>67.2</v>
      </c>
      <c r="I369" s="25" t="s">
        <v>38</v>
      </c>
      <c r="J369" s="25">
        <v>50</v>
      </c>
      <c r="K369" s="25">
        <v>221</v>
      </c>
      <c r="L369" s="25">
        <v>1</v>
      </c>
      <c r="M369" s="25" t="s">
        <v>21</v>
      </c>
      <c r="N369" s="25">
        <v>84.8</v>
      </c>
      <c r="O369" s="25">
        <v>270</v>
      </c>
      <c r="P369" s="25">
        <v>0</v>
      </c>
    </row>
    <row r="370" spans="1:16" x14ac:dyDescent="0.25">
      <c r="A370" s="26">
        <v>45304.907997685186</v>
      </c>
      <c r="B370" s="25" t="s">
        <v>64</v>
      </c>
      <c r="C370" s="25" t="s">
        <v>772</v>
      </c>
      <c r="D370" s="25" t="s">
        <v>773</v>
      </c>
      <c r="E370" s="25">
        <v>324</v>
      </c>
      <c r="F370" s="25" t="s">
        <v>19</v>
      </c>
      <c r="G370" s="25">
        <v>25.5</v>
      </c>
      <c r="H370" s="25">
        <v>65.2</v>
      </c>
      <c r="I370" s="25" t="s">
        <v>38</v>
      </c>
      <c r="J370" s="25">
        <v>51</v>
      </c>
      <c r="K370" s="25">
        <v>233</v>
      </c>
      <c r="L370" s="25">
        <v>9</v>
      </c>
      <c r="M370" s="25" t="s">
        <v>35</v>
      </c>
      <c r="N370" s="25">
        <v>90.2</v>
      </c>
      <c r="O370" s="25">
        <v>145</v>
      </c>
      <c r="P370" s="25">
        <v>1</v>
      </c>
    </row>
    <row r="371" spans="1:16" x14ac:dyDescent="0.25">
      <c r="A371" s="26">
        <v>45398.335787037038</v>
      </c>
      <c r="B371" s="25" t="s">
        <v>22</v>
      </c>
      <c r="C371" s="25" t="s">
        <v>774</v>
      </c>
      <c r="D371" s="25" t="s">
        <v>775</v>
      </c>
      <c r="E371" s="25">
        <v>246</v>
      </c>
      <c r="F371" s="25" t="s">
        <v>34</v>
      </c>
      <c r="G371" s="25">
        <v>19.399999999999999</v>
      </c>
      <c r="H371" s="25">
        <v>56.3</v>
      </c>
      <c r="I371" s="25" t="s">
        <v>38</v>
      </c>
      <c r="J371" s="25">
        <v>16</v>
      </c>
      <c r="K371" s="25">
        <v>406</v>
      </c>
      <c r="L371" s="25">
        <v>9</v>
      </c>
      <c r="M371" s="25" t="s">
        <v>27</v>
      </c>
      <c r="N371" s="25">
        <v>65.7</v>
      </c>
      <c r="O371" s="25">
        <v>140</v>
      </c>
      <c r="P371" s="25">
        <v>0</v>
      </c>
    </row>
    <row r="372" spans="1:16" x14ac:dyDescent="0.25">
      <c r="A372" s="26">
        <v>45334.140324074076</v>
      </c>
      <c r="B372" s="25" t="s">
        <v>48</v>
      </c>
      <c r="C372" s="25" t="s">
        <v>776</v>
      </c>
      <c r="D372" s="25" t="s">
        <v>777</v>
      </c>
      <c r="E372" s="25">
        <v>283</v>
      </c>
      <c r="F372" s="25" t="s">
        <v>19</v>
      </c>
      <c r="G372" s="25">
        <v>27.7</v>
      </c>
      <c r="H372" s="25">
        <v>52.4</v>
      </c>
      <c r="I372" s="25" t="s">
        <v>26</v>
      </c>
      <c r="J372" s="25">
        <v>16</v>
      </c>
      <c r="K372" s="25">
        <v>280</v>
      </c>
      <c r="L372" s="25">
        <v>8</v>
      </c>
      <c r="M372" s="25" t="s">
        <v>35</v>
      </c>
      <c r="N372" s="25">
        <v>96</v>
      </c>
      <c r="O372" s="25">
        <v>297</v>
      </c>
      <c r="P372" s="25">
        <v>1</v>
      </c>
    </row>
    <row r="373" spans="1:16" ht="30" customHeight="1" x14ac:dyDescent="0.25">
      <c r="A373" s="26">
        <v>45420.162812499999</v>
      </c>
      <c r="B373" s="25" t="s">
        <v>28</v>
      </c>
      <c r="C373" s="25" t="s">
        <v>778</v>
      </c>
      <c r="D373" s="25" t="s">
        <v>779</v>
      </c>
      <c r="E373" s="25">
        <v>453</v>
      </c>
      <c r="F373" s="25" t="s">
        <v>19</v>
      </c>
      <c r="G373" s="25">
        <v>21.8</v>
      </c>
      <c r="H373" s="25">
        <v>66.400000000000006</v>
      </c>
      <c r="I373" s="25" t="s">
        <v>38</v>
      </c>
      <c r="J373" s="25">
        <v>48</v>
      </c>
      <c r="K373" s="25">
        <v>305</v>
      </c>
      <c r="L373" s="25">
        <v>2</v>
      </c>
      <c r="M373" s="25" t="s">
        <v>51</v>
      </c>
      <c r="N373" s="25">
        <v>68.900000000000006</v>
      </c>
      <c r="O373" s="25">
        <v>212</v>
      </c>
      <c r="P373" s="25">
        <v>1</v>
      </c>
    </row>
    <row r="374" spans="1:16" x14ac:dyDescent="0.25">
      <c r="A374" s="26">
        <v>45633.535370370373</v>
      </c>
      <c r="B374" s="25" t="s">
        <v>28</v>
      </c>
      <c r="C374" s="25" t="s">
        <v>780</v>
      </c>
      <c r="D374" s="25" t="s">
        <v>781</v>
      </c>
      <c r="E374" s="25">
        <v>392</v>
      </c>
      <c r="F374" s="25" t="s">
        <v>34</v>
      </c>
      <c r="G374" s="25">
        <v>30</v>
      </c>
      <c r="H374" s="25">
        <v>72.099999999999994</v>
      </c>
      <c r="I374" s="25" t="s">
        <v>20</v>
      </c>
      <c r="J374" s="25">
        <v>52</v>
      </c>
      <c r="K374" s="25">
        <v>329</v>
      </c>
      <c r="L374" s="25">
        <v>4</v>
      </c>
      <c r="M374" s="25" t="s">
        <v>35</v>
      </c>
      <c r="N374" s="25">
        <v>66.599999999999994</v>
      </c>
      <c r="O374" s="25">
        <v>174</v>
      </c>
      <c r="P374" s="25">
        <v>0</v>
      </c>
    </row>
    <row r="375" spans="1:16" x14ac:dyDescent="0.25">
      <c r="A375" s="26">
        <v>45622.025173611109</v>
      </c>
      <c r="B375" s="25" t="s">
        <v>22</v>
      </c>
      <c r="C375" s="25" t="s">
        <v>782</v>
      </c>
      <c r="D375" s="25" t="s">
        <v>783</v>
      </c>
      <c r="E375" s="25">
        <v>343</v>
      </c>
      <c r="F375" s="25" t="s">
        <v>25</v>
      </c>
      <c r="G375" s="25">
        <v>25.2</v>
      </c>
      <c r="H375" s="25">
        <v>72.599999999999994</v>
      </c>
      <c r="I375" s="25" t="s">
        <v>38</v>
      </c>
      <c r="J375" s="25">
        <v>21</v>
      </c>
      <c r="K375" s="25">
        <v>400</v>
      </c>
      <c r="L375" s="25">
        <v>9</v>
      </c>
      <c r="M375" s="25" t="s">
        <v>27</v>
      </c>
      <c r="N375" s="25">
        <v>87.7</v>
      </c>
      <c r="O375" s="25">
        <v>300</v>
      </c>
      <c r="P375" s="25">
        <v>0</v>
      </c>
    </row>
    <row r="376" spans="1:16" x14ac:dyDescent="0.25">
      <c r="A376" s="26">
        <v>45419.344027777777</v>
      </c>
      <c r="B376" s="25" t="s">
        <v>41</v>
      </c>
      <c r="C376" s="25" t="s">
        <v>784</v>
      </c>
      <c r="D376" s="25" t="s">
        <v>785</v>
      </c>
      <c r="E376" s="25">
        <v>144</v>
      </c>
      <c r="F376" s="25" t="s">
        <v>19</v>
      </c>
      <c r="G376" s="25">
        <v>25.8</v>
      </c>
      <c r="H376" s="25">
        <v>65.599999999999994</v>
      </c>
      <c r="I376" s="25" t="s">
        <v>20</v>
      </c>
      <c r="J376" s="25">
        <v>23</v>
      </c>
      <c r="K376" s="25">
        <v>362</v>
      </c>
      <c r="L376" s="25">
        <v>10</v>
      </c>
      <c r="M376" s="25" t="s">
        <v>35</v>
      </c>
      <c r="N376" s="25">
        <v>88.9</v>
      </c>
      <c r="O376" s="25">
        <v>199</v>
      </c>
      <c r="P376" s="25">
        <v>1</v>
      </c>
    </row>
    <row r="377" spans="1:16" x14ac:dyDescent="0.25">
      <c r="A377" s="26">
        <v>45601.915648148148</v>
      </c>
      <c r="B377" s="25" t="s">
        <v>31</v>
      </c>
      <c r="C377" s="25" t="s">
        <v>786</v>
      </c>
      <c r="D377" s="25" t="s">
        <v>787</v>
      </c>
      <c r="E377" s="25">
        <v>151</v>
      </c>
      <c r="F377" s="25" t="s">
        <v>19</v>
      </c>
      <c r="G377" s="25">
        <v>22.1</v>
      </c>
      <c r="H377" s="25">
        <v>59.7</v>
      </c>
      <c r="I377" s="25" t="s">
        <v>38</v>
      </c>
      <c r="J377" s="25">
        <v>58</v>
      </c>
      <c r="K377" s="25">
        <v>338</v>
      </c>
      <c r="L377" s="25">
        <v>1</v>
      </c>
      <c r="M377" s="25" t="s">
        <v>35</v>
      </c>
      <c r="N377" s="25">
        <v>81.5</v>
      </c>
      <c r="O377" s="25">
        <v>248</v>
      </c>
      <c r="P377" s="25">
        <v>1</v>
      </c>
    </row>
    <row r="378" spans="1:16" x14ac:dyDescent="0.25">
      <c r="A378" s="26">
        <v>45350.492222222223</v>
      </c>
      <c r="B378" s="25" t="s">
        <v>16</v>
      </c>
      <c r="C378" s="25" t="s">
        <v>788</v>
      </c>
      <c r="D378" s="25" t="s">
        <v>789</v>
      </c>
      <c r="E378" s="25">
        <v>389</v>
      </c>
      <c r="F378" s="25" t="s">
        <v>25</v>
      </c>
      <c r="G378" s="25">
        <v>27.2</v>
      </c>
      <c r="H378" s="25">
        <v>59.8</v>
      </c>
      <c r="I378" s="25" t="s">
        <v>26</v>
      </c>
      <c r="J378" s="25">
        <v>20</v>
      </c>
      <c r="K378" s="25">
        <v>129</v>
      </c>
      <c r="L378" s="25">
        <v>8</v>
      </c>
      <c r="M378" s="25" t="s">
        <v>35</v>
      </c>
      <c r="N378" s="25">
        <v>80.8</v>
      </c>
      <c r="O378" s="25">
        <v>164</v>
      </c>
      <c r="P378" s="25">
        <v>1</v>
      </c>
    </row>
    <row r="379" spans="1:16" x14ac:dyDescent="0.25">
      <c r="A379" s="26">
        <v>45398.961273148147</v>
      </c>
      <c r="B379" s="25" t="s">
        <v>48</v>
      </c>
      <c r="C379" s="25" t="s">
        <v>790</v>
      </c>
      <c r="D379" s="25" t="s">
        <v>791</v>
      </c>
      <c r="E379" s="25">
        <v>355</v>
      </c>
      <c r="F379" s="25" t="s">
        <v>19</v>
      </c>
      <c r="G379" s="25">
        <v>19.2</v>
      </c>
      <c r="H379" s="25">
        <v>62.2</v>
      </c>
      <c r="I379" s="25" t="s">
        <v>38</v>
      </c>
      <c r="J379" s="25">
        <v>10</v>
      </c>
      <c r="K379" s="25">
        <v>137</v>
      </c>
      <c r="L379" s="25">
        <v>2</v>
      </c>
      <c r="M379" s="25" t="s">
        <v>35</v>
      </c>
      <c r="N379" s="25">
        <v>67</v>
      </c>
      <c r="O379" s="25">
        <v>269</v>
      </c>
      <c r="P379" s="25">
        <v>1</v>
      </c>
    </row>
    <row r="380" spans="1:16" x14ac:dyDescent="0.25">
      <c r="A380" s="26">
        <v>45624.025393518517</v>
      </c>
      <c r="B380" s="25" t="s">
        <v>28</v>
      </c>
      <c r="C380" s="25" t="s">
        <v>792</v>
      </c>
      <c r="D380" s="25" t="s">
        <v>793</v>
      </c>
      <c r="E380" s="25">
        <v>493</v>
      </c>
      <c r="F380" s="25" t="s">
        <v>19</v>
      </c>
      <c r="G380" s="25">
        <v>20.7</v>
      </c>
      <c r="H380" s="25">
        <v>70.900000000000006</v>
      </c>
      <c r="I380" s="25" t="s">
        <v>38</v>
      </c>
      <c r="J380" s="25">
        <v>52</v>
      </c>
      <c r="K380" s="25">
        <v>478</v>
      </c>
      <c r="L380" s="25">
        <v>1</v>
      </c>
      <c r="M380" s="25" t="s">
        <v>35</v>
      </c>
      <c r="N380" s="25">
        <v>62.5</v>
      </c>
      <c r="O380" s="25">
        <v>103</v>
      </c>
      <c r="P380" s="25">
        <v>1</v>
      </c>
    </row>
    <row r="381" spans="1:16" x14ac:dyDescent="0.25">
      <c r="A381" s="26">
        <v>45331.278252314813</v>
      </c>
      <c r="B381" s="25" t="s">
        <v>31</v>
      </c>
      <c r="C381" s="25" t="s">
        <v>794</v>
      </c>
      <c r="D381" s="25" t="s">
        <v>795</v>
      </c>
      <c r="E381" s="25">
        <v>181</v>
      </c>
      <c r="F381" s="25" t="s">
        <v>34</v>
      </c>
      <c r="G381" s="25">
        <v>22.9</v>
      </c>
      <c r="H381" s="25">
        <v>70.3</v>
      </c>
      <c r="I381" s="25" t="s">
        <v>20</v>
      </c>
      <c r="J381" s="25">
        <v>49</v>
      </c>
      <c r="K381" s="25">
        <v>441</v>
      </c>
      <c r="L381" s="25">
        <v>7</v>
      </c>
      <c r="M381" s="25" t="s">
        <v>21</v>
      </c>
      <c r="N381" s="25">
        <v>94.7</v>
      </c>
      <c r="O381" s="25">
        <v>168</v>
      </c>
      <c r="P381" s="25">
        <v>0</v>
      </c>
    </row>
    <row r="382" spans="1:16" x14ac:dyDescent="0.25">
      <c r="A382" s="26">
        <v>45426.559282407405</v>
      </c>
      <c r="B382" s="25" t="s">
        <v>22</v>
      </c>
      <c r="C382" s="25" t="s">
        <v>796</v>
      </c>
      <c r="D382" s="25" t="s">
        <v>797</v>
      </c>
      <c r="E382" s="25">
        <v>342</v>
      </c>
      <c r="F382" s="25" t="s">
        <v>25</v>
      </c>
      <c r="G382" s="25">
        <v>22.6</v>
      </c>
      <c r="H382" s="25">
        <v>55.5</v>
      </c>
      <c r="I382" s="25" t="s">
        <v>20</v>
      </c>
      <c r="J382" s="25">
        <v>35</v>
      </c>
      <c r="K382" s="25">
        <v>119</v>
      </c>
      <c r="L382" s="25">
        <v>3</v>
      </c>
      <c r="M382" s="25" t="s">
        <v>21</v>
      </c>
      <c r="N382" s="25">
        <v>73.900000000000006</v>
      </c>
      <c r="O382" s="25">
        <v>199</v>
      </c>
      <c r="P382" s="25">
        <v>0</v>
      </c>
    </row>
    <row r="383" spans="1:16" x14ac:dyDescent="0.25">
      <c r="A383" s="26">
        <v>45532.564837962964</v>
      </c>
      <c r="B383" s="25" t="s">
        <v>31</v>
      </c>
      <c r="C383" s="25" t="s">
        <v>798</v>
      </c>
      <c r="D383" s="25" t="s">
        <v>799</v>
      </c>
      <c r="E383" s="25">
        <v>376</v>
      </c>
      <c r="F383" s="25" t="s">
        <v>19</v>
      </c>
      <c r="G383" s="25">
        <v>20.5</v>
      </c>
      <c r="H383" s="25">
        <v>55.5</v>
      </c>
      <c r="I383" s="25" t="s">
        <v>38</v>
      </c>
      <c r="J383" s="25">
        <v>34</v>
      </c>
      <c r="K383" s="25">
        <v>315</v>
      </c>
      <c r="L383" s="25">
        <v>9</v>
      </c>
      <c r="M383" s="25" t="s">
        <v>21</v>
      </c>
      <c r="N383" s="25">
        <v>70.7</v>
      </c>
      <c r="O383" s="25">
        <v>297</v>
      </c>
      <c r="P383" s="25">
        <v>1</v>
      </c>
    </row>
    <row r="384" spans="1:16" x14ac:dyDescent="0.25">
      <c r="A384" s="26">
        <v>45343.118842592594</v>
      </c>
      <c r="B384" s="25" t="s">
        <v>41</v>
      </c>
      <c r="C384" s="25" t="s">
        <v>800</v>
      </c>
      <c r="D384" s="25" t="s">
        <v>801</v>
      </c>
      <c r="E384" s="25">
        <v>464</v>
      </c>
      <c r="F384" s="25" t="s">
        <v>25</v>
      </c>
      <c r="G384" s="25">
        <v>20.8</v>
      </c>
      <c r="H384" s="25">
        <v>50.1</v>
      </c>
      <c r="I384" s="25" t="s">
        <v>26</v>
      </c>
      <c r="J384" s="25">
        <v>16</v>
      </c>
      <c r="K384" s="25">
        <v>441</v>
      </c>
      <c r="L384" s="25">
        <v>7</v>
      </c>
      <c r="M384" s="25" t="s">
        <v>21</v>
      </c>
      <c r="N384" s="25">
        <v>91.1</v>
      </c>
      <c r="O384" s="25">
        <v>240</v>
      </c>
      <c r="P384" s="25">
        <v>1</v>
      </c>
    </row>
    <row r="385" spans="1:16" x14ac:dyDescent="0.25">
      <c r="A385" s="26">
        <v>45590.246261574073</v>
      </c>
      <c r="B385" s="25" t="s">
        <v>61</v>
      </c>
      <c r="C385" s="25" t="s">
        <v>802</v>
      </c>
      <c r="D385" s="25" t="s">
        <v>803</v>
      </c>
      <c r="E385" s="25">
        <v>452</v>
      </c>
      <c r="F385" s="25" t="s">
        <v>25</v>
      </c>
      <c r="G385" s="25">
        <v>26.7</v>
      </c>
      <c r="H385" s="25">
        <v>64.099999999999994</v>
      </c>
      <c r="I385" s="25" t="s">
        <v>38</v>
      </c>
      <c r="J385" s="25">
        <v>36</v>
      </c>
      <c r="K385" s="25">
        <v>152</v>
      </c>
      <c r="L385" s="25">
        <v>1</v>
      </c>
      <c r="M385" s="25" t="s">
        <v>21</v>
      </c>
      <c r="N385" s="25">
        <v>90.1</v>
      </c>
      <c r="O385" s="25">
        <v>231</v>
      </c>
      <c r="P385" s="25">
        <v>0</v>
      </c>
    </row>
    <row r="386" spans="1:16" x14ac:dyDescent="0.25">
      <c r="A386" s="26">
        <v>45491.979768518519</v>
      </c>
      <c r="B386" s="25" t="s">
        <v>31</v>
      </c>
      <c r="C386" s="25" t="s">
        <v>804</v>
      </c>
      <c r="D386" s="25" t="s">
        <v>805</v>
      </c>
      <c r="E386" s="25">
        <v>228</v>
      </c>
      <c r="F386" s="25" t="s">
        <v>34</v>
      </c>
      <c r="G386" s="25">
        <v>28.7</v>
      </c>
      <c r="H386" s="25">
        <v>65</v>
      </c>
      <c r="I386" s="25" t="s">
        <v>26</v>
      </c>
      <c r="J386" s="25">
        <v>26</v>
      </c>
      <c r="K386" s="25">
        <v>271</v>
      </c>
      <c r="L386" s="25">
        <v>3</v>
      </c>
      <c r="M386" s="25" t="s">
        <v>35</v>
      </c>
      <c r="N386" s="25">
        <v>66</v>
      </c>
      <c r="O386" s="25">
        <v>290</v>
      </c>
      <c r="P386" s="25">
        <v>1</v>
      </c>
    </row>
    <row r="387" spans="1:16" x14ac:dyDescent="0.25">
      <c r="A387" s="26">
        <v>45350.977696759262</v>
      </c>
      <c r="B387" s="25" t="s">
        <v>28</v>
      </c>
      <c r="C387" s="25" t="s">
        <v>806</v>
      </c>
      <c r="D387" s="25" t="s">
        <v>807</v>
      </c>
      <c r="E387" s="25">
        <v>288</v>
      </c>
      <c r="F387" s="25" t="s">
        <v>34</v>
      </c>
      <c r="G387" s="25">
        <v>27.1</v>
      </c>
      <c r="H387" s="25">
        <v>69.400000000000006</v>
      </c>
      <c r="I387" s="25" t="s">
        <v>26</v>
      </c>
      <c r="J387" s="25">
        <v>37</v>
      </c>
      <c r="K387" s="25">
        <v>144</v>
      </c>
      <c r="L387" s="25">
        <v>2</v>
      </c>
      <c r="M387" s="25" t="s">
        <v>21</v>
      </c>
      <c r="N387" s="25">
        <v>63.6</v>
      </c>
      <c r="O387" s="25">
        <v>126</v>
      </c>
      <c r="P387" s="25">
        <v>1</v>
      </c>
    </row>
    <row r="388" spans="1:16" ht="30" customHeight="1" x14ac:dyDescent="0.25">
      <c r="A388" s="26">
        <v>45486.65347222222</v>
      </c>
      <c r="B388" s="25" t="s">
        <v>28</v>
      </c>
      <c r="C388" s="25" t="s">
        <v>808</v>
      </c>
      <c r="D388" s="25" t="s">
        <v>809</v>
      </c>
      <c r="E388" s="25">
        <v>133</v>
      </c>
      <c r="F388" s="25" t="s">
        <v>19</v>
      </c>
      <c r="G388" s="25">
        <v>18.600000000000001</v>
      </c>
      <c r="H388" s="25">
        <v>79.400000000000006</v>
      </c>
      <c r="I388" s="25" t="s">
        <v>38</v>
      </c>
      <c r="J388" s="25">
        <v>14</v>
      </c>
      <c r="K388" s="25">
        <v>314</v>
      </c>
      <c r="L388" s="25">
        <v>10</v>
      </c>
      <c r="M388" s="25" t="s">
        <v>51</v>
      </c>
      <c r="N388" s="25">
        <v>98.8</v>
      </c>
      <c r="O388" s="25">
        <v>109</v>
      </c>
      <c r="P388" s="25">
        <v>1</v>
      </c>
    </row>
    <row r="389" spans="1:16" x14ac:dyDescent="0.25">
      <c r="A389" s="26">
        <v>45464.175636574073</v>
      </c>
      <c r="B389" s="25" t="s">
        <v>22</v>
      </c>
      <c r="C389" s="25" t="s">
        <v>810</v>
      </c>
      <c r="D389" s="25" t="s">
        <v>811</v>
      </c>
      <c r="E389" s="25">
        <v>117</v>
      </c>
      <c r="F389" s="25" t="s">
        <v>25</v>
      </c>
      <c r="G389" s="25">
        <v>29.7</v>
      </c>
      <c r="H389" s="25">
        <v>63.7</v>
      </c>
      <c r="I389" s="25" t="s">
        <v>38</v>
      </c>
      <c r="J389" s="25">
        <v>17</v>
      </c>
      <c r="K389" s="25">
        <v>159</v>
      </c>
      <c r="L389" s="25">
        <v>8</v>
      </c>
      <c r="M389" s="25" t="s">
        <v>21</v>
      </c>
      <c r="N389" s="25">
        <v>77</v>
      </c>
      <c r="O389" s="25">
        <v>106</v>
      </c>
      <c r="P389" s="25">
        <v>0</v>
      </c>
    </row>
    <row r="390" spans="1:16" x14ac:dyDescent="0.25">
      <c r="A390" s="26">
        <v>45564.74895833333</v>
      </c>
      <c r="B390" s="25" t="s">
        <v>48</v>
      </c>
      <c r="C390" s="25" t="s">
        <v>812</v>
      </c>
      <c r="D390" s="25" t="s">
        <v>813</v>
      </c>
      <c r="E390" s="25">
        <v>428</v>
      </c>
      <c r="F390" s="25" t="s">
        <v>19</v>
      </c>
      <c r="G390" s="25">
        <v>28.4</v>
      </c>
      <c r="H390" s="25">
        <v>74.2</v>
      </c>
      <c r="I390" s="25" t="s">
        <v>38</v>
      </c>
      <c r="J390" s="25">
        <v>54</v>
      </c>
      <c r="K390" s="25">
        <v>492</v>
      </c>
      <c r="L390" s="25">
        <v>1</v>
      </c>
      <c r="M390" s="25" t="s">
        <v>21</v>
      </c>
      <c r="N390" s="25">
        <v>86.2</v>
      </c>
      <c r="O390" s="25">
        <v>286</v>
      </c>
      <c r="P390" s="25">
        <v>1</v>
      </c>
    </row>
    <row r="391" spans="1:16" x14ac:dyDescent="0.25">
      <c r="A391" s="26">
        <v>45448.314363425925</v>
      </c>
      <c r="B391" s="25" t="s">
        <v>56</v>
      </c>
      <c r="C391" s="25" t="s">
        <v>814</v>
      </c>
      <c r="D391" s="25" t="s">
        <v>815</v>
      </c>
      <c r="E391" s="25">
        <v>381</v>
      </c>
      <c r="F391" s="25" t="s">
        <v>34</v>
      </c>
      <c r="G391" s="25">
        <v>18</v>
      </c>
      <c r="H391" s="25">
        <v>53</v>
      </c>
      <c r="I391" s="25" t="s">
        <v>38</v>
      </c>
      <c r="J391" s="25">
        <v>25</v>
      </c>
      <c r="K391" s="25">
        <v>398</v>
      </c>
      <c r="L391" s="25">
        <v>9</v>
      </c>
      <c r="M391" s="25" t="s">
        <v>27</v>
      </c>
      <c r="N391" s="25">
        <v>94.6</v>
      </c>
      <c r="O391" s="25">
        <v>100</v>
      </c>
      <c r="P391" s="25">
        <v>0</v>
      </c>
    </row>
    <row r="392" spans="1:16" x14ac:dyDescent="0.25">
      <c r="A392" s="26">
        <v>45645.894803240742</v>
      </c>
      <c r="B392" s="25" t="s">
        <v>31</v>
      </c>
      <c r="C392" s="25" t="s">
        <v>816</v>
      </c>
      <c r="D392" s="25" t="s">
        <v>817</v>
      </c>
      <c r="E392" s="25">
        <v>166</v>
      </c>
      <c r="F392" s="25" t="s">
        <v>19</v>
      </c>
      <c r="G392" s="25">
        <v>22.5</v>
      </c>
      <c r="H392" s="25">
        <v>53.8</v>
      </c>
      <c r="I392" s="25" t="s">
        <v>38</v>
      </c>
      <c r="J392" s="25">
        <v>57</v>
      </c>
      <c r="K392" s="25">
        <v>442</v>
      </c>
      <c r="L392" s="25">
        <v>6</v>
      </c>
      <c r="M392" s="25" t="s">
        <v>27</v>
      </c>
      <c r="N392" s="25">
        <v>72.099999999999994</v>
      </c>
      <c r="O392" s="25">
        <v>284</v>
      </c>
      <c r="P392" s="25">
        <v>1</v>
      </c>
    </row>
    <row r="393" spans="1:16" ht="30" customHeight="1" x14ac:dyDescent="0.25">
      <c r="A393" s="26">
        <v>45405.785717592589</v>
      </c>
      <c r="B393" s="25" t="s">
        <v>48</v>
      </c>
      <c r="C393" s="25" t="s">
        <v>818</v>
      </c>
      <c r="D393" s="25" t="s">
        <v>819</v>
      </c>
      <c r="E393" s="25">
        <v>225</v>
      </c>
      <c r="F393" s="25" t="s">
        <v>25</v>
      </c>
      <c r="G393" s="25">
        <v>26.1</v>
      </c>
      <c r="H393" s="25">
        <v>75.8</v>
      </c>
      <c r="I393" s="25" t="s">
        <v>26</v>
      </c>
      <c r="J393" s="25">
        <v>41</v>
      </c>
      <c r="K393" s="25">
        <v>286</v>
      </c>
      <c r="L393" s="25">
        <v>3</v>
      </c>
      <c r="M393" s="25" t="s">
        <v>51</v>
      </c>
      <c r="N393" s="25">
        <v>72.900000000000006</v>
      </c>
      <c r="O393" s="25">
        <v>224</v>
      </c>
      <c r="P393" s="25">
        <v>1</v>
      </c>
    </row>
    <row r="394" spans="1:16" x14ac:dyDescent="0.25">
      <c r="A394" s="26">
        <v>45339.839872685188</v>
      </c>
      <c r="B394" s="25" t="s">
        <v>48</v>
      </c>
      <c r="C394" s="25" t="s">
        <v>820</v>
      </c>
      <c r="D394" s="25" t="s">
        <v>821</v>
      </c>
      <c r="E394" s="25">
        <v>364</v>
      </c>
      <c r="F394" s="25" t="s">
        <v>19</v>
      </c>
      <c r="G394" s="25">
        <v>18.8</v>
      </c>
      <c r="H394" s="25">
        <v>68.2</v>
      </c>
      <c r="I394" s="25" t="s">
        <v>20</v>
      </c>
      <c r="J394" s="25">
        <v>41</v>
      </c>
      <c r="K394" s="25">
        <v>373</v>
      </c>
      <c r="L394" s="25">
        <v>1</v>
      </c>
      <c r="M394" s="25" t="s">
        <v>27</v>
      </c>
      <c r="N394" s="25">
        <v>88.7</v>
      </c>
      <c r="O394" s="25">
        <v>215</v>
      </c>
      <c r="P394" s="25">
        <v>1</v>
      </c>
    </row>
    <row r="395" spans="1:16" x14ac:dyDescent="0.25">
      <c r="A395" s="26">
        <v>45494.259074074071</v>
      </c>
      <c r="B395" s="25" t="s">
        <v>16</v>
      </c>
      <c r="C395" s="25" t="s">
        <v>822</v>
      </c>
      <c r="D395" s="25" t="s">
        <v>823</v>
      </c>
      <c r="E395" s="25">
        <v>318</v>
      </c>
      <c r="F395" s="25" t="s">
        <v>25</v>
      </c>
      <c r="G395" s="25">
        <v>25.3</v>
      </c>
      <c r="H395" s="25">
        <v>74.599999999999994</v>
      </c>
      <c r="I395" s="25" t="s">
        <v>38</v>
      </c>
      <c r="J395" s="25">
        <v>32</v>
      </c>
      <c r="K395" s="25">
        <v>486</v>
      </c>
      <c r="L395" s="25">
        <v>9</v>
      </c>
      <c r="M395" s="25" t="s">
        <v>27</v>
      </c>
      <c r="N395" s="25">
        <v>68.099999999999994</v>
      </c>
      <c r="O395" s="25">
        <v>277</v>
      </c>
      <c r="P395" s="25">
        <v>0</v>
      </c>
    </row>
    <row r="396" spans="1:16" x14ac:dyDescent="0.25">
      <c r="A396" s="26">
        <v>45385.225162037037</v>
      </c>
      <c r="B396" s="25" t="s">
        <v>48</v>
      </c>
      <c r="C396" s="25" t="s">
        <v>824</v>
      </c>
      <c r="D396" s="25" t="s">
        <v>825</v>
      </c>
      <c r="E396" s="25">
        <v>417</v>
      </c>
      <c r="F396" s="25" t="s">
        <v>25</v>
      </c>
      <c r="G396" s="25">
        <v>20</v>
      </c>
      <c r="H396" s="25">
        <v>61</v>
      </c>
      <c r="I396" s="25" t="s">
        <v>26</v>
      </c>
      <c r="J396" s="25">
        <v>54</v>
      </c>
      <c r="K396" s="25">
        <v>300</v>
      </c>
      <c r="L396" s="25">
        <v>4</v>
      </c>
      <c r="M396" s="25" t="s">
        <v>35</v>
      </c>
      <c r="N396" s="25">
        <v>74.5</v>
      </c>
      <c r="O396" s="25">
        <v>156</v>
      </c>
      <c r="P396" s="25">
        <v>1</v>
      </c>
    </row>
    <row r="397" spans="1:16" ht="30" customHeight="1" x14ac:dyDescent="0.25">
      <c r="A397" s="26">
        <v>45587.44703703704</v>
      </c>
      <c r="B397" s="25" t="s">
        <v>16</v>
      </c>
      <c r="C397" s="25" t="s">
        <v>826</v>
      </c>
      <c r="D397" s="25" t="s">
        <v>827</v>
      </c>
      <c r="E397" s="25">
        <v>180</v>
      </c>
      <c r="F397" s="25" t="s">
        <v>19</v>
      </c>
      <c r="G397" s="25">
        <v>18.5</v>
      </c>
      <c r="H397" s="25">
        <v>52.1</v>
      </c>
      <c r="I397" s="25" t="s">
        <v>38</v>
      </c>
      <c r="J397" s="25">
        <v>10</v>
      </c>
      <c r="K397" s="25">
        <v>182</v>
      </c>
      <c r="L397" s="25">
        <v>5</v>
      </c>
      <c r="M397" s="25" t="s">
        <v>51</v>
      </c>
      <c r="N397" s="25">
        <v>99</v>
      </c>
      <c r="O397" s="25">
        <v>279</v>
      </c>
      <c r="P397" s="25">
        <v>1</v>
      </c>
    </row>
    <row r="398" spans="1:16" ht="30" customHeight="1" x14ac:dyDescent="0.25">
      <c r="A398" s="26">
        <v>45410.527025462965</v>
      </c>
      <c r="B398" s="25" t="s">
        <v>56</v>
      </c>
      <c r="C398" s="25" t="s">
        <v>828</v>
      </c>
      <c r="D398" s="25" t="s">
        <v>829</v>
      </c>
      <c r="E398" s="25">
        <v>134</v>
      </c>
      <c r="F398" s="25" t="s">
        <v>19</v>
      </c>
      <c r="G398" s="25">
        <v>24.1</v>
      </c>
      <c r="H398" s="25">
        <v>68.2</v>
      </c>
      <c r="I398" s="25" t="s">
        <v>26</v>
      </c>
      <c r="J398" s="25">
        <v>35</v>
      </c>
      <c r="K398" s="25">
        <v>187</v>
      </c>
      <c r="L398" s="25">
        <v>6</v>
      </c>
      <c r="M398" s="25" t="s">
        <v>51</v>
      </c>
      <c r="N398" s="25">
        <v>99.9</v>
      </c>
      <c r="O398" s="25">
        <v>102</v>
      </c>
      <c r="P398" s="25">
        <v>1</v>
      </c>
    </row>
    <row r="399" spans="1:16" x14ac:dyDescent="0.25">
      <c r="A399" s="26">
        <v>45563.507835648146</v>
      </c>
      <c r="B399" s="25" t="s">
        <v>56</v>
      </c>
      <c r="C399" s="25" t="s">
        <v>830</v>
      </c>
      <c r="D399" s="25" t="s">
        <v>831</v>
      </c>
      <c r="E399" s="25">
        <v>237</v>
      </c>
      <c r="F399" s="25" t="s">
        <v>25</v>
      </c>
      <c r="G399" s="25">
        <v>28.1</v>
      </c>
      <c r="H399" s="25">
        <v>75.5</v>
      </c>
      <c r="I399" s="25" t="s">
        <v>20</v>
      </c>
      <c r="J399" s="25">
        <v>18</v>
      </c>
      <c r="K399" s="25">
        <v>349</v>
      </c>
      <c r="L399" s="25">
        <v>2</v>
      </c>
      <c r="M399" s="25" t="s">
        <v>27</v>
      </c>
      <c r="N399" s="25">
        <v>90.5</v>
      </c>
      <c r="O399" s="25">
        <v>189</v>
      </c>
      <c r="P399" s="25">
        <v>0</v>
      </c>
    </row>
    <row r="400" spans="1:16" x14ac:dyDescent="0.25">
      <c r="A400" s="26">
        <v>45544.493923611109</v>
      </c>
      <c r="B400" s="25" t="s">
        <v>64</v>
      </c>
      <c r="C400" s="25" t="s">
        <v>832</v>
      </c>
      <c r="D400" s="25" t="s">
        <v>833</v>
      </c>
      <c r="E400" s="25">
        <v>259</v>
      </c>
      <c r="F400" s="25" t="s">
        <v>19</v>
      </c>
      <c r="G400" s="25">
        <v>26.6</v>
      </c>
      <c r="H400" s="25">
        <v>53</v>
      </c>
      <c r="I400" s="25" t="s">
        <v>38</v>
      </c>
      <c r="J400" s="25">
        <v>28</v>
      </c>
      <c r="K400" s="25">
        <v>118</v>
      </c>
      <c r="L400" s="25">
        <v>4</v>
      </c>
      <c r="M400" s="25" t="s">
        <v>35</v>
      </c>
      <c r="N400" s="25">
        <v>60.2</v>
      </c>
      <c r="O400" s="25">
        <v>249</v>
      </c>
      <c r="P400" s="25">
        <v>1</v>
      </c>
    </row>
    <row r="401" spans="1:16" x14ac:dyDescent="0.25">
      <c r="A401" s="26">
        <v>45567.909201388888</v>
      </c>
      <c r="B401" s="25" t="s">
        <v>61</v>
      </c>
      <c r="C401" s="25" t="s">
        <v>834</v>
      </c>
      <c r="D401" s="25" t="s">
        <v>835</v>
      </c>
      <c r="E401" s="25">
        <v>463</v>
      </c>
      <c r="F401" s="25" t="s">
        <v>25</v>
      </c>
      <c r="G401" s="25">
        <v>19.8</v>
      </c>
      <c r="H401" s="25">
        <v>54.5</v>
      </c>
      <c r="I401" s="25" t="s">
        <v>26</v>
      </c>
      <c r="J401" s="25">
        <v>12</v>
      </c>
      <c r="K401" s="25">
        <v>408</v>
      </c>
      <c r="L401" s="25">
        <v>8</v>
      </c>
      <c r="M401" s="25" t="s">
        <v>35</v>
      </c>
      <c r="N401" s="25">
        <v>71.2</v>
      </c>
      <c r="O401" s="25">
        <v>229</v>
      </c>
      <c r="P401" s="25">
        <v>1</v>
      </c>
    </row>
    <row r="402" spans="1:16" ht="30" customHeight="1" x14ac:dyDescent="0.25">
      <c r="A402" s="26">
        <v>45417.237615740742</v>
      </c>
      <c r="B402" s="25" t="s">
        <v>28</v>
      </c>
      <c r="C402" s="25" t="s">
        <v>836</v>
      </c>
      <c r="D402" s="25" t="s">
        <v>837</v>
      </c>
      <c r="E402" s="25">
        <v>290</v>
      </c>
      <c r="F402" s="25" t="s">
        <v>34</v>
      </c>
      <c r="G402" s="25">
        <v>23.7</v>
      </c>
      <c r="H402" s="25">
        <v>53.5</v>
      </c>
      <c r="I402" s="25" t="s">
        <v>20</v>
      </c>
      <c r="J402" s="25">
        <v>44</v>
      </c>
      <c r="K402" s="25">
        <v>237</v>
      </c>
      <c r="L402" s="25">
        <v>5</v>
      </c>
      <c r="M402" s="25" t="s">
        <v>51</v>
      </c>
      <c r="N402" s="25">
        <v>85.8</v>
      </c>
      <c r="O402" s="25">
        <v>270</v>
      </c>
      <c r="P402" s="25">
        <v>0</v>
      </c>
    </row>
    <row r="403" spans="1:16" x14ac:dyDescent="0.25">
      <c r="A403" s="26">
        <v>45433.106585648151</v>
      </c>
      <c r="B403" s="25" t="s">
        <v>56</v>
      </c>
      <c r="C403" s="25" t="s">
        <v>838</v>
      </c>
      <c r="D403" s="25" t="s">
        <v>839</v>
      </c>
      <c r="E403" s="25">
        <v>345</v>
      </c>
      <c r="F403" s="25" t="s">
        <v>19</v>
      </c>
      <c r="G403" s="25">
        <v>21.3</v>
      </c>
      <c r="H403" s="25">
        <v>53.6</v>
      </c>
      <c r="I403" s="25" t="s">
        <v>38</v>
      </c>
      <c r="J403" s="25">
        <v>35</v>
      </c>
      <c r="K403" s="25">
        <v>388</v>
      </c>
      <c r="L403" s="25">
        <v>4</v>
      </c>
      <c r="M403" s="25" t="s">
        <v>27</v>
      </c>
      <c r="N403" s="25">
        <v>83.5</v>
      </c>
      <c r="O403" s="25">
        <v>159</v>
      </c>
      <c r="P403" s="25">
        <v>1</v>
      </c>
    </row>
    <row r="404" spans="1:16" x14ac:dyDescent="0.25">
      <c r="A404" s="26">
        <v>45366.930104166669</v>
      </c>
      <c r="B404" s="25" t="s">
        <v>22</v>
      </c>
      <c r="C404" s="25" t="s">
        <v>840</v>
      </c>
      <c r="D404" s="25" t="s">
        <v>841</v>
      </c>
      <c r="E404" s="25">
        <v>165</v>
      </c>
      <c r="F404" s="25" t="s">
        <v>19</v>
      </c>
      <c r="G404" s="25">
        <v>25.6</v>
      </c>
      <c r="H404" s="25">
        <v>61.7</v>
      </c>
      <c r="I404" s="25" t="s">
        <v>20</v>
      </c>
      <c r="J404" s="25">
        <v>50</v>
      </c>
      <c r="K404" s="25">
        <v>149</v>
      </c>
      <c r="L404" s="25">
        <v>10</v>
      </c>
      <c r="M404" s="25" t="s">
        <v>35</v>
      </c>
      <c r="N404" s="25">
        <v>62.6</v>
      </c>
      <c r="O404" s="25">
        <v>252</v>
      </c>
      <c r="P404" s="25">
        <v>1</v>
      </c>
    </row>
    <row r="405" spans="1:16" x14ac:dyDescent="0.25">
      <c r="A405" s="26">
        <v>45329.823495370372</v>
      </c>
      <c r="B405" s="25" t="s">
        <v>61</v>
      </c>
      <c r="C405" s="25" t="s">
        <v>842</v>
      </c>
      <c r="D405" s="25" t="s">
        <v>843</v>
      </c>
      <c r="E405" s="25">
        <v>259</v>
      </c>
      <c r="F405" s="25" t="s">
        <v>25</v>
      </c>
      <c r="G405" s="25">
        <v>27</v>
      </c>
      <c r="H405" s="25">
        <v>79.7</v>
      </c>
      <c r="I405" s="25" t="s">
        <v>26</v>
      </c>
      <c r="J405" s="25">
        <v>15</v>
      </c>
      <c r="K405" s="25">
        <v>167</v>
      </c>
      <c r="L405" s="25">
        <v>9</v>
      </c>
      <c r="M405" s="25" t="s">
        <v>35</v>
      </c>
      <c r="N405" s="25">
        <v>88.6</v>
      </c>
      <c r="O405" s="25">
        <v>147</v>
      </c>
      <c r="P405" s="25">
        <v>1</v>
      </c>
    </row>
    <row r="406" spans="1:16" x14ac:dyDescent="0.25">
      <c r="A406" s="26">
        <v>45423.221365740741</v>
      </c>
      <c r="B406" s="25" t="s">
        <v>16</v>
      </c>
      <c r="C406" s="25" t="s">
        <v>844</v>
      </c>
      <c r="D406" s="25" t="s">
        <v>845</v>
      </c>
      <c r="E406" s="25">
        <v>330</v>
      </c>
      <c r="F406" s="25" t="s">
        <v>34</v>
      </c>
      <c r="G406" s="25">
        <v>26.9</v>
      </c>
      <c r="H406" s="25">
        <v>62.9</v>
      </c>
      <c r="I406" s="25" t="s">
        <v>20</v>
      </c>
      <c r="J406" s="25">
        <v>47</v>
      </c>
      <c r="K406" s="25">
        <v>382</v>
      </c>
      <c r="L406" s="25">
        <v>6</v>
      </c>
      <c r="M406" s="25" t="s">
        <v>27</v>
      </c>
      <c r="N406" s="25">
        <v>90.3</v>
      </c>
      <c r="O406" s="25">
        <v>115</v>
      </c>
      <c r="P406" s="25">
        <v>0</v>
      </c>
    </row>
    <row r="407" spans="1:16" ht="30" customHeight="1" x14ac:dyDescent="0.25">
      <c r="A407" s="26">
        <v>45322.23028935185</v>
      </c>
      <c r="B407" s="25" t="s">
        <v>64</v>
      </c>
      <c r="C407" s="25" t="s">
        <v>846</v>
      </c>
      <c r="D407" s="25" t="s">
        <v>847</v>
      </c>
      <c r="E407" s="25">
        <v>467</v>
      </c>
      <c r="F407" s="25" t="s">
        <v>34</v>
      </c>
      <c r="G407" s="25">
        <v>19.3</v>
      </c>
      <c r="H407" s="25">
        <v>62.1</v>
      </c>
      <c r="I407" s="25" t="s">
        <v>20</v>
      </c>
      <c r="J407" s="25">
        <v>39</v>
      </c>
      <c r="K407" s="25">
        <v>180</v>
      </c>
      <c r="L407" s="25">
        <v>8</v>
      </c>
      <c r="M407" s="25" t="s">
        <v>51</v>
      </c>
      <c r="N407" s="25">
        <v>63.8</v>
      </c>
      <c r="O407" s="25">
        <v>145</v>
      </c>
      <c r="P407" s="25">
        <v>0</v>
      </c>
    </row>
    <row r="408" spans="1:16" x14ac:dyDescent="0.25">
      <c r="A408" s="26">
        <v>45597.061203703706</v>
      </c>
      <c r="B408" s="25" t="s">
        <v>61</v>
      </c>
      <c r="C408" s="25" t="s">
        <v>848</v>
      </c>
      <c r="D408" s="25" t="s">
        <v>849</v>
      </c>
      <c r="E408" s="25">
        <v>329</v>
      </c>
      <c r="F408" s="25" t="s">
        <v>25</v>
      </c>
      <c r="G408" s="25">
        <v>26.7</v>
      </c>
      <c r="H408" s="25">
        <v>56.2</v>
      </c>
      <c r="I408" s="25" t="s">
        <v>20</v>
      </c>
      <c r="J408" s="25">
        <v>16</v>
      </c>
      <c r="K408" s="25">
        <v>261</v>
      </c>
      <c r="L408" s="25">
        <v>9</v>
      </c>
      <c r="M408" s="25" t="s">
        <v>35</v>
      </c>
      <c r="N408" s="25">
        <v>90.7</v>
      </c>
      <c r="O408" s="25">
        <v>104</v>
      </c>
      <c r="P408" s="25">
        <v>0</v>
      </c>
    </row>
    <row r="409" spans="1:16" ht="30" customHeight="1" x14ac:dyDescent="0.25">
      <c r="A409" s="26">
        <v>45354.178483796299</v>
      </c>
      <c r="B409" s="25" t="s">
        <v>31</v>
      </c>
      <c r="C409" s="25" t="s">
        <v>850</v>
      </c>
      <c r="D409" s="25" t="s">
        <v>851</v>
      </c>
      <c r="E409" s="25">
        <v>122</v>
      </c>
      <c r="F409" s="25" t="s">
        <v>34</v>
      </c>
      <c r="G409" s="25">
        <v>22.9</v>
      </c>
      <c r="H409" s="25">
        <v>64</v>
      </c>
      <c r="I409" s="25" t="s">
        <v>26</v>
      </c>
      <c r="J409" s="25">
        <v>24</v>
      </c>
      <c r="K409" s="25">
        <v>409</v>
      </c>
      <c r="L409" s="25">
        <v>5</v>
      </c>
      <c r="M409" s="25" t="s">
        <v>51</v>
      </c>
      <c r="N409" s="25">
        <v>99.7</v>
      </c>
      <c r="O409" s="25">
        <v>184</v>
      </c>
      <c r="P409" s="25">
        <v>1</v>
      </c>
    </row>
    <row r="410" spans="1:16" x14ac:dyDescent="0.25">
      <c r="A410" s="26">
        <v>45360.007337962961</v>
      </c>
      <c r="B410" s="25" t="s">
        <v>61</v>
      </c>
      <c r="C410" s="25" t="s">
        <v>852</v>
      </c>
      <c r="D410" s="25" t="s">
        <v>853</v>
      </c>
      <c r="E410" s="25">
        <v>146</v>
      </c>
      <c r="F410" s="25" t="s">
        <v>25</v>
      </c>
      <c r="G410" s="25">
        <v>24.2</v>
      </c>
      <c r="H410" s="25">
        <v>69.099999999999994</v>
      </c>
      <c r="I410" s="25" t="s">
        <v>38</v>
      </c>
      <c r="J410" s="25">
        <v>58</v>
      </c>
      <c r="K410" s="25">
        <v>301</v>
      </c>
      <c r="L410" s="25">
        <v>2</v>
      </c>
      <c r="M410" s="25" t="s">
        <v>21</v>
      </c>
      <c r="N410" s="25">
        <v>82</v>
      </c>
      <c r="O410" s="25">
        <v>238</v>
      </c>
      <c r="P410" s="25">
        <v>0</v>
      </c>
    </row>
    <row r="411" spans="1:16" x14ac:dyDescent="0.25">
      <c r="A411" s="26">
        <v>45399.728148148148</v>
      </c>
      <c r="B411" s="25" t="s">
        <v>28</v>
      </c>
      <c r="C411" s="25" t="s">
        <v>854</v>
      </c>
      <c r="D411" s="25" t="s">
        <v>855</v>
      </c>
      <c r="E411" s="25">
        <v>419</v>
      </c>
      <c r="F411" s="25" t="s">
        <v>34</v>
      </c>
      <c r="G411" s="25">
        <v>26.1</v>
      </c>
      <c r="H411" s="25">
        <v>62</v>
      </c>
      <c r="I411" s="25" t="s">
        <v>26</v>
      </c>
      <c r="J411" s="25">
        <v>19</v>
      </c>
      <c r="K411" s="25">
        <v>484</v>
      </c>
      <c r="L411" s="25">
        <v>8</v>
      </c>
      <c r="M411" s="25" t="s">
        <v>21</v>
      </c>
      <c r="N411" s="25">
        <v>96.4</v>
      </c>
      <c r="O411" s="25">
        <v>262</v>
      </c>
      <c r="P411" s="25">
        <v>1</v>
      </c>
    </row>
    <row r="412" spans="1:16" x14ac:dyDescent="0.25">
      <c r="A412" s="26">
        <v>45556.439641203702</v>
      </c>
      <c r="B412" s="25" t="s">
        <v>16</v>
      </c>
      <c r="C412" s="25" t="s">
        <v>856</v>
      </c>
      <c r="D412" s="25" t="s">
        <v>857</v>
      </c>
      <c r="E412" s="25">
        <v>143</v>
      </c>
      <c r="F412" s="25" t="s">
        <v>25</v>
      </c>
      <c r="G412" s="25">
        <v>20.100000000000001</v>
      </c>
      <c r="H412" s="25">
        <v>57</v>
      </c>
      <c r="I412" s="25" t="s">
        <v>20</v>
      </c>
      <c r="J412" s="25">
        <v>41</v>
      </c>
      <c r="K412" s="25">
        <v>143</v>
      </c>
      <c r="L412" s="25">
        <v>9</v>
      </c>
      <c r="M412" s="25" t="s">
        <v>21</v>
      </c>
      <c r="N412" s="25">
        <v>62.1</v>
      </c>
      <c r="O412" s="25">
        <v>106</v>
      </c>
      <c r="P412" s="25">
        <v>0</v>
      </c>
    </row>
    <row r="413" spans="1:16" x14ac:dyDescent="0.25">
      <c r="A413" s="26">
        <v>45333.438773148147</v>
      </c>
      <c r="B413" s="25" t="s">
        <v>28</v>
      </c>
      <c r="C413" s="25" t="s">
        <v>858</v>
      </c>
      <c r="D413" s="25" t="s">
        <v>859</v>
      </c>
      <c r="E413" s="25">
        <v>445</v>
      </c>
      <c r="F413" s="25" t="s">
        <v>34</v>
      </c>
      <c r="G413" s="25">
        <v>19.8</v>
      </c>
      <c r="H413" s="25">
        <v>54.1</v>
      </c>
      <c r="I413" s="25" t="s">
        <v>38</v>
      </c>
      <c r="J413" s="25">
        <v>39</v>
      </c>
      <c r="K413" s="25">
        <v>375</v>
      </c>
      <c r="L413" s="25">
        <v>2</v>
      </c>
      <c r="M413" s="25" t="s">
        <v>27</v>
      </c>
      <c r="N413" s="25">
        <v>88.3</v>
      </c>
      <c r="O413" s="25">
        <v>247</v>
      </c>
      <c r="P413" s="25">
        <v>0</v>
      </c>
    </row>
    <row r="414" spans="1:16" ht="30" customHeight="1" x14ac:dyDescent="0.25">
      <c r="A414" s="26">
        <v>45458.499756944446</v>
      </c>
      <c r="B414" s="25" t="s">
        <v>64</v>
      </c>
      <c r="C414" s="25" t="s">
        <v>860</v>
      </c>
      <c r="D414" s="25" t="s">
        <v>861</v>
      </c>
      <c r="E414" s="25">
        <v>450</v>
      </c>
      <c r="F414" s="25" t="s">
        <v>19</v>
      </c>
      <c r="G414" s="25">
        <v>18.7</v>
      </c>
      <c r="H414" s="25">
        <v>56.4</v>
      </c>
      <c r="I414" s="25" t="s">
        <v>20</v>
      </c>
      <c r="J414" s="25">
        <v>12</v>
      </c>
      <c r="K414" s="25">
        <v>140</v>
      </c>
      <c r="L414" s="25">
        <v>8</v>
      </c>
      <c r="M414" s="25" t="s">
        <v>51</v>
      </c>
      <c r="N414" s="25">
        <v>61.9</v>
      </c>
      <c r="O414" s="25">
        <v>160</v>
      </c>
      <c r="P414" s="25">
        <v>1</v>
      </c>
    </row>
    <row r="415" spans="1:16" x14ac:dyDescent="0.25">
      <c r="A415" s="26">
        <v>45513.125393518516</v>
      </c>
      <c r="B415" s="25" t="s">
        <v>48</v>
      </c>
      <c r="C415" s="25" t="s">
        <v>862</v>
      </c>
      <c r="D415" s="25" t="s">
        <v>863</v>
      </c>
      <c r="E415" s="25">
        <v>451</v>
      </c>
      <c r="F415" s="25" t="s">
        <v>34</v>
      </c>
      <c r="G415" s="25">
        <v>22.5</v>
      </c>
      <c r="H415" s="25">
        <v>51.6</v>
      </c>
      <c r="I415" s="25" t="s">
        <v>20</v>
      </c>
      <c r="J415" s="25">
        <v>28</v>
      </c>
      <c r="K415" s="25">
        <v>421</v>
      </c>
      <c r="L415" s="25">
        <v>6</v>
      </c>
      <c r="M415" s="25" t="s">
        <v>21</v>
      </c>
      <c r="N415" s="25">
        <v>68.8</v>
      </c>
      <c r="O415" s="25">
        <v>107</v>
      </c>
      <c r="P415" s="25">
        <v>0</v>
      </c>
    </row>
    <row r="416" spans="1:16" x14ac:dyDescent="0.25">
      <c r="A416" s="26">
        <v>45495.039120370369</v>
      </c>
      <c r="B416" s="25" t="s">
        <v>41</v>
      </c>
      <c r="C416" s="25" t="s">
        <v>864</v>
      </c>
      <c r="D416" s="25" t="s">
        <v>865</v>
      </c>
      <c r="E416" s="25">
        <v>425</v>
      </c>
      <c r="F416" s="25" t="s">
        <v>19</v>
      </c>
      <c r="G416" s="25">
        <v>22.4</v>
      </c>
      <c r="H416" s="25">
        <v>65.900000000000006</v>
      </c>
      <c r="I416" s="25" t="s">
        <v>38</v>
      </c>
      <c r="J416" s="25">
        <v>30</v>
      </c>
      <c r="K416" s="25">
        <v>452</v>
      </c>
      <c r="L416" s="25">
        <v>10</v>
      </c>
      <c r="M416" s="25" t="s">
        <v>35</v>
      </c>
      <c r="N416" s="25">
        <v>91.4</v>
      </c>
      <c r="O416" s="25">
        <v>163</v>
      </c>
      <c r="P416" s="25">
        <v>1</v>
      </c>
    </row>
    <row r="417" spans="1:16" ht="30" customHeight="1" x14ac:dyDescent="0.25">
      <c r="A417" s="26">
        <v>45521.317384259259</v>
      </c>
      <c r="B417" s="25" t="s">
        <v>56</v>
      </c>
      <c r="C417" s="25" t="s">
        <v>866</v>
      </c>
      <c r="D417" s="25" t="s">
        <v>867</v>
      </c>
      <c r="E417" s="25">
        <v>235</v>
      </c>
      <c r="F417" s="25" t="s">
        <v>34</v>
      </c>
      <c r="G417" s="25">
        <v>25.8</v>
      </c>
      <c r="H417" s="25">
        <v>62.6</v>
      </c>
      <c r="I417" s="25" t="s">
        <v>26</v>
      </c>
      <c r="J417" s="25">
        <v>51</v>
      </c>
      <c r="K417" s="25">
        <v>171</v>
      </c>
      <c r="L417" s="25">
        <v>6</v>
      </c>
      <c r="M417" s="25" t="s">
        <v>51</v>
      </c>
      <c r="N417" s="25">
        <v>87.5</v>
      </c>
      <c r="O417" s="25">
        <v>207</v>
      </c>
      <c r="P417" s="25">
        <v>1</v>
      </c>
    </row>
    <row r="418" spans="1:16" x14ac:dyDescent="0.25">
      <c r="A418" s="26">
        <v>45637.991319444445</v>
      </c>
      <c r="B418" s="25" t="s">
        <v>16</v>
      </c>
      <c r="C418" s="25" t="s">
        <v>868</v>
      </c>
      <c r="D418" s="25" t="s">
        <v>869</v>
      </c>
      <c r="E418" s="25">
        <v>181</v>
      </c>
      <c r="F418" s="25" t="s">
        <v>25</v>
      </c>
      <c r="G418" s="25">
        <v>29.7</v>
      </c>
      <c r="H418" s="25">
        <v>51.8</v>
      </c>
      <c r="I418" s="25" t="s">
        <v>38</v>
      </c>
      <c r="J418" s="25">
        <v>38</v>
      </c>
      <c r="K418" s="25">
        <v>388</v>
      </c>
      <c r="L418" s="25">
        <v>10</v>
      </c>
      <c r="M418" s="25" t="s">
        <v>21</v>
      </c>
      <c r="N418" s="25">
        <v>92.4</v>
      </c>
      <c r="O418" s="25">
        <v>292</v>
      </c>
      <c r="P418" s="25">
        <v>0</v>
      </c>
    </row>
    <row r="419" spans="1:16" x14ac:dyDescent="0.25">
      <c r="A419" s="26">
        <v>45547.004618055558</v>
      </c>
      <c r="B419" s="25" t="s">
        <v>61</v>
      </c>
      <c r="C419" s="25" t="s">
        <v>870</v>
      </c>
      <c r="D419" s="25" t="s">
        <v>871</v>
      </c>
      <c r="E419" s="25">
        <v>370</v>
      </c>
      <c r="F419" s="25" t="s">
        <v>34</v>
      </c>
      <c r="G419" s="25">
        <v>23.5</v>
      </c>
      <c r="H419" s="25">
        <v>74.400000000000006</v>
      </c>
      <c r="I419" s="25" t="s">
        <v>26</v>
      </c>
      <c r="J419" s="25">
        <v>60</v>
      </c>
      <c r="K419" s="25">
        <v>105</v>
      </c>
      <c r="L419" s="25">
        <v>1</v>
      </c>
      <c r="M419" s="25" t="s">
        <v>21</v>
      </c>
      <c r="N419" s="25">
        <v>99.5</v>
      </c>
      <c r="O419" s="25">
        <v>128</v>
      </c>
      <c r="P419" s="25">
        <v>1</v>
      </c>
    </row>
    <row r="420" spans="1:16" x14ac:dyDescent="0.25">
      <c r="A420" s="26">
        <v>45481.588530092595</v>
      </c>
      <c r="B420" s="25" t="s">
        <v>61</v>
      </c>
      <c r="C420" s="25" t="s">
        <v>872</v>
      </c>
      <c r="D420" s="25" t="s">
        <v>873</v>
      </c>
      <c r="E420" s="25">
        <v>102</v>
      </c>
      <c r="F420" s="25" t="s">
        <v>19</v>
      </c>
      <c r="G420" s="25">
        <v>25.6</v>
      </c>
      <c r="H420" s="25">
        <v>76</v>
      </c>
      <c r="I420" s="25" t="s">
        <v>26</v>
      </c>
      <c r="J420" s="25">
        <v>50</v>
      </c>
      <c r="K420" s="25">
        <v>444</v>
      </c>
      <c r="L420" s="25">
        <v>9</v>
      </c>
      <c r="M420" s="25" t="s">
        <v>35</v>
      </c>
      <c r="N420" s="25">
        <v>88.3</v>
      </c>
      <c r="O420" s="25">
        <v>105</v>
      </c>
      <c r="P420" s="25">
        <v>1</v>
      </c>
    </row>
    <row r="421" spans="1:16" x14ac:dyDescent="0.25">
      <c r="A421" s="26">
        <v>45357.551793981482</v>
      </c>
      <c r="B421" s="25" t="s">
        <v>61</v>
      </c>
      <c r="C421" s="25" t="s">
        <v>874</v>
      </c>
      <c r="D421" s="25" t="s">
        <v>875</v>
      </c>
      <c r="E421" s="25">
        <v>200</v>
      </c>
      <c r="F421" s="25" t="s">
        <v>34</v>
      </c>
      <c r="G421" s="25">
        <v>18.5</v>
      </c>
      <c r="H421" s="25">
        <v>77.7</v>
      </c>
      <c r="I421" s="25" t="s">
        <v>20</v>
      </c>
      <c r="J421" s="25">
        <v>24</v>
      </c>
      <c r="K421" s="25">
        <v>158</v>
      </c>
      <c r="L421" s="25">
        <v>4</v>
      </c>
      <c r="M421" s="25" t="s">
        <v>21</v>
      </c>
      <c r="N421" s="25">
        <v>82.5</v>
      </c>
      <c r="O421" s="25">
        <v>234</v>
      </c>
      <c r="P421" s="25">
        <v>0</v>
      </c>
    </row>
    <row r="422" spans="1:16" ht="30" customHeight="1" x14ac:dyDescent="0.25">
      <c r="A422" s="26">
        <v>45595.20517361111</v>
      </c>
      <c r="B422" s="25" t="s">
        <v>22</v>
      </c>
      <c r="C422" s="25" t="s">
        <v>876</v>
      </c>
      <c r="D422" s="25" t="s">
        <v>877</v>
      </c>
      <c r="E422" s="25">
        <v>292</v>
      </c>
      <c r="F422" s="25" t="s">
        <v>25</v>
      </c>
      <c r="G422" s="25">
        <v>23.2</v>
      </c>
      <c r="H422" s="25">
        <v>68.099999999999994</v>
      </c>
      <c r="I422" s="25" t="s">
        <v>26</v>
      </c>
      <c r="J422" s="25">
        <v>41</v>
      </c>
      <c r="K422" s="25">
        <v>440</v>
      </c>
      <c r="L422" s="25">
        <v>10</v>
      </c>
      <c r="M422" s="25" t="s">
        <v>51</v>
      </c>
      <c r="N422" s="25">
        <v>88.9</v>
      </c>
      <c r="O422" s="25">
        <v>160</v>
      </c>
      <c r="P422" s="25">
        <v>1</v>
      </c>
    </row>
    <row r="423" spans="1:16" x14ac:dyDescent="0.25">
      <c r="A423" s="26">
        <v>45572.454629629632</v>
      </c>
      <c r="B423" s="25" t="s">
        <v>64</v>
      </c>
      <c r="C423" s="25" t="s">
        <v>878</v>
      </c>
      <c r="D423" s="25" t="s">
        <v>879</v>
      </c>
      <c r="E423" s="25">
        <v>401</v>
      </c>
      <c r="F423" s="25" t="s">
        <v>25</v>
      </c>
      <c r="G423" s="25">
        <v>28.2</v>
      </c>
      <c r="H423" s="25">
        <v>51</v>
      </c>
      <c r="I423" s="25" t="s">
        <v>38</v>
      </c>
      <c r="J423" s="25">
        <v>51</v>
      </c>
      <c r="K423" s="25">
        <v>327</v>
      </c>
      <c r="L423" s="25">
        <v>3</v>
      </c>
      <c r="M423" s="25" t="s">
        <v>21</v>
      </c>
      <c r="N423" s="25">
        <v>85.6</v>
      </c>
      <c r="O423" s="25">
        <v>138</v>
      </c>
      <c r="P423" s="25">
        <v>0</v>
      </c>
    </row>
    <row r="424" spans="1:16" ht="30" customHeight="1" x14ac:dyDescent="0.25">
      <c r="A424" s="26">
        <v>45449.953252314815</v>
      </c>
      <c r="B424" s="25" t="s">
        <v>61</v>
      </c>
      <c r="C424" s="25" t="s">
        <v>880</v>
      </c>
      <c r="D424" s="25" t="s">
        <v>881</v>
      </c>
      <c r="E424" s="25">
        <v>305</v>
      </c>
      <c r="F424" s="25" t="s">
        <v>19</v>
      </c>
      <c r="G424" s="25">
        <v>27.4</v>
      </c>
      <c r="H424" s="25">
        <v>50.8</v>
      </c>
      <c r="I424" s="25" t="s">
        <v>38</v>
      </c>
      <c r="J424" s="25">
        <v>34</v>
      </c>
      <c r="K424" s="25">
        <v>474</v>
      </c>
      <c r="L424" s="25">
        <v>1</v>
      </c>
      <c r="M424" s="25" t="s">
        <v>51</v>
      </c>
      <c r="N424" s="25">
        <v>82</v>
      </c>
      <c r="O424" s="25">
        <v>226</v>
      </c>
      <c r="P424" s="25">
        <v>1</v>
      </c>
    </row>
    <row r="425" spans="1:16" x14ac:dyDescent="0.25">
      <c r="A425" s="26">
        <v>45402.010115740741</v>
      </c>
      <c r="B425" s="25" t="s">
        <v>61</v>
      </c>
      <c r="C425" s="25" t="s">
        <v>882</v>
      </c>
      <c r="D425" s="25" t="s">
        <v>883</v>
      </c>
      <c r="E425" s="25">
        <v>441</v>
      </c>
      <c r="F425" s="25" t="s">
        <v>25</v>
      </c>
      <c r="G425" s="25">
        <v>25</v>
      </c>
      <c r="H425" s="25">
        <v>75.400000000000006</v>
      </c>
      <c r="I425" s="25" t="s">
        <v>26</v>
      </c>
      <c r="J425" s="25">
        <v>58</v>
      </c>
      <c r="K425" s="25">
        <v>149</v>
      </c>
      <c r="L425" s="25">
        <v>10</v>
      </c>
      <c r="M425" s="25" t="s">
        <v>35</v>
      </c>
      <c r="N425" s="25">
        <v>61.3</v>
      </c>
      <c r="O425" s="25">
        <v>247</v>
      </c>
      <c r="P425" s="25">
        <v>1</v>
      </c>
    </row>
    <row r="426" spans="1:16" x14ac:dyDescent="0.25">
      <c r="A426" s="26">
        <v>45506.007569444446</v>
      </c>
      <c r="B426" s="25" t="s">
        <v>48</v>
      </c>
      <c r="C426" s="25" t="s">
        <v>884</v>
      </c>
      <c r="D426" s="25" t="s">
        <v>885</v>
      </c>
      <c r="E426" s="25">
        <v>130</v>
      </c>
      <c r="F426" s="25" t="s">
        <v>19</v>
      </c>
      <c r="G426" s="25">
        <v>18.7</v>
      </c>
      <c r="H426" s="25">
        <v>67.2</v>
      </c>
      <c r="I426" s="25" t="s">
        <v>38</v>
      </c>
      <c r="J426" s="25">
        <v>47</v>
      </c>
      <c r="K426" s="25">
        <v>367</v>
      </c>
      <c r="L426" s="25">
        <v>1</v>
      </c>
      <c r="M426" s="25" t="s">
        <v>35</v>
      </c>
      <c r="N426" s="25">
        <v>81.7</v>
      </c>
      <c r="O426" s="25">
        <v>131</v>
      </c>
      <c r="P426" s="25">
        <v>1</v>
      </c>
    </row>
    <row r="427" spans="1:16" ht="30" customHeight="1" x14ac:dyDescent="0.25">
      <c r="A427" s="26">
        <v>45568.120868055557</v>
      </c>
      <c r="B427" s="25" t="s">
        <v>22</v>
      </c>
      <c r="C427" s="25" t="s">
        <v>886</v>
      </c>
      <c r="D427" s="25" t="s">
        <v>887</v>
      </c>
      <c r="E427" s="25">
        <v>265</v>
      </c>
      <c r="F427" s="25" t="s">
        <v>25</v>
      </c>
      <c r="G427" s="25">
        <v>23.4</v>
      </c>
      <c r="H427" s="25">
        <v>56.1</v>
      </c>
      <c r="I427" s="25" t="s">
        <v>20</v>
      </c>
      <c r="J427" s="25">
        <v>34</v>
      </c>
      <c r="K427" s="25">
        <v>406</v>
      </c>
      <c r="L427" s="25">
        <v>6</v>
      </c>
      <c r="M427" s="25" t="s">
        <v>51</v>
      </c>
      <c r="N427" s="25">
        <v>95</v>
      </c>
      <c r="O427" s="25">
        <v>133</v>
      </c>
      <c r="P427" s="25">
        <v>0</v>
      </c>
    </row>
    <row r="428" spans="1:16" x14ac:dyDescent="0.25">
      <c r="A428" s="26">
        <v>45558.942928240744</v>
      </c>
      <c r="B428" s="25" t="s">
        <v>95</v>
      </c>
      <c r="C428" s="25" t="s">
        <v>888</v>
      </c>
      <c r="D428" s="25" t="s">
        <v>889</v>
      </c>
      <c r="E428" s="25">
        <v>426</v>
      </c>
      <c r="F428" s="25" t="s">
        <v>34</v>
      </c>
      <c r="G428" s="25">
        <v>26.3</v>
      </c>
      <c r="H428" s="25">
        <v>77.7</v>
      </c>
      <c r="I428" s="25" t="s">
        <v>20</v>
      </c>
      <c r="J428" s="25">
        <v>58</v>
      </c>
      <c r="K428" s="25">
        <v>373</v>
      </c>
      <c r="L428" s="25">
        <v>6</v>
      </c>
      <c r="M428" s="25" t="s">
        <v>35</v>
      </c>
      <c r="N428" s="25">
        <v>93</v>
      </c>
      <c r="O428" s="25">
        <v>125</v>
      </c>
      <c r="P428" s="25">
        <v>0</v>
      </c>
    </row>
    <row r="429" spans="1:16" x14ac:dyDescent="0.25">
      <c r="A429" s="26">
        <v>45339.674560185187</v>
      </c>
      <c r="B429" s="25" t="s">
        <v>22</v>
      </c>
      <c r="C429" s="25" t="s">
        <v>890</v>
      </c>
      <c r="D429" s="25" t="s">
        <v>891</v>
      </c>
      <c r="E429" s="25">
        <v>432</v>
      </c>
      <c r="F429" s="25" t="s">
        <v>25</v>
      </c>
      <c r="G429" s="25">
        <v>28</v>
      </c>
      <c r="H429" s="25">
        <v>65.2</v>
      </c>
      <c r="I429" s="25" t="s">
        <v>26</v>
      </c>
      <c r="J429" s="25">
        <v>35</v>
      </c>
      <c r="K429" s="25">
        <v>499</v>
      </c>
      <c r="L429" s="25">
        <v>8</v>
      </c>
      <c r="M429" s="25" t="s">
        <v>27</v>
      </c>
      <c r="N429" s="25">
        <v>97.4</v>
      </c>
      <c r="O429" s="25">
        <v>110</v>
      </c>
      <c r="P429" s="25">
        <v>1</v>
      </c>
    </row>
    <row r="430" spans="1:16" x14ac:dyDescent="0.25">
      <c r="A430" s="26">
        <v>45619.194745370369</v>
      </c>
      <c r="B430" s="25" t="s">
        <v>48</v>
      </c>
      <c r="C430" s="25" t="s">
        <v>892</v>
      </c>
      <c r="D430" s="25" t="s">
        <v>893</v>
      </c>
      <c r="E430" s="25">
        <v>406</v>
      </c>
      <c r="F430" s="25" t="s">
        <v>19</v>
      </c>
      <c r="G430" s="25">
        <v>20.9</v>
      </c>
      <c r="H430" s="25">
        <v>76.400000000000006</v>
      </c>
      <c r="I430" s="25" t="s">
        <v>20</v>
      </c>
      <c r="J430" s="25">
        <v>57</v>
      </c>
      <c r="K430" s="25">
        <v>160</v>
      </c>
      <c r="L430" s="25">
        <v>9</v>
      </c>
      <c r="M430" s="25" t="s">
        <v>21</v>
      </c>
      <c r="N430" s="25">
        <v>73.3</v>
      </c>
      <c r="O430" s="25">
        <v>120</v>
      </c>
      <c r="P430" s="25">
        <v>1</v>
      </c>
    </row>
    <row r="431" spans="1:16" x14ac:dyDescent="0.25">
      <c r="A431" s="26">
        <v>45302.846689814818</v>
      </c>
      <c r="B431" s="25" t="s">
        <v>28</v>
      </c>
      <c r="C431" s="25" t="s">
        <v>894</v>
      </c>
      <c r="D431" s="25" t="s">
        <v>895</v>
      </c>
      <c r="E431" s="25">
        <v>410</v>
      </c>
      <c r="F431" s="25" t="s">
        <v>25</v>
      </c>
      <c r="G431" s="25">
        <v>24.5</v>
      </c>
      <c r="H431" s="25">
        <v>62.4</v>
      </c>
      <c r="I431" s="25" t="s">
        <v>38</v>
      </c>
      <c r="J431" s="25">
        <v>40</v>
      </c>
      <c r="K431" s="25">
        <v>172</v>
      </c>
      <c r="L431" s="25">
        <v>5</v>
      </c>
      <c r="M431" s="25" t="s">
        <v>21</v>
      </c>
      <c r="N431" s="25">
        <v>86.2</v>
      </c>
      <c r="O431" s="25">
        <v>225</v>
      </c>
      <c r="P431" s="25">
        <v>0</v>
      </c>
    </row>
    <row r="432" spans="1:16" x14ac:dyDescent="0.25">
      <c r="A432" s="26">
        <v>45593.095393518517</v>
      </c>
      <c r="B432" s="25" t="s">
        <v>64</v>
      </c>
      <c r="C432" s="25" t="s">
        <v>896</v>
      </c>
      <c r="D432" s="25" t="s">
        <v>897</v>
      </c>
      <c r="E432" s="25">
        <v>155</v>
      </c>
      <c r="F432" s="25" t="s">
        <v>25</v>
      </c>
      <c r="G432" s="25">
        <v>22.6</v>
      </c>
      <c r="H432" s="25">
        <v>77.099999999999994</v>
      </c>
      <c r="I432" s="25" t="s">
        <v>20</v>
      </c>
      <c r="J432" s="25">
        <v>13</v>
      </c>
      <c r="K432" s="25">
        <v>196</v>
      </c>
      <c r="L432" s="25">
        <v>7</v>
      </c>
      <c r="M432" s="25" t="s">
        <v>21</v>
      </c>
      <c r="N432" s="25">
        <v>83.2</v>
      </c>
      <c r="O432" s="25">
        <v>168</v>
      </c>
      <c r="P432" s="25">
        <v>0</v>
      </c>
    </row>
    <row r="433" spans="1:16" ht="30" customHeight="1" x14ac:dyDescent="0.25">
      <c r="A433" s="26">
        <v>45652.211944444447</v>
      </c>
      <c r="B433" s="25" t="s">
        <v>61</v>
      </c>
      <c r="C433" s="25" t="s">
        <v>898</v>
      </c>
      <c r="D433" s="25" t="s">
        <v>899</v>
      </c>
      <c r="E433" s="25">
        <v>397</v>
      </c>
      <c r="F433" s="25" t="s">
        <v>34</v>
      </c>
      <c r="G433" s="25">
        <v>23.7</v>
      </c>
      <c r="H433" s="25">
        <v>73.5</v>
      </c>
      <c r="I433" s="25" t="s">
        <v>20</v>
      </c>
      <c r="J433" s="25">
        <v>31</v>
      </c>
      <c r="K433" s="25">
        <v>266</v>
      </c>
      <c r="L433" s="25">
        <v>1</v>
      </c>
      <c r="M433" s="25" t="s">
        <v>51</v>
      </c>
      <c r="N433" s="25">
        <v>92.8</v>
      </c>
      <c r="O433" s="25">
        <v>265</v>
      </c>
      <c r="P433" s="25">
        <v>0</v>
      </c>
    </row>
    <row r="434" spans="1:16" x14ac:dyDescent="0.25">
      <c r="A434" s="26">
        <v>45379.433703703704</v>
      </c>
      <c r="B434" s="25" t="s">
        <v>64</v>
      </c>
      <c r="C434" s="25" t="s">
        <v>900</v>
      </c>
      <c r="D434" s="25" t="s">
        <v>901</v>
      </c>
      <c r="E434" s="25">
        <v>305</v>
      </c>
      <c r="F434" s="25" t="s">
        <v>34</v>
      </c>
      <c r="G434" s="25">
        <v>28</v>
      </c>
      <c r="H434" s="25">
        <v>67.8</v>
      </c>
      <c r="I434" s="25" t="s">
        <v>20</v>
      </c>
      <c r="J434" s="25">
        <v>13</v>
      </c>
      <c r="K434" s="25">
        <v>455</v>
      </c>
      <c r="L434" s="25">
        <v>2</v>
      </c>
      <c r="M434" s="25" t="s">
        <v>27</v>
      </c>
      <c r="N434" s="25">
        <v>80.8</v>
      </c>
      <c r="O434" s="25">
        <v>147</v>
      </c>
      <c r="P434" s="25">
        <v>0</v>
      </c>
    </row>
    <row r="435" spans="1:16" x14ac:dyDescent="0.25">
      <c r="A435" s="26">
        <v>45398.114386574074</v>
      </c>
      <c r="B435" s="25" t="s">
        <v>48</v>
      </c>
      <c r="C435" s="25" t="s">
        <v>902</v>
      </c>
      <c r="D435" s="25" t="s">
        <v>903</v>
      </c>
      <c r="E435" s="25">
        <v>343</v>
      </c>
      <c r="F435" s="25" t="s">
        <v>19</v>
      </c>
      <c r="G435" s="25">
        <v>26.2</v>
      </c>
      <c r="H435" s="25">
        <v>62.4</v>
      </c>
      <c r="I435" s="25" t="s">
        <v>20</v>
      </c>
      <c r="J435" s="25">
        <v>18</v>
      </c>
      <c r="K435" s="25">
        <v>166</v>
      </c>
      <c r="L435" s="25">
        <v>7</v>
      </c>
      <c r="M435" s="25" t="s">
        <v>27</v>
      </c>
      <c r="N435" s="25">
        <v>62.3</v>
      </c>
      <c r="O435" s="25">
        <v>168</v>
      </c>
      <c r="P435" s="25">
        <v>1</v>
      </c>
    </row>
    <row r="436" spans="1:16" x14ac:dyDescent="0.25">
      <c r="A436" s="26">
        <v>45634.260740740741</v>
      </c>
      <c r="B436" s="25" t="s">
        <v>22</v>
      </c>
      <c r="C436" s="25" t="s">
        <v>904</v>
      </c>
      <c r="D436" s="25" t="s">
        <v>905</v>
      </c>
      <c r="E436" s="25">
        <v>342</v>
      </c>
      <c r="F436" s="25" t="s">
        <v>25</v>
      </c>
      <c r="G436" s="25">
        <v>27.6</v>
      </c>
      <c r="H436" s="25">
        <v>71.900000000000006</v>
      </c>
      <c r="I436" s="25" t="s">
        <v>20</v>
      </c>
      <c r="J436" s="25">
        <v>24</v>
      </c>
      <c r="K436" s="25">
        <v>216</v>
      </c>
      <c r="L436" s="25">
        <v>2</v>
      </c>
      <c r="M436" s="25" t="s">
        <v>35</v>
      </c>
      <c r="N436" s="25">
        <v>67.5</v>
      </c>
      <c r="O436" s="25">
        <v>225</v>
      </c>
      <c r="P436" s="25">
        <v>0</v>
      </c>
    </row>
    <row r="437" spans="1:16" ht="30" customHeight="1" x14ac:dyDescent="0.25">
      <c r="A437" s="26">
        <v>45540.738842592589</v>
      </c>
      <c r="B437" s="25" t="s">
        <v>61</v>
      </c>
      <c r="C437" s="25" t="s">
        <v>906</v>
      </c>
      <c r="D437" s="25" t="s">
        <v>907</v>
      </c>
      <c r="E437" s="25">
        <v>347</v>
      </c>
      <c r="F437" s="25" t="s">
        <v>25</v>
      </c>
      <c r="G437" s="25">
        <v>29.1</v>
      </c>
      <c r="H437" s="25">
        <v>80</v>
      </c>
      <c r="I437" s="25" t="s">
        <v>26</v>
      </c>
      <c r="J437" s="25">
        <v>25</v>
      </c>
      <c r="K437" s="25">
        <v>256</v>
      </c>
      <c r="L437" s="25">
        <v>3</v>
      </c>
      <c r="M437" s="25" t="s">
        <v>51</v>
      </c>
      <c r="N437" s="25">
        <v>69.599999999999994</v>
      </c>
      <c r="O437" s="25">
        <v>274</v>
      </c>
      <c r="P437" s="25">
        <v>1</v>
      </c>
    </row>
    <row r="438" spans="1:16" ht="30" customHeight="1" x14ac:dyDescent="0.25">
      <c r="A438" s="26">
        <v>45324.933541666665</v>
      </c>
      <c r="B438" s="25" t="s">
        <v>61</v>
      </c>
      <c r="C438" s="25" t="s">
        <v>908</v>
      </c>
      <c r="D438" s="25" t="s">
        <v>909</v>
      </c>
      <c r="E438" s="25">
        <v>403</v>
      </c>
      <c r="F438" s="25" t="s">
        <v>34</v>
      </c>
      <c r="G438" s="25">
        <v>29.5</v>
      </c>
      <c r="H438" s="25">
        <v>76.599999999999994</v>
      </c>
      <c r="I438" s="25" t="s">
        <v>26</v>
      </c>
      <c r="J438" s="25">
        <v>36</v>
      </c>
      <c r="K438" s="25">
        <v>379</v>
      </c>
      <c r="L438" s="25">
        <v>2</v>
      </c>
      <c r="M438" s="25" t="s">
        <v>51</v>
      </c>
      <c r="N438" s="25">
        <v>66.7</v>
      </c>
      <c r="O438" s="25">
        <v>242</v>
      </c>
      <c r="P438" s="25">
        <v>1</v>
      </c>
    </row>
    <row r="439" spans="1:16" x14ac:dyDescent="0.25">
      <c r="A439" s="26">
        <v>45412.780694444446</v>
      </c>
      <c r="B439" s="25" t="s">
        <v>31</v>
      </c>
      <c r="C439" s="25" t="s">
        <v>910</v>
      </c>
      <c r="D439" s="25" t="s">
        <v>911</v>
      </c>
      <c r="E439" s="25">
        <v>482</v>
      </c>
      <c r="F439" s="25" t="s">
        <v>19</v>
      </c>
      <c r="G439" s="25">
        <v>18.100000000000001</v>
      </c>
      <c r="H439" s="25">
        <v>76.099999999999994</v>
      </c>
      <c r="I439" s="25" t="s">
        <v>26</v>
      </c>
      <c r="J439" s="25">
        <v>54</v>
      </c>
      <c r="K439" s="25">
        <v>203</v>
      </c>
      <c r="L439" s="25">
        <v>10</v>
      </c>
      <c r="M439" s="25" t="s">
        <v>35</v>
      </c>
      <c r="N439" s="25">
        <v>74.099999999999994</v>
      </c>
      <c r="O439" s="25">
        <v>112</v>
      </c>
      <c r="P439" s="25">
        <v>1</v>
      </c>
    </row>
    <row r="440" spans="1:16" x14ac:dyDescent="0.25">
      <c r="A440" s="26">
        <v>45413.13422453704</v>
      </c>
      <c r="B440" s="25" t="s">
        <v>61</v>
      </c>
      <c r="C440" s="25" t="s">
        <v>912</v>
      </c>
      <c r="D440" s="25" t="s">
        <v>913</v>
      </c>
      <c r="E440" s="25">
        <v>130</v>
      </c>
      <c r="F440" s="25" t="s">
        <v>34</v>
      </c>
      <c r="G440" s="25">
        <v>21.6</v>
      </c>
      <c r="H440" s="25">
        <v>60.9</v>
      </c>
      <c r="I440" s="25" t="s">
        <v>38</v>
      </c>
      <c r="J440" s="25">
        <v>48</v>
      </c>
      <c r="K440" s="25">
        <v>479</v>
      </c>
      <c r="L440" s="25">
        <v>8</v>
      </c>
      <c r="M440" s="25" t="s">
        <v>35</v>
      </c>
      <c r="N440" s="25">
        <v>83.3</v>
      </c>
      <c r="O440" s="25">
        <v>173</v>
      </c>
      <c r="P440" s="25">
        <v>0</v>
      </c>
    </row>
    <row r="441" spans="1:16" x14ac:dyDescent="0.25">
      <c r="A441" s="26">
        <v>45301.835046296299</v>
      </c>
      <c r="B441" s="25" t="s">
        <v>95</v>
      </c>
      <c r="C441" s="25" t="s">
        <v>914</v>
      </c>
      <c r="D441" s="25" t="s">
        <v>915</v>
      </c>
      <c r="E441" s="25">
        <v>465</v>
      </c>
      <c r="F441" s="25" t="s">
        <v>19</v>
      </c>
      <c r="G441" s="25">
        <v>24</v>
      </c>
      <c r="H441" s="25">
        <v>72.400000000000006</v>
      </c>
      <c r="I441" s="25" t="s">
        <v>26</v>
      </c>
      <c r="J441" s="25">
        <v>48</v>
      </c>
      <c r="K441" s="25">
        <v>112</v>
      </c>
      <c r="L441" s="25">
        <v>8</v>
      </c>
      <c r="M441" s="25" t="s">
        <v>21</v>
      </c>
      <c r="N441" s="25">
        <v>97.1</v>
      </c>
      <c r="O441" s="25">
        <v>212</v>
      </c>
      <c r="P441" s="25">
        <v>1</v>
      </c>
    </row>
    <row r="442" spans="1:16" x14ac:dyDescent="0.25">
      <c r="A442" s="26">
        <v>45586.46912037037</v>
      </c>
      <c r="B442" s="25" t="s">
        <v>48</v>
      </c>
      <c r="C442" s="25" t="s">
        <v>916</v>
      </c>
      <c r="D442" s="25" t="s">
        <v>917</v>
      </c>
      <c r="E442" s="25">
        <v>322</v>
      </c>
      <c r="F442" s="25" t="s">
        <v>19</v>
      </c>
      <c r="G442" s="25">
        <v>26.1</v>
      </c>
      <c r="H442" s="25">
        <v>71.900000000000006</v>
      </c>
      <c r="I442" s="25" t="s">
        <v>20</v>
      </c>
      <c r="J442" s="25">
        <v>45</v>
      </c>
      <c r="K442" s="25">
        <v>339</v>
      </c>
      <c r="L442" s="25">
        <v>8</v>
      </c>
      <c r="M442" s="25" t="s">
        <v>27</v>
      </c>
      <c r="N442" s="25">
        <v>97.6</v>
      </c>
      <c r="O442" s="25">
        <v>145</v>
      </c>
      <c r="P442" s="25">
        <v>1</v>
      </c>
    </row>
    <row r="443" spans="1:16" ht="30" customHeight="1" x14ac:dyDescent="0.25">
      <c r="A443" s="26">
        <v>45621.12427083333</v>
      </c>
      <c r="B443" s="25" t="s">
        <v>95</v>
      </c>
      <c r="C443" s="25" t="s">
        <v>918</v>
      </c>
      <c r="D443" s="25" t="s">
        <v>919</v>
      </c>
      <c r="E443" s="25">
        <v>126</v>
      </c>
      <c r="F443" s="25" t="s">
        <v>34</v>
      </c>
      <c r="G443" s="25">
        <v>20.3</v>
      </c>
      <c r="H443" s="25">
        <v>51.2</v>
      </c>
      <c r="I443" s="25" t="s">
        <v>20</v>
      </c>
      <c r="J443" s="25">
        <v>53</v>
      </c>
      <c r="K443" s="25">
        <v>486</v>
      </c>
      <c r="L443" s="25">
        <v>7</v>
      </c>
      <c r="M443" s="25" t="s">
        <v>51</v>
      </c>
      <c r="N443" s="25">
        <v>97.5</v>
      </c>
      <c r="O443" s="25">
        <v>129</v>
      </c>
      <c r="P443" s="25">
        <v>0</v>
      </c>
    </row>
    <row r="444" spans="1:16" ht="30" customHeight="1" x14ac:dyDescent="0.25">
      <c r="A444" s="26">
        <v>45646.334293981483</v>
      </c>
      <c r="B444" s="25" t="s">
        <v>61</v>
      </c>
      <c r="C444" s="25" t="s">
        <v>920</v>
      </c>
      <c r="D444" s="25" t="s">
        <v>921</v>
      </c>
      <c r="E444" s="25">
        <v>142</v>
      </c>
      <c r="F444" s="25" t="s">
        <v>25</v>
      </c>
      <c r="G444" s="25">
        <v>22.7</v>
      </c>
      <c r="H444" s="25">
        <v>66.099999999999994</v>
      </c>
      <c r="I444" s="25" t="s">
        <v>20</v>
      </c>
      <c r="J444" s="25">
        <v>59</v>
      </c>
      <c r="K444" s="25">
        <v>343</v>
      </c>
      <c r="L444" s="25">
        <v>6</v>
      </c>
      <c r="M444" s="25" t="s">
        <v>51</v>
      </c>
      <c r="N444" s="25">
        <v>86.7</v>
      </c>
      <c r="O444" s="25">
        <v>256</v>
      </c>
      <c r="P444" s="25">
        <v>0</v>
      </c>
    </row>
    <row r="445" spans="1:16" x14ac:dyDescent="0.25">
      <c r="A445" s="26">
        <v>45472.796724537038</v>
      </c>
      <c r="B445" s="25" t="s">
        <v>31</v>
      </c>
      <c r="C445" s="25" t="s">
        <v>922</v>
      </c>
      <c r="D445" s="25" t="s">
        <v>923</v>
      </c>
      <c r="E445" s="25">
        <v>444</v>
      </c>
      <c r="F445" s="25" t="s">
        <v>34</v>
      </c>
      <c r="G445" s="25">
        <v>21.6</v>
      </c>
      <c r="H445" s="25">
        <v>53.2</v>
      </c>
      <c r="I445" s="25" t="s">
        <v>20</v>
      </c>
      <c r="J445" s="25">
        <v>16</v>
      </c>
      <c r="K445" s="25">
        <v>113</v>
      </c>
      <c r="L445" s="25">
        <v>2</v>
      </c>
      <c r="M445" s="25" t="s">
        <v>35</v>
      </c>
      <c r="N445" s="25">
        <v>96.1</v>
      </c>
      <c r="O445" s="25">
        <v>181</v>
      </c>
      <c r="P445" s="25">
        <v>0</v>
      </c>
    </row>
    <row r="446" spans="1:16" x14ac:dyDescent="0.25">
      <c r="A446" s="26">
        <v>45639.790219907409</v>
      </c>
      <c r="B446" s="25" t="s">
        <v>48</v>
      </c>
      <c r="C446" s="25" t="s">
        <v>924</v>
      </c>
      <c r="D446" s="25" t="s">
        <v>925</v>
      </c>
      <c r="E446" s="25">
        <v>100</v>
      </c>
      <c r="F446" s="25" t="s">
        <v>34</v>
      </c>
      <c r="G446" s="25">
        <v>22.4</v>
      </c>
      <c r="H446" s="25">
        <v>71.599999999999994</v>
      </c>
      <c r="I446" s="25" t="s">
        <v>20</v>
      </c>
      <c r="J446" s="25">
        <v>22</v>
      </c>
      <c r="K446" s="25">
        <v>389</v>
      </c>
      <c r="L446" s="25">
        <v>4</v>
      </c>
      <c r="M446" s="25" t="s">
        <v>35</v>
      </c>
      <c r="N446" s="25">
        <v>73.400000000000006</v>
      </c>
      <c r="O446" s="25">
        <v>159</v>
      </c>
      <c r="P446" s="25">
        <v>0</v>
      </c>
    </row>
    <row r="447" spans="1:16" x14ac:dyDescent="0.25">
      <c r="A447" s="26">
        <v>45616.225914351853</v>
      </c>
      <c r="B447" s="25" t="s">
        <v>61</v>
      </c>
      <c r="C447" s="25" t="s">
        <v>926</v>
      </c>
      <c r="D447" s="25" t="s">
        <v>927</v>
      </c>
      <c r="E447" s="25">
        <v>227</v>
      </c>
      <c r="F447" s="25" t="s">
        <v>25</v>
      </c>
      <c r="G447" s="25">
        <v>22.6</v>
      </c>
      <c r="H447" s="25">
        <v>58.5</v>
      </c>
      <c r="I447" s="25" t="s">
        <v>20</v>
      </c>
      <c r="J447" s="25">
        <v>24</v>
      </c>
      <c r="K447" s="25">
        <v>477</v>
      </c>
      <c r="L447" s="25">
        <v>10</v>
      </c>
      <c r="M447" s="25" t="s">
        <v>27</v>
      </c>
      <c r="N447" s="25">
        <v>89</v>
      </c>
      <c r="O447" s="25">
        <v>139</v>
      </c>
      <c r="P447" s="25">
        <v>0</v>
      </c>
    </row>
    <row r="448" spans="1:16" ht="30" customHeight="1" x14ac:dyDescent="0.25">
      <c r="A448" s="26">
        <v>45472.410578703704</v>
      </c>
      <c r="B448" s="25" t="s">
        <v>61</v>
      </c>
      <c r="C448" s="25" t="s">
        <v>928</v>
      </c>
      <c r="D448" s="25" t="s">
        <v>929</v>
      </c>
      <c r="E448" s="25">
        <v>416</v>
      </c>
      <c r="F448" s="25" t="s">
        <v>34</v>
      </c>
      <c r="G448" s="25">
        <v>20.7</v>
      </c>
      <c r="H448" s="25">
        <v>69.099999999999994</v>
      </c>
      <c r="I448" s="25" t="s">
        <v>20</v>
      </c>
      <c r="J448" s="25">
        <v>32</v>
      </c>
      <c r="K448" s="25">
        <v>139</v>
      </c>
      <c r="L448" s="25">
        <v>6</v>
      </c>
      <c r="M448" s="25" t="s">
        <v>51</v>
      </c>
      <c r="N448" s="25">
        <v>91.7</v>
      </c>
      <c r="O448" s="25">
        <v>221</v>
      </c>
      <c r="P448" s="25">
        <v>0</v>
      </c>
    </row>
    <row r="449" spans="1:16" x14ac:dyDescent="0.25">
      <c r="A449" s="26">
        <v>45648.981909722221</v>
      </c>
      <c r="B449" s="25" t="s">
        <v>61</v>
      </c>
      <c r="C449" s="25" t="s">
        <v>930</v>
      </c>
      <c r="D449" s="25" t="s">
        <v>931</v>
      </c>
      <c r="E449" s="25">
        <v>499</v>
      </c>
      <c r="F449" s="25" t="s">
        <v>19</v>
      </c>
      <c r="G449" s="25">
        <v>25.8</v>
      </c>
      <c r="H449" s="25">
        <v>64</v>
      </c>
      <c r="I449" s="25" t="s">
        <v>20</v>
      </c>
      <c r="J449" s="25">
        <v>46</v>
      </c>
      <c r="K449" s="25">
        <v>295</v>
      </c>
      <c r="L449" s="25">
        <v>6</v>
      </c>
      <c r="M449" s="25" t="s">
        <v>35</v>
      </c>
      <c r="N449" s="25">
        <v>87.6</v>
      </c>
      <c r="O449" s="25">
        <v>160</v>
      </c>
      <c r="P449" s="25">
        <v>1</v>
      </c>
    </row>
    <row r="450" spans="1:16" x14ac:dyDescent="0.25">
      <c r="A450" s="26">
        <v>45466.922581018516</v>
      </c>
      <c r="B450" s="25" t="s">
        <v>22</v>
      </c>
      <c r="C450" s="25" t="s">
        <v>932</v>
      </c>
      <c r="D450" s="25" t="s">
        <v>933</v>
      </c>
      <c r="E450" s="25">
        <v>328</v>
      </c>
      <c r="F450" s="25" t="s">
        <v>34</v>
      </c>
      <c r="G450" s="25">
        <v>29.8</v>
      </c>
      <c r="H450" s="25">
        <v>53.5</v>
      </c>
      <c r="I450" s="25" t="s">
        <v>38</v>
      </c>
      <c r="J450" s="25">
        <v>54</v>
      </c>
      <c r="K450" s="25">
        <v>144</v>
      </c>
      <c r="L450" s="25">
        <v>6</v>
      </c>
      <c r="M450" s="25" t="s">
        <v>27</v>
      </c>
      <c r="N450" s="25">
        <v>78</v>
      </c>
      <c r="O450" s="25">
        <v>158</v>
      </c>
      <c r="P450" s="25">
        <v>0</v>
      </c>
    </row>
    <row r="451" spans="1:16" x14ac:dyDescent="0.25">
      <c r="A451" s="26">
        <v>45380.218356481484</v>
      </c>
      <c r="B451" s="25" t="s">
        <v>95</v>
      </c>
      <c r="C451" s="25" t="s">
        <v>934</v>
      </c>
      <c r="D451" s="25" t="s">
        <v>935</v>
      </c>
      <c r="E451" s="25">
        <v>324</v>
      </c>
      <c r="F451" s="25" t="s">
        <v>34</v>
      </c>
      <c r="G451" s="25">
        <v>28.2</v>
      </c>
      <c r="H451" s="25">
        <v>56.8</v>
      </c>
      <c r="I451" s="25" t="s">
        <v>26</v>
      </c>
      <c r="J451" s="25">
        <v>10</v>
      </c>
      <c r="K451" s="25">
        <v>249</v>
      </c>
      <c r="L451" s="25">
        <v>7</v>
      </c>
      <c r="M451" s="25" t="s">
        <v>21</v>
      </c>
      <c r="N451" s="25">
        <v>76.7</v>
      </c>
      <c r="O451" s="25">
        <v>298</v>
      </c>
      <c r="P451" s="25">
        <v>1</v>
      </c>
    </row>
    <row r="452" spans="1:16" x14ac:dyDescent="0.25">
      <c r="A452" s="26">
        <v>45385.591157407405</v>
      </c>
      <c r="B452" s="25" t="s">
        <v>64</v>
      </c>
      <c r="C452" s="25" t="s">
        <v>936</v>
      </c>
      <c r="D452" s="25" t="s">
        <v>937</v>
      </c>
      <c r="E452" s="25">
        <v>401</v>
      </c>
      <c r="F452" s="25" t="s">
        <v>25</v>
      </c>
      <c r="G452" s="25">
        <v>26.3</v>
      </c>
      <c r="H452" s="25">
        <v>59.4</v>
      </c>
      <c r="I452" s="25" t="s">
        <v>26</v>
      </c>
      <c r="J452" s="25">
        <v>30</v>
      </c>
      <c r="K452" s="25">
        <v>268</v>
      </c>
      <c r="L452" s="25">
        <v>7</v>
      </c>
      <c r="M452" s="25" t="s">
        <v>21</v>
      </c>
      <c r="N452" s="25">
        <v>67.599999999999994</v>
      </c>
      <c r="O452" s="25">
        <v>225</v>
      </c>
      <c r="P452" s="25">
        <v>1</v>
      </c>
    </row>
    <row r="453" spans="1:16" x14ac:dyDescent="0.25">
      <c r="A453" s="26">
        <v>45641.585046296299</v>
      </c>
      <c r="B453" s="25" t="s">
        <v>95</v>
      </c>
      <c r="C453" s="25" t="s">
        <v>938</v>
      </c>
      <c r="D453" s="25" t="s">
        <v>939</v>
      </c>
      <c r="E453" s="25">
        <v>182</v>
      </c>
      <c r="F453" s="25" t="s">
        <v>19</v>
      </c>
      <c r="G453" s="25">
        <v>22.9</v>
      </c>
      <c r="H453" s="25">
        <v>54.4</v>
      </c>
      <c r="I453" s="25" t="s">
        <v>20</v>
      </c>
      <c r="J453" s="25">
        <v>50</v>
      </c>
      <c r="K453" s="25">
        <v>135</v>
      </c>
      <c r="L453" s="25">
        <v>3</v>
      </c>
      <c r="M453" s="25" t="s">
        <v>21</v>
      </c>
      <c r="N453" s="25">
        <v>98.4</v>
      </c>
      <c r="O453" s="25">
        <v>268</v>
      </c>
      <c r="P453" s="25">
        <v>1</v>
      </c>
    </row>
    <row r="454" spans="1:16" x14ac:dyDescent="0.25">
      <c r="A454" s="26">
        <v>45510.557847222219</v>
      </c>
      <c r="B454" s="25" t="s">
        <v>22</v>
      </c>
      <c r="C454" s="25" t="s">
        <v>940</v>
      </c>
      <c r="D454" s="25" t="s">
        <v>941</v>
      </c>
      <c r="E454" s="25">
        <v>264</v>
      </c>
      <c r="F454" s="25" t="s">
        <v>34</v>
      </c>
      <c r="G454" s="25">
        <v>29.5</v>
      </c>
      <c r="H454" s="25">
        <v>67.3</v>
      </c>
      <c r="I454" s="25" t="s">
        <v>26</v>
      </c>
      <c r="J454" s="25">
        <v>32</v>
      </c>
      <c r="K454" s="25">
        <v>314</v>
      </c>
      <c r="L454" s="25">
        <v>8</v>
      </c>
      <c r="M454" s="25" t="s">
        <v>35</v>
      </c>
      <c r="N454" s="25">
        <v>65.900000000000006</v>
      </c>
      <c r="O454" s="25">
        <v>202</v>
      </c>
      <c r="P454" s="25">
        <v>1</v>
      </c>
    </row>
    <row r="455" spans="1:16" ht="30" customHeight="1" x14ac:dyDescent="0.25">
      <c r="A455" s="26">
        <v>45365.108020833337</v>
      </c>
      <c r="B455" s="25" t="s">
        <v>56</v>
      </c>
      <c r="C455" s="25" t="s">
        <v>942</v>
      </c>
      <c r="D455" s="25" t="s">
        <v>943</v>
      </c>
      <c r="E455" s="25">
        <v>293</v>
      </c>
      <c r="F455" s="25" t="s">
        <v>34</v>
      </c>
      <c r="G455" s="25">
        <v>23.8</v>
      </c>
      <c r="H455" s="25">
        <v>62.8</v>
      </c>
      <c r="I455" s="25" t="s">
        <v>20</v>
      </c>
      <c r="J455" s="25">
        <v>19</v>
      </c>
      <c r="K455" s="25">
        <v>135</v>
      </c>
      <c r="L455" s="25">
        <v>1</v>
      </c>
      <c r="M455" s="25" t="s">
        <v>51</v>
      </c>
      <c r="N455" s="25">
        <v>98.8</v>
      </c>
      <c r="O455" s="25">
        <v>291</v>
      </c>
      <c r="P455" s="25">
        <v>0</v>
      </c>
    </row>
    <row r="456" spans="1:16" x14ac:dyDescent="0.25">
      <c r="A456" s="26">
        <v>45531.024143518516</v>
      </c>
      <c r="B456" s="25" t="s">
        <v>28</v>
      </c>
      <c r="C456" s="25" t="s">
        <v>944</v>
      </c>
      <c r="D456" s="25" t="s">
        <v>945</v>
      </c>
      <c r="E456" s="25">
        <v>343</v>
      </c>
      <c r="F456" s="25" t="s">
        <v>25</v>
      </c>
      <c r="G456" s="25">
        <v>29.5</v>
      </c>
      <c r="H456" s="25">
        <v>59.8</v>
      </c>
      <c r="I456" s="25" t="s">
        <v>20</v>
      </c>
      <c r="J456" s="25">
        <v>35</v>
      </c>
      <c r="K456" s="25">
        <v>294</v>
      </c>
      <c r="L456" s="25">
        <v>8</v>
      </c>
      <c r="M456" s="25" t="s">
        <v>21</v>
      </c>
      <c r="N456" s="25">
        <v>73.7</v>
      </c>
      <c r="O456" s="25">
        <v>256</v>
      </c>
      <c r="P456" s="25">
        <v>0</v>
      </c>
    </row>
    <row r="457" spans="1:16" x14ac:dyDescent="0.25">
      <c r="A457" s="26">
        <v>45406.86859953704</v>
      </c>
      <c r="B457" s="25" t="s">
        <v>41</v>
      </c>
      <c r="C457" s="25" t="s">
        <v>946</v>
      </c>
      <c r="D457" s="25" t="s">
        <v>947</v>
      </c>
      <c r="E457" s="25">
        <v>103</v>
      </c>
      <c r="F457" s="25" t="s">
        <v>25</v>
      </c>
      <c r="G457" s="25">
        <v>24.8</v>
      </c>
      <c r="H457" s="25">
        <v>79.3</v>
      </c>
      <c r="I457" s="25" t="s">
        <v>26</v>
      </c>
      <c r="J457" s="25">
        <v>22</v>
      </c>
      <c r="K457" s="25">
        <v>393</v>
      </c>
      <c r="L457" s="25">
        <v>9</v>
      </c>
      <c r="M457" s="25" t="s">
        <v>27</v>
      </c>
      <c r="N457" s="25">
        <v>88.6</v>
      </c>
      <c r="O457" s="25">
        <v>108</v>
      </c>
      <c r="P457" s="25">
        <v>1</v>
      </c>
    </row>
    <row r="458" spans="1:16" x14ac:dyDescent="0.25">
      <c r="A458" s="26">
        <v>45544.903854166667</v>
      </c>
      <c r="B458" s="25" t="s">
        <v>31</v>
      </c>
      <c r="C458" s="25" t="s">
        <v>948</v>
      </c>
      <c r="D458" s="25" t="s">
        <v>949</v>
      </c>
      <c r="E458" s="25">
        <v>295</v>
      </c>
      <c r="F458" s="25" t="s">
        <v>34</v>
      </c>
      <c r="G458" s="25">
        <v>23.6</v>
      </c>
      <c r="H458" s="25">
        <v>72.8</v>
      </c>
      <c r="I458" s="25" t="s">
        <v>20</v>
      </c>
      <c r="J458" s="25">
        <v>18</v>
      </c>
      <c r="K458" s="25">
        <v>327</v>
      </c>
      <c r="L458" s="25">
        <v>5</v>
      </c>
      <c r="M458" s="25" t="s">
        <v>21</v>
      </c>
      <c r="N458" s="25">
        <v>92.1</v>
      </c>
      <c r="O458" s="25">
        <v>283</v>
      </c>
      <c r="P458" s="25">
        <v>0</v>
      </c>
    </row>
    <row r="459" spans="1:16" x14ac:dyDescent="0.25">
      <c r="A459" s="26">
        <v>45463.581909722219</v>
      </c>
      <c r="B459" s="25" t="s">
        <v>28</v>
      </c>
      <c r="C459" s="25" t="s">
        <v>950</v>
      </c>
      <c r="D459" s="25" t="s">
        <v>951</v>
      </c>
      <c r="E459" s="25">
        <v>300</v>
      </c>
      <c r="F459" s="25" t="s">
        <v>34</v>
      </c>
      <c r="G459" s="25">
        <v>27.4</v>
      </c>
      <c r="H459" s="25">
        <v>52.8</v>
      </c>
      <c r="I459" s="25" t="s">
        <v>20</v>
      </c>
      <c r="J459" s="25">
        <v>35</v>
      </c>
      <c r="K459" s="25">
        <v>431</v>
      </c>
      <c r="L459" s="25">
        <v>10</v>
      </c>
      <c r="M459" s="25" t="s">
        <v>21</v>
      </c>
      <c r="N459" s="25">
        <v>81.2</v>
      </c>
      <c r="O459" s="25">
        <v>120</v>
      </c>
      <c r="P459" s="25">
        <v>0</v>
      </c>
    </row>
    <row r="460" spans="1:16" x14ac:dyDescent="0.25">
      <c r="A460" s="26">
        <v>45445.454548611109</v>
      </c>
      <c r="B460" s="25" t="s">
        <v>16</v>
      </c>
      <c r="C460" s="25" t="s">
        <v>952</v>
      </c>
      <c r="D460" s="25" t="s">
        <v>953</v>
      </c>
      <c r="E460" s="25">
        <v>108</v>
      </c>
      <c r="F460" s="25" t="s">
        <v>34</v>
      </c>
      <c r="G460" s="25">
        <v>27.9</v>
      </c>
      <c r="H460" s="25">
        <v>65.599999999999994</v>
      </c>
      <c r="I460" s="25" t="s">
        <v>26</v>
      </c>
      <c r="J460" s="25">
        <v>46</v>
      </c>
      <c r="K460" s="25">
        <v>138</v>
      </c>
      <c r="L460" s="25">
        <v>4</v>
      </c>
      <c r="M460" s="25" t="s">
        <v>35</v>
      </c>
      <c r="N460" s="25">
        <v>82.7</v>
      </c>
      <c r="O460" s="25">
        <v>173</v>
      </c>
      <c r="P460" s="25">
        <v>1</v>
      </c>
    </row>
    <row r="461" spans="1:16" x14ac:dyDescent="0.25">
      <c r="A461" s="26">
        <v>45482.973460648151</v>
      </c>
      <c r="B461" s="25" t="s">
        <v>56</v>
      </c>
      <c r="C461" s="25" t="s">
        <v>954</v>
      </c>
      <c r="D461" s="25" t="s">
        <v>955</v>
      </c>
      <c r="E461" s="25">
        <v>153</v>
      </c>
      <c r="F461" s="25" t="s">
        <v>19</v>
      </c>
      <c r="G461" s="25">
        <v>27.5</v>
      </c>
      <c r="H461" s="25">
        <v>69.900000000000006</v>
      </c>
      <c r="I461" s="25" t="s">
        <v>20</v>
      </c>
      <c r="J461" s="25">
        <v>24</v>
      </c>
      <c r="K461" s="25">
        <v>118</v>
      </c>
      <c r="L461" s="25">
        <v>7</v>
      </c>
      <c r="M461" s="25" t="s">
        <v>27</v>
      </c>
      <c r="N461" s="25">
        <v>62.5</v>
      </c>
      <c r="O461" s="25">
        <v>237</v>
      </c>
      <c r="P461" s="25">
        <v>1</v>
      </c>
    </row>
    <row r="462" spans="1:16" x14ac:dyDescent="0.25">
      <c r="A462" s="26">
        <v>45476.411747685182</v>
      </c>
      <c r="B462" s="25" t="s">
        <v>56</v>
      </c>
      <c r="C462" s="25" t="s">
        <v>956</v>
      </c>
      <c r="D462" s="25" t="s">
        <v>957</v>
      </c>
      <c r="E462" s="25">
        <v>336</v>
      </c>
      <c r="F462" s="25" t="s">
        <v>25</v>
      </c>
      <c r="G462" s="25">
        <v>22.5</v>
      </c>
      <c r="H462" s="25">
        <v>51.6</v>
      </c>
      <c r="I462" s="25" t="s">
        <v>20</v>
      </c>
      <c r="J462" s="25">
        <v>11</v>
      </c>
      <c r="K462" s="25">
        <v>446</v>
      </c>
      <c r="L462" s="25">
        <v>6</v>
      </c>
      <c r="M462" s="25" t="s">
        <v>21</v>
      </c>
      <c r="N462" s="25">
        <v>70.2</v>
      </c>
      <c r="O462" s="25">
        <v>275</v>
      </c>
      <c r="P462" s="25">
        <v>0</v>
      </c>
    </row>
    <row r="463" spans="1:16" x14ac:dyDescent="0.25">
      <c r="A463" s="26">
        <v>45635.857662037037</v>
      </c>
      <c r="B463" s="25" t="s">
        <v>31</v>
      </c>
      <c r="C463" s="25" t="s">
        <v>958</v>
      </c>
      <c r="D463" s="25" t="s">
        <v>959</v>
      </c>
      <c r="E463" s="25">
        <v>211</v>
      </c>
      <c r="F463" s="25" t="s">
        <v>19</v>
      </c>
      <c r="G463" s="25">
        <v>21.7</v>
      </c>
      <c r="H463" s="25">
        <v>52.3</v>
      </c>
      <c r="I463" s="25" t="s">
        <v>20</v>
      </c>
      <c r="J463" s="25">
        <v>11</v>
      </c>
      <c r="K463" s="25">
        <v>401</v>
      </c>
      <c r="L463" s="25">
        <v>9</v>
      </c>
      <c r="M463" s="25" t="s">
        <v>21</v>
      </c>
      <c r="N463" s="25">
        <v>66.2</v>
      </c>
      <c r="O463" s="25">
        <v>241</v>
      </c>
      <c r="P463" s="25">
        <v>1</v>
      </c>
    </row>
    <row r="464" spans="1:16" ht="30" customHeight="1" x14ac:dyDescent="0.25">
      <c r="A464" s="26">
        <v>45365.038587962961</v>
      </c>
      <c r="B464" s="25" t="s">
        <v>41</v>
      </c>
      <c r="C464" s="25" t="s">
        <v>960</v>
      </c>
      <c r="D464" s="25" t="s">
        <v>961</v>
      </c>
      <c r="E464" s="25">
        <v>144</v>
      </c>
      <c r="F464" s="25" t="s">
        <v>34</v>
      </c>
      <c r="G464" s="25">
        <v>21.1</v>
      </c>
      <c r="H464" s="25">
        <v>58.8</v>
      </c>
      <c r="I464" s="25" t="s">
        <v>38</v>
      </c>
      <c r="J464" s="25">
        <v>35</v>
      </c>
      <c r="K464" s="25">
        <v>443</v>
      </c>
      <c r="L464" s="25">
        <v>10</v>
      </c>
      <c r="M464" s="25" t="s">
        <v>51</v>
      </c>
      <c r="N464" s="25">
        <v>89</v>
      </c>
      <c r="O464" s="25">
        <v>141</v>
      </c>
      <c r="P464" s="25">
        <v>0</v>
      </c>
    </row>
    <row r="465" spans="1:16" x14ac:dyDescent="0.25">
      <c r="A465" s="26">
        <v>45440.270729166667</v>
      </c>
      <c r="B465" s="25" t="s">
        <v>28</v>
      </c>
      <c r="C465" s="25" t="s">
        <v>962</v>
      </c>
      <c r="D465" s="25" t="s">
        <v>963</v>
      </c>
      <c r="E465" s="25">
        <v>224</v>
      </c>
      <c r="F465" s="25" t="s">
        <v>19</v>
      </c>
      <c r="G465" s="25">
        <v>21.7</v>
      </c>
      <c r="H465" s="25">
        <v>78.5</v>
      </c>
      <c r="I465" s="25" t="s">
        <v>38</v>
      </c>
      <c r="J465" s="25">
        <v>20</v>
      </c>
      <c r="K465" s="25">
        <v>428</v>
      </c>
      <c r="L465" s="25">
        <v>7</v>
      </c>
      <c r="M465" s="25" t="s">
        <v>21</v>
      </c>
      <c r="N465" s="25">
        <v>72.400000000000006</v>
      </c>
      <c r="O465" s="25">
        <v>287</v>
      </c>
      <c r="P465" s="25">
        <v>1</v>
      </c>
    </row>
    <row r="466" spans="1:16" x14ac:dyDescent="0.25">
      <c r="A466" s="26">
        <v>45618.992569444446</v>
      </c>
      <c r="B466" s="25" t="s">
        <v>31</v>
      </c>
      <c r="C466" s="25" t="s">
        <v>964</v>
      </c>
      <c r="D466" s="25" t="s">
        <v>965</v>
      </c>
      <c r="E466" s="25">
        <v>185</v>
      </c>
      <c r="F466" s="25" t="s">
        <v>25</v>
      </c>
      <c r="G466" s="25">
        <v>19.899999999999999</v>
      </c>
      <c r="H466" s="25">
        <v>66.3</v>
      </c>
      <c r="I466" s="25" t="s">
        <v>20</v>
      </c>
      <c r="J466" s="25">
        <v>59</v>
      </c>
      <c r="K466" s="25">
        <v>264</v>
      </c>
      <c r="L466" s="25">
        <v>4</v>
      </c>
      <c r="M466" s="25" t="s">
        <v>21</v>
      </c>
      <c r="N466" s="25">
        <v>65.2</v>
      </c>
      <c r="O466" s="25">
        <v>177</v>
      </c>
      <c r="P466" s="25">
        <v>0</v>
      </c>
    </row>
    <row r="467" spans="1:16" x14ac:dyDescent="0.25">
      <c r="A467" s="26">
        <v>45403.15824074074</v>
      </c>
      <c r="B467" s="25" t="s">
        <v>41</v>
      </c>
      <c r="C467" s="25" t="s">
        <v>966</v>
      </c>
      <c r="D467" s="25" t="s">
        <v>967</v>
      </c>
      <c r="E467" s="25">
        <v>220</v>
      </c>
      <c r="F467" s="25" t="s">
        <v>25</v>
      </c>
      <c r="G467" s="25">
        <v>28.2</v>
      </c>
      <c r="H467" s="25">
        <v>55.4</v>
      </c>
      <c r="I467" s="25" t="s">
        <v>38</v>
      </c>
      <c r="J467" s="25">
        <v>10</v>
      </c>
      <c r="K467" s="25">
        <v>203</v>
      </c>
      <c r="L467" s="25">
        <v>8</v>
      </c>
      <c r="M467" s="25" t="s">
        <v>27</v>
      </c>
      <c r="N467" s="25">
        <v>81.099999999999994</v>
      </c>
      <c r="O467" s="25">
        <v>281</v>
      </c>
      <c r="P467" s="25">
        <v>0</v>
      </c>
    </row>
    <row r="468" spans="1:16" ht="30" customHeight="1" x14ac:dyDescent="0.25">
      <c r="A468" s="26">
        <v>45366.293171296296</v>
      </c>
      <c r="B468" s="25" t="s">
        <v>64</v>
      </c>
      <c r="C468" s="25" t="s">
        <v>968</v>
      </c>
      <c r="D468" s="25" t="s">
        <v>969</v>
      </c>
      <c r="E468" s="25">
        <v>236</v>
      </c>
      <c r="F468" s="25" t="s">
        <v>25</v>
      </c>
      <c r="G468" s="25">
        <v>18.3</v>
      </c>
      <c r="H468" s="25">
        <v>69</v>
      </c>
      <c r="I468" s="25" t="s">
        <v>38</v>
      </c>
      <c r="J468" s="25">
        <v>34</v>
      </c>
      <c r="K468" s="25">
        <v>303</v>
      </c>
      <c r="L468" s="25">
        <v>2</v>
      </c>
      <c r="M468" s="25" t="s">
        <v>51</v>
      </c>
      <c r="N468" s="25">
        <v>62.6</v>
      </c>
      <c r="O468" s="25">
        <v>270</v>
      </c>
      <c r="P468" s="25">
        <v>0</v>
      </c>
    </row>
    <row r="469" spans="1:16" x14ac:dyDescent="0.25">
      <c r="A469" s="26">
        <v>45373.592083333337</v>
      </c>
      <c r="B469" s="25" t="s">
        <v>28</v>
      </c>
      <c r="C469" s="25" t="s">
        <v>970</v>
      </c>
      <c r="D469" s="25" t="s">
        <v>971</v>
      </c>
      <c r="E469" s="25">
        <v>159</v>
      </c>
      <c r="F469" s="25" t="s">
        <v>19</v>
      </c>
      <c r="G469" s="25">
        <v>29.7</v>
      </c>
      <c r="H469" s="25">
        <v>69.599999999999994</v>
      </c>
      <c r="I469" s="25" t="s">
        <v>38</v>
      </c>
      <c r="J469" s="25">
        <v>49</v>
      </c>
      <c r="K469" s="25">
        <v>227</v>
      </c>
      <c r="L469" s="25">
        <v>1</v>
      </c>
      <c r="M469" s="25" t="s">
        <v>21</v>
      </c>
      <c r="N469" s="25">
        <v>62</v>
      </c>
      <c r="O469" s="25">
        <v>232</v>
      </c>
      <c r="P469" s="25">
        <v>1</v>
      </c>
    </row>
    <row r="470" spans="1:16" x14ac:dyDescent="0.25">
      <c r="A470" s="26">
        <v>45553.691631944443</v>
      </c>
      <c r="B470" s="25" t="s">
        <v>22</v>
      </c>
      <c r="C470" s="25" t="s">
        <v>972</v>
      </c>
      <c r="D470" s="25" t="s">
        <v>973</v>
      </c>
      <c r="E470" s="25">
        <v>433</v>
      </c>
      <c r="F470" s="25" t="s">
        <v>19</v>
      </c>
      <c r="G470" s="25">
        <v>26.4</v>
      </c>
      <c r="H470" s="25">
        <v>69.3</v>
      </c>
      <c r="I470" s="25" t="s">
        <v>20</v>
      </c>
      <c r="J470" s="25">
        <v>25</v>
      </c>
      <c r="K470" s="25">
        <v>127</v>
      </c>
      <c r="L470" s="25">
        <v>8</v>
      </c>
      <c r="M470" s="25" t="s">
        <v>21</v>
      </c>
      <c r="N470" s="25">
        <v>84.5</v>
      </c>
      <c r="O470" s="25">
        <v>125</v>
      </c>
      <c r="P470" s="25">
        <v>1</v>
      </c>
    </row>
    <row r="471" spans="1:16" x14ac:dyDescent="0.25">
      <c r="A471" s="26">
        <v>45616.800023148149</v>
      </c>
      <c r="B471" s="25" t="s">
        <v>16</v>
      </c>
      <c r="C471" s="25" t="s">
        <v>974</v>
      </c>
      <c r="D471" s="25" t="s">
        <v>975</v>
      </c>
      <c r="E471" s="25">
        <v>109</v>
      </c>
      <c r="F471" s="25" t="s">
        <v>25</v>
      </c>
      <c r="G471" s="25">
        <v>25.1</v>
      </c>
      <c r="H471" s="25">
        <v>76.5</v>
      </c>
      <c r="I471" s="25" t="s">
        <v>26</v>
      </c>
      <c r="J471" s="25">
        <v>16</v>
      </c>
      <c r="K471" s="25">
        <v>356</v>
      </c>
      <c r="L471" s="25">
        <v>5</v>
      </c>
      <c r="M471" s="25" t="s">
        <v>21</v>
      </c>
      <c r="N471" s="25">
        <v>64.900000000000006</v>
      </c>
      <c r="O471" s="25">
        <v>127</v>
      </c>
      <c r="P471" s="25">
        <v>1</v>
      </c>
    </row>
    <row r="472" spans="1:16" ht="30" customHeight="1" x14ac:dyDescent="0.25">
      <c r="A472" s="26">
        <v>45390.759618055556</v>
      </c>
      <c r="B472" s="25" t="s">
        <v>22</v>
      </c>
      <c r="C472" s="25" t="s">
        <v>976</v>
      </c>
      <c r="D472" s="25" t="s">
        <v>977</v>
      </c>
      <c r="E472" s="25">
        <v>453</v>
      </c>
      <c r="F472" s="25" t="s">
        <v>25</v>
      </c>
      <c r="G472" s="25">
        <v>25.8</v>
      </c>
      <c r="H472" s="25">
        <v>78.599999999999994</v>
      </c>
      <c r="I472" s="25" t="s">
        <v>20</v>
      </c>
      <c r="J472" s="25">
        <v>21</v>
      </c>
      <c r="K472" s="25">
        <v>142</v>
      </c>
      <c r="L472" s="25">
        <v>10</v>
      </c>
      <c r="M472" s="25" t="s">
        <v>51</v>
      </c>
      <c r="N472" s="25">
        <v>85.7</v>
      </c>
      <c r="O472" s="25">
        <v>180</v>
      </c>
      <c r="P472" s="25">
        <v>0</v>
      </c>
    </row>
    <row r="473" spans="1:16" x14ac:dyDescent="0.25">
      <c r="A473" s="26">
        <v>45304.691516203704</v>
      </c>
      <c r="B473" s="25" t="s">
        <v>31</v>
      </c>
      <c r="C473" s="25" t="s">
        <v>978</v>
      </c>
      <c r="D473" s="25" t="s">
        <v>979</v>
      </c>
      <c r="E473" s="25">
        <v>169</v>
      </c>
      <c r="F473" s="25" t="s">
        <v>25</v>
      </c>
      <c r="G473" s="25">
        <v>28.6</v>
      </c>
      <c r="H473" s="25">
        <v>78.8</v>
      </c>
      <c r="I473" s="25" t="s">
        <v>26</v>
      </c>
      <c r="J473" s="25">
        <v>27</v>
      </c>
      <c r="K473" s="25">
        <v>482</v>
      </c>
      <c r="L473" s="25">
        <v>4</v>
      </c>
      <c r="M473" s="25" t="s">
        <v>35</v>
      </c>
      <c r="N473" s="25">
        <v>80.5</v>
      </c>
      <c r="O473" s="25">
        <v>122</v>
      </c>
      <c r="P473" s="25">
        <v>1</v>
      </c>
    </row>
    <row r="474" spans="1:16" x14ac:dyDescent="0.25">
      <c r="A474" s="26">
        <v>45607.191400462965</v>
      </c>
      <c r="B474" s="25" t="s">
        <v>16</v>
      </c>
      <c r="C474" s="25" t="s">
        <v>980</v>
      </c>
      <c r="D474" s="25" t="s">
        <v>981</v>
      </c>
      <c r="E474" s="25">
        <v>105</v>
      </c>
      <c r="F474" s="25" t="s">
        <v>19</v>
      </c>
      <c r="G474" s="25">
        <v>23.6</v>
      </c>
      <c r="H474" s="25">
        <v>54.4</v>
      </c>
      <c r="I474" s="25" t="s">
        <v>20</v>
      </c>
      <c r="J474" s="25">
        <v>18</v>
      </c>
      <c r="K474" s="25">
        <v>364</v>
      </c>
      <c r="L474" s="25">
        <v>10</v>
      </c>
      <c r="M474" s="25" t="s">
        <v>35</v>
      </c>
      <c r="N474" s="25">
        <v>76</v>
      </c>
      <c r="O474" s="25">
        <v>158</v>
      </c>
      <c r="P474" s="25">
        <v>1</v>
      </c>
    </row>
    <row r="475" spans="1:16" x14ac:dyDescent="0.25">
      <c r="A475" s="26">
        <v>45569.670567129629</v>
      </c>
      <c r="B475" s="25" t="s">
        <v>31</v>
      </c>
      <c r="C475" s="25" t="s">
        <v>982</v>
      </c>
      <c r="D475" s="25" t="s">
        <v>983</v>
      </c>
      <c r="E475" s="25">
        <v>256</v>
      </c>
      <c r="F475" s="25" t="s">
        <v>34</v>
      </c>
      <c r="G475" s="25">
        <v>29.6</v>
      </c>
      <c r="H475" s="25">
        <v>73.7</v>
      </c>
      <c r="I475" s="25" t="s">
        <v>26</v>
      </c>
      <c r="J475" s="25">
        <v>20</v>
      </c>
      <c r="K475" s="25">
        <v>309</v>
      </c>
      <c r="L475" s="25">
        <v>8</v>
      </c>
      <c r="M475" s="25" t="s">
        <v>27</v>
      </c>
      <c r="N475" s="25">
        <v>83.4</v>
      </c>
      <c r="O475" s="25">
        <v>142</v>
      </c>
      <c r="P475" s="25">
        <v>1</v>
      </c>
    </row>
    <row r="476" spans="1:16" ht="30" customHeight="1" x14ac:dyDescent="0.25">
      <c r="A476" s="26">
        <v>45424.895590277774</v>
      </c>
      <c r="B476" s="25" t="s">
        <v>56</v>
      </c>
      <c r="C476" s="25" t="s">
        <v>984</v>
      </c>
      <c r="D476" s="25" t="s">
        <v>985</v>
      </c>
      <c r="E476" s="25">
        <v>309</v>
      </c>
      <c r="F476" s="25" t="s">
        <v>34</v>
      </c>
      <c r="G476" s="25">
        <v>22.8</v>
      </c>
      <c r="H476" s="25">
        <v>52.8</v>
      </c>
      <c r="I476" s="25" t="s">
        <v>38</v>
      </c>
      <c r="J476" s="25">
        <v>19</v>
      </c>
      <c r="K476" s="25">
        <v>101</v>
      </c>
      <c r="L476" s="25">
        <v>2</v>
      </c>
      <c r="M476" s="25" t="s">
        <v>51</v>
      </c>
      <c r="N476" s="25">
        <v>85.5</v>
      </c>
      <c r="O476" s="25">
        <v>242</v>
      </c>
      <c r="P476" s="25">
        <v>0</v>
      </c>
    </row>
    <row r="477" spans="1:16" x14ac:dyDescent="0.25">
      <c r="A477" s="26">
        <v>45649.208055555559</v>
      </c>
      <c r="B477" s="25" t="s">
        <v>31</v>
      </c>
      <c r="C477" s="25" t="s">
        <v>986</v>
      </c>
      <c r="D477" s="25" t="s">
        <v>987</v>
      </c>
      <c r="E477" s="25">
        <v>346</v>
      </c>
      <c r="F477" s="25" t="s">
        <v>34</v>
      </c>
      <c r="G477" s="25">
        <v>26.9</v>
      </c>
      <c r="H477" s="25">
        <v>70.599999999999994</v>
      </c>
      <c r="I477" s="25" t="s">
        <v>20</v>
      </c>
      <c r="J477" s="25">
        <v>44</v>
      </c>
      <c r="K477" s="25">
        <v>192</v>
      </c>
      <c r="L477" s="25">
        <v>9</v>
      </c>
      <c r="M477" s="25" t="s">
        <v>35</v>
      </c>
      <c r="N477" s="25">
        <v>76.2</v>
      </c>
      <c r="O477" s="25">
        <v>239</v>
      </c>
      <c r="P477" s="25">
        <v>0</v>
      </c>
    </row>
    <row r="478" spans="1:16" x14ac:dyDescent="0.25">
      <c r="A478" s="26">
        <v>45458.032453703701</v>
      </c>
      <c r="B478" s="25" t="s">
        <v>41</v>
      </c>
      <c r="C478" s="25" t="s">
        <v>988</v>
      </c>
      <c r="D478" s="25" t="s">
        <v>989</v>
      </c>
      <c r="E478" s="25">
        <v>302</v>
      </c>
      <c r="F478" s="25" t="s">
        <v>19</v>
      </c>
      <c r="G478" s="25">
        <v>24.6</v>
      </c>
      <c r="H478" s="25">
        <v>60.6</v>
      </c>
      <c r="I478" s="25" t="s">
        <v>26</v>
      </c>
      <c r="J478" s="25">
        <v>30</v>
      </c>
      <c r="K478" s="25">
        <v>431</v>
      </c>
      <c r="L478" s="25">
        <v>3</v>
      </c>
      <c r="M478" s="25" t="s">
        <v>21</v>
      </c>
      <c r="N478" s="25">
        <v>76</v>
      </c>
      <c r="O478" s="25">
        <v>127</v>
      </c>
      <c r="P478" s="25">
        <v>1</v>
      </c>
    </row>
    <row r="479" spans="1:16" x14ac:dyDescent="0.25">
      <c r="A479" s="26">
        <v>45491.728668981479</v>
      </c>
      <c r="B479" s="25" t="s">
        <v>41</v>
      </c>
      <c r="C479" s="25" t="s">
        <v>990</v>
      </c>
      <c r="D479" s="25" t="s">
        <v>991</v>
      </c>
      <c r="E479" s="25">
        <v>181</v>
      </c>
      <c r="F479" s="25" t="s">
        <v>25</v>
      </c>
      <c r="G479" s="25">
        <v>24.7</v>
      </c>
      <c r="H479" s="25">
        <v>63.4</v>
      </c>
      <c r="I479" s="25" t="s">
        <v>26</v>
      </c>
      <c r="J479" s="25">
        <v>25</v>
      </c>
      <c r="K479" s="25">
        <v>107</v>
      </c>
      <c r="L479" s="25">
        <v>8</v>
      </c>
      <c r="M479" s="25" t="s">
        <v>21</v>
      </c>
      <c r="N479" s="25">
        <v>71.3</v>
      </c>
      <c r="O479" s="25">
        <v>265</v>
      </c>
      <c r="P479" s="25">
        <v>1</v>
      </c>
    </row>
    <row r="480" spans="1:16" x14ac:dyDescent="0.25">
      <c r="A480" s="26">
        <v>45332.361747685187</v>
      </c>
      <c r="B480" s="25" t="s">
        <v>31</v>
      </c>
      <c r="C480" s="25" t="s">
        <v>992</v>
      </c>
      <c r="D480" s="25" t="s">
        <v>993</v>
      </c>
      <c r="E480" s="25">
        <v>282</v>
      </c>
      <c r="F480" s="25" t="s">
        <v>19</v>
      </c>
      <c r="G480" s="25">
        <v>21.8</v>
      </c>
      <c r="H480" s="25">
        <v>63.6</v>
      </c>
      <c r="I480" s="25" t="s">
        <v>38</v>
      </c>
      <c r="J480" s="25">
        <v>43</v>
      </c>
      <c r="K480" s="25">
        <v>370</v>
      </c>
      <c r="L480" s="25">
        <v>7</v>
      </c>
      <c r="M480" s="25" t="s">
        <v>35</v>
      </c>
      <c r="N480" s="25">
        <v>69.400000000000006</v>
      </c>
      <c r="O480" s="25">
        <v>251</v>
      </c>
      <c r="P480" s="25">
        <v>1</v>
      </c>
    </row>
    <row r="481" spans="1:16" x14ac:dyDescent="0.25">
      <c r="A481" s="26">
        <v>45544.449155092596</v>
      </c>
      <c r="B481" s="25" t="s">
        <v>28</v>
      </c>
      <c r="C481" s="25" t="s">
        <v>994</v>
      </c>
      <c r="D481" s="25" t="s">
        <v>995</v>
      </c>
      <c r="E481" s="25">
        <v>398</v>
      </c>
      <c r="F481" s="25" t="s">
        <v>34</v>
      </c>
      <c r="G481" s="25">
        <v>26.5</v>
      </c>
      <c r="H481" s="25">
        <v>64.8</v>
      </c>
      <c r="I481" s="25" t="s">
        <v>26</v>
      </c>
      <c r="J481" s="25">
        <v>44</v>
      </c>
      <c r="K481" s="25">
        <v>387</v>
      </c>
      <c r="L481" s="25">
        <v>1</v>
      </c>
      <c r="M481" s="25" t="s">
        <v>21</v>
      </c>
      <c r="N481" s="25">
        <v>90.6</v>
      </c>
      <c r="O481" s="25">
        <v>122</v>
      </c>
      <c r="P481" s="25">
        <v>1</v>
      </c>
    </row>
    <row r="482" spans="1:16" ht="30" customHeight="1" x14ac:dyDescent="0.25">
      <c r="A482" s="26">
        <v>45401.345879629633</v>
      </c>
      <c r="B482" s="25" t="s">
        <v>95</v>
      </c>
      <c r="C482" s="25" t="s">
        <v>996</v>
      </c>
      <c r="D482" s="25" t="s">
        <v>997</v>
      </c>
      <c r="E482" s="25">
        <v>210</v>
      </c>
      <c r="F482" s="25" t="s">
        <v>25</v>
      </c>
      <c r="G482" s="25">
        <v>24.7</v>
      </c>
      <c r="H482" s="25">
        <v>65</v>
      </c>
      <c r="I482" s="25" t="s">
        <v>26</v>
      </c>
      <c r="J482" s="25">
        <v>50</v>
      </c>
      <c r="K482" s="25">
        <v>185</v>
      </c>
      <c r="L482" s="25">
        <v>10</v>
      </c>
      <c r="M482" s="25" t="s">
        <v>51</v>
      </c>
      <c r="N482" s="25">
        <v>84.1</v>
      </c>
      <c r="O482" s="25">
        <v>140</v>
      </c>
      <c r="P482" s="25">
        <v>1</v>
      </c>
    </row>
    <row r="483" spans="1:16" x14ac:dyDescent="0.25">
      <c r="A483" s="26">
        <v>45509.781527777777</v>
      </c>
      <c r="B483" s="25" t="s">
        <v>31</v>
      </c>
      <c r="C483" s="25" t="s">
        <v>998</v>
      </c>
      <c r="D483" s="25" t="s">
        <v>999</v>
      </c>
      <c r="E483" s="25">
        <v>188</v>
      </c>
      <c r="F483" s="25" t="s">
        <v>19</v>
      </c>
      <c r="G483" s="25">
        <v>22.4</v>
      </c>
      <c r="H483" s="25">
        <v>78</v>
      </c>
      <c r="I483" s="25" t="s">
        <v>26</v>
      </c>
      <c r="J483" s="25">
        <v>40</v>
      </c>
      <c r="K483" s="25">
        <v>372</v>
      </c>
      <c r="L483" s="25">
        <v>6</v>
      </c>
      <c r="M483" s="25" t="s">
        <v>27</v>
      </c>
      <c r="N483" s="25">
        <v>98</v>
      </c>
      <c r="O483" s="25">
        <v>237</v>
      </c>
      <c r="P483" s="25">
        <v>1</v>
      </c>
    </row>
    <row r="484" spans="1:16" x14ac:dyDescent="0.25">
      <c r="A484" s="26">
        <v>45457.777858796297</v>
      </c>
      <c r="B484" s="25" t="s">
        <v>61</v>
      </c>
      <c r="C484" s="25" t="s">
        <v>1000</v>
      </c>
      <c r="D484" s="25" t="s">
        <v>1001</v>
      </c>
      <c r="E484" s="25">
        <v>298</v>
      </c>
      <c r="F484" s="25" t="s">
        <v>19</v>
      </c>
      <c r="G484" s="25">
        <v>19.600000000000001</v>
      </c>
      <c r="H484" s="25">
        <v>76.099999999999994</v>
      </c>
      <c r="I484" s="25" t="s">
        <v>26</v>
      </c>
      <c r="J484" s="25">
        <v>22</v>
      </c>
      <c r="K484" s="25">
        <v>396</v>
      </c>
      <c r="L484" s="25">
        <v>7</v>
      </c>
      <c r="M484" s="25" t="s">
        <v>21</v>
      </c>
      <c r="N484" s="25">
        <v>65</v>
      </c>
      <c r="O484" s="25">
        <v>230</v>
      </c>
      <c r="P484" s="25">
        <v>1</v>
      </c>
    </row>
    <row r="485" spans="1:16" x14ac:dyDescent="0.25">
      <c r="A485" s="26">
        <v>45583.993379629632</v>
      </c>
      <c r="B485" s="25" t="s">
        <v>28</v>
      </c>
      <c r="C485" s="25" t="s">
        <v>1002</v>
      </c>
      <c r="D485" s="25" t="s">
        <v>1003</v>
      </c>
      <c r="E485" s="25">
        <v>298</v>
      </c>
      <c r="F485" s="25" t="s">
        <v>19</v>
      </c>
      <c r="G485" s="25">
        <v>24</v>
      </c>
      <c r="H485" s="25">
        <v>63.5</v>
      </c>
      <c r="I485" s="25" t="s">
        <v>20</v>
      </c>
      <c r="J485" s="25">
        <v>25</v>
      </c>
      <c r="K485" s="25">
        <v>456</v>
      </c>
      <c r="L485" s="25">
        <v>2</v>
      </c>
      <c r="M485" s="25" t="s">
        <v>21</v>
      </c>
      <c r="N485" s="25">
        <v>78.900000000000006</v>
      </c>
      <c r="O485" s="25">
        <v>147</v>
      </c>
      <c r="P485" s="25">
        <v>1</v>
      </c>
    </row>
    <row r="486" spans="1:16" x14ac:dyDescent="0.25">
      <c r="A486" s="26">
        <v>45410.06386574074</v>
      </c>
      <c r="B486" s="25" t="s">
        <v>61</v>
      </c>
      <c r="C486" s="25" t="s">
        <v>1004</v>
      </c>
      <c r="D486" s="25" t="s">
        <v>1005</v>
      </c>
      <c r="E486" s="25">
        <v>326</v>
      </c>
      <c r="F486" s="25" t="s">
        <v>19</v>
      </c>
      <c r="G486" s="25">
        <v>20</v>
      </c>
      <c r="H486" s="25">
        <v>56.6</v>
      </c>
      <c r="I486" s="25" t="s">
        <v>20</v>
      </c>
      <c r="J486" s="25">
        <v>17</v>
      </c>
      <c r="K486" s="25">
        <v>260</v>
      </c>
      <c r="L486" s="25">
        <v>6</v>
      </c>
      <c r="M486" s="25" t="s">
        <v>27</v>
      </c>
      <c r="N486" s="25">
        <v>67.5</v>
      </c>
      <c r="O486" s="25">
        <v>162</v>
      </c>
      <c r="P486" s="25">
        <v>1</v>
      </c>
    </row>
    <row r="487" spans="1:16" x14ac:dyDescent="0.25">
      <c r="A487" s="26">
        <v>45607.36451388889</v>
      </c>
      <c r="B487" s="25" t="s">
        <v>22</v>
      </c>
      <c r="C487" s="25" t="s">
        <v>1006</v>
      </c>
      <c r="D487" s="25" t="s">
        <v>1007</v>
      </c>
      <c r="E487" s="25">
        <v>354</v>
      </c>
      <c r="F487" s="25" t="s">
        <v>19</v>
      </c>
      <c r="G487" s="25">
        <v>18.399999999999999</v>
      </c>
      <c r="H487" s="25">
        <v>77.5</v>
      </c>
      <c r="I487" s="25" t="s">
        <v>26</v>
      </c>
      <c r="J487" s="25">
        <v>40</v>
      </c>
      <c r="K487" s="25">
        <v>262</v>
      </c>
      <c r="L487" s="25">
        <v>7</v>
      </c>
      <c r="M487" s="25" t="s">
        <v>35</v>
      </c>
      <c r="N487" s="25">
        <v>68.5</v>
      </c>
      <c r="O487" s="25">
        <v>282</v>
      </c>
      <c r="P487" s="25">
        <v>1</v>
      </c>
    </row>
    <row r="488" spans="1:16" x14ac:dyDescent="0.25">
      <c r="A488" s="26">
        <v>45548.453275462962</v>
      </c>
      <c r="B488" s="25" t="s">
        <v>41</v>
      </c>
      <c r="C488" s="25" t="s">
        <v>1008</v>
      </c>
      <c r="D488" s="25" t="s">
        <v>1009</v>
      </c>
      <c r="E488" s="25">
        <v>269</v>
      </c>
      <c r="F488" s="25" t="s">
        <v>25</v>
      </c>
      <c r="G488" s="25">
        <v>22.4</v>
      </c>
      <c r="H488" s="25">
        <v>63.6</v>
      </c>
      <c r="I488" s="25" t="s">
        <v>20</v>
      </c>
      <c r="J488" s="25">
        <v>54</v>
      </c>
      <c r="K488" s="25">
        <v>481</v>
      </c>
      <c r="L488" s="25">
        <v>7</v>
      </c>
      <c r="M488" s="25" t="s">
        <v>35</v>
      </c>
      <c r="N488" s="25">
        <v>82.5</v>
      </c>
      <c r="O488" s="25">
        <v>183</v>
      </c>
      <c r="P488" s="25">
        <v>0</v>
      </c>
    </row>
    <row r="489" spans="1:16" ht="30" customHeight="1" x14ac:dyDescent="0.25">
      <c r="A489" s="26">
        <v>45457.718287037038</v>
      </c>
      <c r="B489" s="25" t="s">
        <v>41</v>
      </c>
      <c r="C489" s="25" t="s">
        <v>1010</v>
      </c>
      <c r="D489" s="25" t="s">
        <v>1011</v>
      </c>
      <c r="E489" s="25">
        <v>475</v>
      </c>
      <c r="F489" s="25" t="s">
        <v>34</v>
      </c>
      <c r="G489" s="25">
        <v>29.3</v>
      </c>
      <c r="H489" s="25">
        <v>62.8</v>
      </c>
      <c r="I489" s="25" t="s">
        <v>38</v>
      </c>
      <c r="J489" s="25">
        <v>29</v>
      </c>
      <c r="K489" s="25">
        <v>359</v>
      </c>
      <c r="L489" s="25">
        <v>9</v>
      </c>
      <c r="M489" s="25" t="s">
        <v>51</v>
      </c>
      <c r="N489" s="25">
        <v>95.1</v>
      </c>
      <c r="O489" s="25">
        <v>122</v>
      </c>
      <c r="P489" s="25">
        <v>0</v>
      </c>
    </row>
    <row r="490" spans="1:16" x14ac:dyDescent="0.25">
      <c r="A490" s="26">
        <v>45293.64634259259</v>
      </c>
      <c r="B490" s="25" t="s">
        <v>41</v>
      </c>
      <c r="C490" s="25" t="s">
        <v>1012</v>
      </c>
      <c r="D490" s="25" t="s">
        <v>1013</v>
      </c>
      <c r="E490" s="25">
        <v>372</v>
      </c>
      <c r="F490" s="25" t="s">
        <v>19</v>
      </c>
      <c r="G490" s="25">
        <v>20.399999999999999</v>
      </c>
      <c r="H490" s="25">
        <v>57.2</v>
      </c>
      <c r="I490" s="25" t="s">
        <v>38</v>
      </c>
      <c r="J490" s="25">
        <v>29</v>
      </c>
      <c r="K490" s="25">
        <v>153</v>
      </c>
      <c r="L490" s="25">
        <v>1</v>
      </c>
      <c r="M490" s="25" t="s">
        <v>27</v>
      </c>
      <c r="N490" s="25">
        <v>78.2</v>
      </c>
      <c r="O490" s="25">
        <v>221</v>
      </c>
      <c r="P490" s="25">
        <v>1</v>
      </c>
    </row>
    <row r="491" spans="1:16" x14ac:dyDescent="0.25">
      <c r="A491" s="26">
        <v>45571.207430555558</v>
      </c>
      <c r="B491" s="25" t="s">
        <v>64</v>
      </c>
      <c r="C491" s="25" t="s">
        <v>1014</v>
      </c>
      <c r="D491" s="25" t="s">
        <v>1015</v>
      </c>
      <c r="E491" s="25">
        <v>201</v>
      </c>
      <c r="F491" s="25" t="s">
        <v>25</v>
      </c>
      <c r="G491" s="25">
        <v>26</v>
      </c>
      <c r="H491" s="25">
        <v>51.5</v>
      </c>
      <c r="I491" s="25" t="s">
        <v>38</v>
      </c>
      <c r="J491" s="25">
        <v>40</v>
      </c>
      <c r="K491" s="25">
        <v>429</v>
      </c>
      <c r="L491" s="25">
        <v>4</v>
      </c>
      <c r="M491" s="25" t="s">
        <v>27</v>
      </c>
      <c r="N491" s="25">
        <v>87</v>
      </c>
      <c r="O491" s="25">
        <v>107</v>
      </c>
      <c r="P491" s="25">
        <v>0</v>
      </c>
    </row>
    <row r="492" spans="1:16" x14ac:dyDescent="0.25">
      <c r="A492" s="26">
        <v>45447.699467592596</v>
      </c>
      <c r="B492" s="25" t="s">
        <v>16</v>
      </c>
      <c r="C492" s="25" t="s">
        <v>1016</v>
      </c>
      <c r="D492" s="25" t="s">
        <v>1017</v>
      </c>
      <c r="E492" s="25">
        <v>441</v>
      </c>
      <c r="F492" s="25" t="s">
        <v>25</v>
      </c>
      <c r="G492" s="25">
        <v>25.3</v>
      </c>
      <c r="H492" s="25">
        <v>72.900000000000006</v>
      </c>
      <c r="I492" s="25" t="s">
        <v>38</v>
      </c>
      <c r="J492" s="25">
        <v>47</v>
      </c>
      <c r="K492" s="25">
        <v>152</v>
      </c>
      <c r="L492" s="25">
        <v>4</v>
      </c>
      <c r="M492" s="25" t="s">
        <v>27</v>
      </c>
      <c r="N492" s="25">
        <v>67.400000000000006</v>
      </c>
      <c r="O492" s="25">
        <v>256</v>
      </c>
      <c r="P492" s="25">
        <v>0</v>
      </c>
    </row>
    <row r="493" spans="1:16" x14ac:dyDescent="0.25">
      <c r="A493" s="26">
        <v>45324.511828703704</v>
      </c>
      <c r="B493" s="25" t="s">
        <v>22</v>
      </c>
      <c r="C493" s="25" t="s">
        <v>1018</v>
      </c>
      <c r="D493" s="25" t="s">
        <v>1019</v>
      </c>
      <c r="E493" s="25">
        <v>246</v>
      </c>
      <c r="F493" s="25" t="s">
        <v>19</v>
      </c>
      <c r="G493" s="25">
        <v>25.3</v>
      </c>
      <c r="H493" s="25">
        <v>57.4</v>
      </c>
      <c r="I493" s="25" t="s">
        <v>38</v>
      </c>
      <c r="J493" s="25">
        <v>33</v>
      </c>
      <c r="K493" s="25">
        <v>298</v>
      </c>
      <c r="L493" s="25">
        <v>8</v>
      </c>
      <c r="M493" s="25" t="s">
        <v>35</v>
      </c>
      <c r="N493" s="25">
        <v>70.400000000000006</v>
      </c>
      <c r="O493" s="25">
        <v>110</v>
      </c>
      <c r="P493" s="25">
        <v>1</v>
      </c>
    </row>
    <row r="494" spans="1:16" ht="30" customHeight="1" x14ac:dyDescent="0.25">
      <c r="A494" s="26">
        <v>45465.321030092593</v>
      </c>
      <c r="B494" s="25" t="s">
        <v>28</v>
      </c>
      <c r="C494" s="25" t="s">
        <v>1020</v>
      </c>
      <c r="D494" s="25" t="s">
        <v>1021</v>
      </c>
      <c r="E494" s="25">
        <v>180</v>
      </c>
      <c r="F494" s="25" t="s">
        <v>19</v>
      </c>
      <c r="G494" s="25">
        <v>25.4</v>
      </c>
      <c r="H494" s="25">
        <v>50.4</v>
      </c>
      <c r="I494" s="25" t="s">
        <v>26</v>
      </c>
      <c r="J494" s="25">
        <v>32</v>
      </c>
      <c r="K494" s="25">
        <v>246</v>
      </c>
      <c r="L494" s="25">
        <v>2</v>
      </c>
      <c r="M494" s="25" t="s">
        <v>51</v>
      </c>
      <c r="N494" s="25">
        <v>65.400000000000006</v>
      </c>
      <c r="O494" s="25">
        <v>203</v>
      </c>
      <c r="P494" s="25">
        <v>1</v>
      </c>
    </row>
    <row r="495" spans="1:16" ht="30" customHeight="1" x14ac:dyDescent="0.25">
      <c r="A495" s="26">
        <v>45352.61681712963</v>
      </c>
      <c r="B495" s="25" t="s">
        <v>31</v>
      </c>
      <c r="C495" s="25" t="s">
        <v>1022</v>
      </c>
      <c r="D495" s="25" t="s">
        <v>1023</v>
      </c>
      <c r="E495" s="25">
        <v>127</v>
      </c>
      <c r="F495" s="25" t="s">
        <v>19</v>
      </c>
      <c r="G495" s="25">
        <v>21</v>
      </c>
      <c r="H495" s="25">
        <v>54.6</v>
      </c>
      <c r="I495" s="25" t="s">
        <v>20</v>
      </c>
      <c r="J495" s="25">
        <v>13</v>
      </c>
      <c r="K495" s="25">
        <v>452</v>
      </c>
      <c r="L495" s="25">
        <v>9</v>
      </c>
      <c r="M495" s="25" t="s">
        <v>51</v>
      </c>
      <c r="N495" s="25">
        <v>79</v>
      </c>
      <c r="O495" s="25">
        <v>299</v>
      </c>
      <c r="P495" s="25">
        <v>1</v>
      </c>
    </row>
    <row r="496" spans="1:16" x14ac:dyDescent="0.25">
      <c r="A496" s="26">
        <v>45523.066666666666</v>
      </c>
      <c r="B496" s="25" t="s">
        <v>61</v>
      </c>
      <c r="C496" s="25" t="s">
        <v>1024</v>
      </c>
      <c r="D496" s="25" t="s">
        <v>1025</v>
      </c>
      <c r="E496" s="25">
        <v>246</v>
      </c>
      <c r="F496" s="25" t="s">
        <v>19</v>
      </c>
      <c r="G496" s="25">
        <v>20.8</v>
      </c>
      <c r="H496" s="25">
        <v>79.2</v>
      </c>
      <c r="I496" s="25" t="s">
        <v>26</v>
      </c>
      <c r="J496" s="25">
        <v>55</v>
      </c>
      <c r="K496" s="25">
        <v>325</v>
      </c>
      <c r="L496" s="25">
        <v>2</v>
      </c>
      <c r="M496" s="25" t="s">
        <v>21</v>
      </c>
      <c r="N496" s="25">
        <v>80.5</v>
      </c>
      <c r="O496" s="25">
        <v>271</v>
      </c>
      <c r="P496" s="25">
        <v>1</v>
      </c>
    </row>
    <row r="497" spans="1:16" ht="30" customHeight="1" x14ac:dyDescent="0.25">
      <c r="A497" s="26">
        <v>45613.098634259259</v>
      </c>
      <c r="B497" s="25" t="s">
        <v>48</v>
      </c>
      <c r="C497" s="25" t="s">
        <v>1026</v>
      </c>
      <c r="D497" s="25" t="s">
        <v>1027</v>
      </c>
      <c r="E497" s="25">
        <v>470</v>
      </c>
      <c r="F497" s="25" t="s">
        <v>34</v>
      </c>
      <c r="G497" s="25">
        <v>21.5</v>
      </c>
      <c r="H497" s="25">
        <v>51</v>
      </c>
      <c r="I497" s="25" t="s">
        <v>26</v>
      </c>
      <c r="J497" s="25">
        <v>59</v>
      </c>
      <c r="K497" s="25">
        <v>293</v>
      </c>
      <c r="L497" s="25">
        <v>7</v>
      </c>
      <c r="M497" s="25" t="s">
        <v>51</v>
      </c>
      <c r="N497" s="25">
        <v>86.6</v>
      </c>
      <c r="O497" s="25">
        <v>113</v>
      </c>
      <c r="P497" s="25">
        <v>1</v>
      </c>
    </row>
    <row r="498" spans="1:16" x14ac:dyDescent="0.25">
      <c r="A498" s="26">
        <v>45502.011805555558</v>
      </c>
      <c r="B498" s="25" t="s">
        <v>56</v>
      </c>
      <c r="C498" s="25" t="s">
        <v>1028</v>
      </c>
      <c r="D498" s="25" t="s">
        <v>1029</v>
      </c>
      <c r="E498" s="25">
        <v>386</v>
      </c>
      <c r="F498" s="25" t="s">
        <v>19</v>
      </c>
      <c r="G498" s="25">
        <v>25.9</v>
      </c>
      <c r="H498" s="25">
        <v>71.599999999999994</v>
      </c>
      <c r="I498" s="25" t="s">
        <v>38</v>
      </c>
      <c r="J498" s="25">
        <v>36</v>
      </c>
      <c r="K498" s="25">
        <v>193</v>
      </c>
      <c r="L498" s="25">
        <v>10</v>
      </c>
      <c r="M498" s="25" t="s">
        <v>27</v>
      </c>
      <c r="N498" s="25">
        <v>72</v>
      </c>
      <c r="O498" s="25">
        <v>299</v>
      </c>
      <c r="P498" s="25">
        <v>1</v>
      </c>
    </row>
    <row r="499" spans="1:16" ht="30" customHeight="1" x14ac:dyDescent="0.25">
      <c r="A499" s="26">
        <v>45429.875590277778</v>
      </c>
      <c r="B499" s="25" t="s">
        <v>56</v>
      </c>
      <c r="C499" s="25" t="s">
        <v>1030</v>
      </c>
      <c r="D499" s="25" t="s">
        <v>1031</v>
      </c>
      <c r="E499" s="25">
        <v>325</v>
      </c>
      <c r="F499" s="25" t="s">
        <v>25</v>
      </c>
      <c r="G499" s="25">
        <v>26.2</v>
      </c>
      <c r="H499" s="25">
        <v>64.3</v>
      </c>
      <c r="I499" s="25" t="s">
        <v>38</v>
      </c>
      <c r="J499" s="25">
        <v>31</v>
      </c>
      <c r="K499" s="25">
        <v>491</v>
      </c>
      <c r="L499" s="25">
        <v>7</v>
      </c>
      <c r="M499" s="25" t="s">
        <v>51</v>
      </c>
      <c r="N499" s="25">
        <v>60.7</v>
      </c>
      <c r="O499" s="25">
        <v>290</v>
      </c>
      <c r="P499" s="25">
        <v>0</v>
      </c>
    </row>
    <row r="500" spans="1:16" x14ac:dyDescent="0.25">
      <c r="A500" s="26">
        <v>45362.840208333335</v>
      </c>
      <c r="B500" s="25" t="s">
        <v>95</v>
      </c>
      <c r="C500" s="25" t="s">
        <v>1032</v>
      </c>
      <c r="D500" s="25" t="s">
        <v>1033</v>
      </c>
      <c r="E500" s="25">
        <v>432</v>
      </c>
      <c r="F500" s="25" t="s">
        <v>25</v>
      </c>
      <c r="G500" s="25">
        <v>25.9</v>
      </c>
      <c r="H500" s="25">
        <v>65.8</v>
      </c>
      <c r="I500" s="25" t="s">
        <v>38</v>
      </c>
      <c r="J500" s="25">
        <v>42</v>
      </c>
      <c r="K500" s="25">
        <v>265</v>
      </c>
      <c r="L500" s="25">
        <v>8</v>
      </c>
      <c r="M500" s="25" t="s">
        <v>21</v>
      </c>
      <c r="N500" s="25">
        <v>86.8</v>
      </c>
      <c r="O500" s="25">
        <v>140</v>
      </c>
      <c r="P500" s="25">
        <v>0</v>
      </c>
    </row>
    <row r="501" spans="1:16" x14ac:dyDescent="0.25">
      <c r="A501" s="26">
        <v>45491.237534722219</v>
      </c>
      <c r="B501" s="25" t="s">
        <v>16</v>
      </c>
      <c r="C501" s="25" t="s">
        <v>1034</v>
      </c>
      <c r="D501" s="25" t="s">
        <v>1035</v>
      </c>
      <c r="E501" s="25">
        <v>273</v>
      </c>
      <c r="F501" s="25" t="s">
        <v>19</v>
      </c>
      <c r="G501" s="25">
        <v>20.2</v>
      </c>
      <c r="H501" s="25">
        <v>72.2</v>
      </c>
      <c r="I501" s="25" t="s">
        <v>38</v>
      </c>
      <c r="J501" s="25">
        <v>19</v>
      </c>
      <c r="K501" s="25">
        <v>115</v>
      </c>
      <c r="L501" s="25">
        <v>5</v>
      </c>
      <c r="M501" s="25" t="s">
        <v>21</v>
      </c>
      <c r="N501" s="25">
        <v>68.8</v>
      </c>
      <c r="O501" s="25">
        <v>238</v>
      </c>
      <c r="P501" s="25">
        <v>1</v>
      </c>
    </row>
    <row r="502" spans="1:16" x14ac:dyDescent="0.25">
      <c r="A502" s="26">
        <v>45609.480370370373</v>
      </c>
      <c r="B502" s="25" t="s">
        <v>41</v>
      </c>
      <c r="C502" s="25" t="s">
        <v>1036</v>
      </c>
      <c r="D502" s="25" t="s">
        <v>1037</v>
      </c>
      <c r="E502" s="25">
        <v>492</v>
      </c>
      <c r="F502" s="25" t="s">
        <v>34</v>
      </c>
      <c r="G502" s="25">
        <v>21.6</v>
      </c>
      <c r="H502" s="25">
        <v>78.3</v>
      </c>
      <c r="I502" s="25" t="s">
        <v>38</v>
      </c>
      <c r="J502" s="25">
        <v>58</v>
      </c>
      <c r="K502" s="25">
        <v>122</v>
      </c>
      <c r="L502" s="25">
        <v>9</v>
      </c>
      <c r="M502" s="25" t="s">
        <v>21</v>
      </c>
      <c r="N502" s="25">
        <v>61.2</v>
      </c>
      <c r="O502" s="25">
        <v>202</v>
      </c>
      <c r="P502" s="25">
        <v>0</v>
      </c>
    </row>
    <row r="503" spans="1:16" ht="30" customHeight="1" x14ac:dyDescent="0.25">
      <c r="A503" s="26">
        <v>45292.4846875</v>
      </c>
      <c r="B503" s="25" t="s">
        <v>41</v>
      </c>
      <c r="C503" s="25" t="s">
        <v>1038</v>
      </c>
      <c r="D503" s="25" t="s">
        <v>1039</v>
      </c>
      <c r="E503" s="25">
        <v>303</v>
      </c>
      <c r="F503" s="25" t="s">
        <v>25</v>
      </c>
      <c r="G503" s="25">
        <v>24.6</v>
      </c>
      <c r="H503" s="25">
        <v>68.599999999999994</v>
      </c>
      <c r="I503" s="25" t="s">
        <v>20</v>
      </c>
      <c r="J503" s="25">
        <v>50</v>
      </c>
      <c r="K503" s="25">
        <v>213</v>
      </c>
      <c r="L503" s="25">
        <v>6</v>
      </c>
      <c r="M503" s="25" t="s">
        <v>51</v>
      </c>
      <c r="N503" s="25">
        <v>97.1</v>
      </c>
      <c r="O503" s="25">
        <v>297</v>
      </c>
      <c r="P503" s="25">
        <v>0</v>
      </c>
    </row>
    <row r="504" spans="1:16" ht="30" customHeight="1" x14ac:dyDescent="0.25">
      <c r="A504" s="26">
        <v>45572.764664351853</v>
      </c>
      <c r="B504" s="25" t="s">
        <v>22</v>
      </c>
      <c r="C504" s="25" t="s">
        <v>1040</v>
      </c>
      <c r="D504" s="25" t="s">
        <v>1041</v>
      </c>
      <c r="E504" s="25">
        <v>270</v>
      </c>
      <c r="F504" s="25" t="s">
        <v>25</v>
      </c>
      <c r="G504" s="25">
        <v>28.1</v>
      </c>
      <c r="H504" s="25">
        <v>73.599999999999994</v>
      </c>
      <c r="I504" s="25" t="s">
        <v>38</v>
      </c>
      <c r="J504" s="25">
        <v>57</v>
      </c>
      <c r="K504" s="25">
        <v>283</v>
      </c>
      <c r="L504" s="25">
        <v>2</v>
      </c>
      <c r="M504" s="25" t="s">
        <v>51</v>
      </c>
      <c r="N504" s="25">
        <v>92.3</v>
      </c>
      <c r="O504" s="25">
        <v>122</v>
      </c>
      <c r="P504" s="25">
        <v>0</v>
      </c>
    </row>
    <row r="505" spans="1:16" x14ac:dyDescent="0.25">
      <c r="A505" s="26">
        <v>45489.693796296298</v>
      </c>
      <c r="B505" s="25" t="s">
        <v>41</v>
      </c>
      <c r="C505" s="25" t="s">
        <v>1042</v>
      </c>
      <c r="D505" s="25" t="s">
        <v>1043</v>
      </c>
      <c r="E505" s="25">
        <v>382</v>
      </c>
      <c r="F505" s="25" t="s">
        <v>34</v>
      </c>
      <c r="G505" s="25">
        <v>21.6</v>
      </c>
      <c r="H505" s="25">
        <v>50.5</v>
      </c>
      <c r="I505" s="25" t="s">
        <v>20</v>
      </c>
      <c r="J505" s="25">
        <v>31</v>
      </c>
      <c r="K505" s="25">
        <v>160</v>
      </c>
      <c r="L505" s="25">
        <v>8</v>
      </c>
      <c r="M505" s="25" t="s">
        <v>27</v>
      </c>
      <c r="N505" s="25">
        <v>94.8</v>
      </c>
      <c r="O505" s="25">
        <v>261</v>
      </c>
      <c r="P505" s="25">
        <v>0</v>
      </c>
    </row>
    <row r="506" spans="1:16" x14ac:dyDescent="0.25">
      <c r="A506" s="26">
        <v>45395.731851851851</v>
      </c>
      <c r="B506" s="25" t="s">
        <v>41</v>
      </c>
      <c r="C506" s="25" t="s">
        <v>1044</v>
      </c>
      <c r="D506" s="25" t="s">
        <v>1045</v>
      </c>
      <c r="E506" s="25">
        <v>197</v>
      </c>
      <c r="F506" s="25" t="s">
        <v>34</v>
      </c>
      <c r="G506" s="25">
        <v>23.3</v>
      </c>
      <c r="H506" s="25">
        <v>53.5</v>
      </c>
      <c r="I506" s="25" t="s">
        <v>26</v>
      </c>
      <c r="J506" s="25">
        <v>41</v>
      </c>
      <c r="K506" s="25">
        <v>259</v>
      </c>
      <c r="L506" s="25">
        <v>9</v>
      </c>
      <c r="M506" s="25" t="s">
        <v>27</v>
      </c>
      <c r="N506" s="25">
        <v>91.3</v>
      </c>
      <c r="O506" s="25">
        <v>211</v>
      </c>
      <c r="P506" s="25">
        <v>1</v>
      </c>
    </row>
    <row r="507" spans="1:16" x14ac:dyDescent="0.25">
      <c r="A507" s="26">
        <v>45515.096053240741</v>
      </c>
      <c r="B507" s="25" t="s">
        <v>31</v>
      </c>
      <c r="C507" s="25" t="s">
        <v>1046</v>
      </c>
      <c r="D507" s="25" t="s">
        <v>1047</v>
      </c>
      <c r="E507" s="25">
        <v>368</v>
      </c>
      <c r="F507" s="25" t="s">
        <v>25</v>
      </c>
      <c r="G507" s="25">
        <v>25</v>
      </c>
      <c r="H507" s="25">
        <v>60.7</v>
      </c>
      <c r="I507" s="25" t="s">
        <v>38</v>
      </c>
      <c r="J507" s="25">
        <v>37</v>
      </c>
      <c r="K507" s="25">
        <v>382</v>
      </c>
      <c r="L507" s="25">
        <v>5</v>
      </c>
      <c r="M507" s="25" t="s">
        <v>27</v>
      </c>
      <c r="N507" s="25">
        <v>82.8</v>
      </c>
      <c r="O507" s="25">
        <v>225</v>
      </c>
      <c r="P507" s="25">
        <v>0</v>
      </c>
    </row>
    <row r="508" spans="1:16" x14ac:dyDescent="0.25">
      <c r="A508" s="26">
        <v>45310.010717592595</v>
      </c>
      <c r="B508" s="25" t="s">
        <v>16</v>
      </c>
      <c r="C508" s="25" t="s">
        <v>1048</v>
      </c>
      <c r="D508" s="25" t="s">
        <v>1049</v>
      </c>
      <c r="E508" s="25">
        <v>223</v>
      </c>
      <c r="F508" s="25" t="s">
        <v>25</v>
      </c>
      <c r="G508" s="25">
        <v>19.5</v>
      </c>
      <c r="H508" s="25">
        <v>55.6</v>
      </c>
      <c r="I508" s="25" t="s">
        <v>38</v>
      </c>
      <c r="J508" s="25">
        <v>23</v>
      </c>
      <c r="K508" s="25">
        <v>154</v>
      </c>
      <c r="L508" s="25">
        <v>4</v>
      </c>
      <c r="M508" s="25" t="s">
        <v>27</v>
      </c>
      <c r="N508" s="25">
        <v>62.9</v>
      </c>
      <c r="O508" s="25">
        <v>217</v>
      </c>
      <c r="P508" s="25">
        <v>0</v>
      </c>
    </row>
    <row r="509" spans="1:16" x14ac:dyDescent="0.25">
      <c r="A509" s="26">
        <v>45652.159930555557</v>
      </c>
      <c r="B509" s="25" t="s">
        <v>16</v>
      </c>
      <c r="C509" s="25" t="s">
        <v>1050</v>
      </c>
      <c r="D509" s="25" t="s">
        <v>1051</v>
      </c>
      <c r="E509" s="25">
        <v>340</v>
      </c>
      <c r="F509" s="25" t="s">
        <v>19</v>
      </c>
      <c r="G509" s="25">
        <v>25.9</v>
      </c>
      <c r="H509" s="25">
        <v>75.3</v>
      </c>
      <c r="I509" s="25" t="s">
        <v>20</v>
      </c>
      <c r="J509" s="25">
        <v>18</v>
      </c>
      <c r="K509" s="25">
        <v>424</v>
      </c>
      <c r="L509" s="25">
        <v>7</v>
      </c>
      <c r="M509" s="25" t="s">
        <v>27</v>
      </c>
      <c r="N509" s="25">
        <v>67.3</v>
      </c>
      <c r="O509" s="25">
        <v>287</v>
      </c>
      <c r="P509" s="25">
        <v>1</v>
      </c>
    </row>
    <row r="510" spans="1:16" ht="30" customHeight="1" x14ac:dyDescent="0.25">
      <c r="A510" s="26">
        <v>45301.530752314815</v>
      </c>
      <c r="B510" s="25" t="s">
        <v>28</v>
      </c>
      <c r="C510" s="25" t="s">
        <v>1052</v>
      </c>
      <c r="D510" s="25" t="s">
        <v>1053</v>
      </c>
      <c r="E510" s="25">
        <v>355</v>
      </c>
      <c r="F510" s="25" t="s">
        <v>34</v>
      </c>
      <c r="G510" s="25">
        <v>20.2</v>
      </c>
      <c r="H510" s="25">
        <v>51.3</v>
      </c>
      <c r="I510" s="25" t="s">
        <v>38</v>
      </c>
      <c r="J510" s="25">
        <v>49</v>
      </c>
      <c r="K510" s="25">
        <v>323</v>
      </c>
      <c r="L510" s="25">
        <v>4</v>
      </c>
      <c r="M510" s="25" t="s">
        <v>51</v>
      </c>
      <c r="N510" s="25">
        <v>72.599999999999994</v>
      </c>
      <c r="O510" s="25">
        <v>100</v>
      </c>
      <c r="P510" s="25">
        <v>0</v>
      </c>
    </row>
    <row r="511" spans="1:16" x14ac:dyDescent="0.25">
      <c r="A511" s="26">
        <v>45588.550763888888</v>
      </c>
      <c r="B511" s="25" t="s">
        <v>48</v>
      </c>
      <c r="C511" s="25" t="s">
        <v>1054</v>
      </c>
      <c r="D511" s="25" t="s">
        <v>1055</v>
      </c>
      <c r="E511" s="25">
        <v>158</v>
      </c>
      <c r="F511" s="25" t="s">
        <v>25</v>
      </c>
      <c r="G511" s="25">
        <v>26.6</v>
      </c>
      <c r="H511" s="25">
        <v>63.8</v>
      </c>
      <c r="I511" s="25" t="s">
        <v>26</v>
      </c>
      <c r="J511" s="25">
        <v>51</v>
      </c>
      <c r="K511" s="25">
        <v>199</v>
      </c>
      <c r="L511" s="25">
        <v>4</v>
      </c>
      <c r="M511" s="25" t="s">
        <v>21</v>
      </c>
      <c r="N511" s="25">
        <v>84.8</v>
      </c>
      <c r="O511" s="25">
        <v>114</v>
      </c>
      <c r="P511" s="25">
        <v>1</v>
      </c>
    </row>
    <row r="512" spans="1:16" x14ac:dyDescent="0.25">
      <c r="A512" s="26">
        <v>45504.828726851854</v>
      </c>
      <c r="B512" s="25" t="s">
        <v>28</v>
      </c>
      <c r="C512" s="25" t="s">
        <v>1056</v>
      </c>
      <c r="D512" s="25" t="s">
        <v>1057</v>
      </c>
      <c r="E512" s="25">
        <v>126</v>
      </c>
      <c r="F512" s="25" t="s">
        <v>19</v>
      </c>
      <c r="G512" s="25">
        <v>25.1</v>
      </c>
      <c r="H512" s="25">
        <v>58</v>
      </c>
      <c r="I512" s="25" t="s">
        <v>20</v>
      </c>
      <c r="J512" s="25">
        <v>47</v>
      </c>
      <c r="K512" s="25">
        <v>291</v>
      </c>
      <c r="L512" s="25">
        <v>7</v>
      </c>
      <c r="M512" s="25" t="s">
        <v>35</v>
      </c>
      <c r="N512" s="25">
        <v>92.3</v>
      </c>
      <c r="O512" s="25">
        <v>123</v>
      </c>
      <c r="P512" s="25">
        <v>1</v>
      </c>
    </row>
    <row r="513" spans="1:16" x14ac:dyDescent="0.25">
      <c r="A513" s="26">
        <v>45509.934803240743</v>
      </c>
      <c r="B513" s="25" t="s">
        <v>56</v>
      </c>
      <c r="C513" s="25" t="s">
        <v>1058</v>
      </c>
      <c r="D513" s="25" t="s">
        <v>1059</v>
      </c>
      <c r="E513" s="25">
        <v>309</v>
      </c>
      <c r="F513" s="25" t="s">
        <v>25</v>
      </c>
      <c r="G513" s="25">
        <v>20.6</v>
      </c>
      <c r="H513" s="25">
        <v>77.3</v>
      </c>
      <c r="I513" s="25" t="s">
        <v>38</v>
      </c>
      <c r="J513" s="25">
        <v>60</v>
      </c>
      <c r="K513" s="25">
        <v>177</v>
      </c>
      <c r="L513" s="25">
        <v>5</v>
      </c>
      <c r="M513" s="25" t="s">
        <v>27</v>
      </c>
      <c r="N513" s="25">
        <v>69.2</v>
      </c>
      <c r="O513" s="25">
        <v>271</v>
      </c>
      <c r="P513" s="25">
        <v>0</v>
      </c>
    </row>
    <row r="514" spans="1:16" x14ac:dyDescent="0.25">
      <c r="A514" s="26">
        <v>45336.031284722223</v>
      </c>
      <c r="B514" s="25" t="s">
        <v>28</v>
      </c>
      <c r="C514" s="25" t="s">
        <v>1060</v>
      </c>
      <c r="D514" s="25" t="s">
        <v>1061</v>
      </c>
      <c r="E514" s="25">
        <v>171</v>
      </c>
      <c r="F514" s="25" t="s">
        <v>19</v>
      </c>
      <c r="G514" s="25">
        <v>22.6</v>
      </c>
      <c r="H514" s="25">
        <v>69.900000000000006</v>
      </c>
      <c r="I514" s="25" t="s">
        <v>20</v>
      </c>
      <c r="J514" s="25">
        <v>26</v>
      </c>
      <c r="K514" s="25">
        <v>104</v>
      </c>
      <c r="L514" s="25">
        <v>2</v>
      </c>
      <c r="M514" s="25" t="s">
        <v>27</v>
      </c>
      <c r="N514" s="25">
        <v>88.1</v>
      </c>
      <c r="O514" s="25">
        <v>132</v>
      </c>
      <c r="P514" s="25">
        <v>1</v>
      </c>
    </row>
    <row r="515" spans="1:16" x14ac:dyDescent="0.25">
      <c r="A515" s="26">
        <v>45640.031365740739</v>
      </c>
      <c r="B515" s="25" t="s">
        <v>22</v>
      </c>
      <c r="C515" s="25" t="s">
        <v>1062</v>
      </c>
      <c r="D515" s="25" t="s">
        <v>1063</v>
      </c>
      <c r="E515" s="25">
        <v>403</v>
      </c>
      <c r="F515" s="25" t="s">
        <v>25</v>
      </c>
      <c r="G515" s="25">
        <v>29.6</v>
      </c>
      <c r="H515" s="25">
        <v>63</v>
      </c>
      <c r="I515" s="25" t="s">
        <v>38</v>
      </c>
      <c r="J515" s="25">
        <v>12</v>
      </c>
      <c r="K515" s="25">
        <v>197</v>
      </c>
      <c r="L515" s="25">
        <v>4</v>
      </c>
      <c r="M515" s="25" t="s">
        <v>21</v>
      </c>
      <c r="N515" s="25">
        <v>83.8</v>
      </c>
      <c r="O515" s="25">
        <v>228</v>
      </c>
      <c r="P515" s="25">
        <v>0</v>
      </c>
    </row>
    <row r="516" spans="1:16" ht="30" customHeight="1" x14ac:dyDescent="0.25">
      <c r="A516" s="26">
        <v>45489.342002314814</v>
      </c>
      <c r="B516" s="25" t="s">
        <v>22</v>
      </c>
      <c r="C516" s="25" t="s">
        <v>1064</v>
      </c>
      <c r="D516" s="25" t="s">
        <v>1065</v>
      </c>
      <c r="E516" s="25">
        <v>181</v>
      </c>
      <c r="F516" s="25" t="s">
        <v>34</v>
      </c>
      <c r="G516" s="25">
        <v>25.9</v>
      </c>
      <c r="H516" s="25">
        <v>69.099999999999994</v>
      </c>
      <c r="I516" s="25" t="s">
        <v>26</v>
      </c>
      <c r="J516" s="25">
        <v>44</v>
      </c>
      <c r="K516" s="25">
        <v>264</v>
      </c>
      <c r="L516" s="25">
        <v>9</v>
      </c>
      <c r="M516" s="25" t="s">
        <v>51</v>
      </c>
      <c r="N516" s="25">
        <v>69.900000000000006</v>
      </c>
      <c r="O516" s="25">
        <v>223</v>
      </c>
      <c r="P516" s="25">
        <v>1</v>
      </c>
    </row>
    <row r="517" spans="1:16" x14ac:dyDescent="0.25">
      <c r="A517" s="26">
        <v>45634.411377314813</v>
      </c>
      <c r="B517" s="25" t="s">
        <v>16</v>
      </c>
      <c r="C517" s="25" t="s">
        <v>1066</v>
      </c>
      <c r="D517" s="25" t="s">
        <v>1067</v>
      </c>
      <c r="E517" s="25">
        <v>472</v>
      </c>
      <c r="F517" s="25" t="s">
        <v>19</v>
      </c>
      <c r="G517" s="25">
        <v>23</v>
      </c>
      <c r="H517" s="25">
        <v>68</v>
      </c>
      <c r="I517" s="25" t="s">
        <v>26</v>
      </c>
      <c r="J517" s="25">
        <v>34</v>
      </c>
      <c r="K517" s="25">
        <v>365</v>
      </c>
      <c r="L517" s="25">
        <v>3</v>
      </c>
      <c r="M517" s="25" t="s">
        <v>35</v>
      </c>
      <c r="N517" s="25">
        <v>87.8</v>
      </c>
      <c r="O517" s="25">
        <v>294</v>
      </c>
      <c r="P517" s="25">
        <v>1</v>
      </c>
    </row>
    <row r="518" spans="1:16" x14ac:dyDescent="0.25">
      <c r="A518" s="26">
        <v>45420.077719907407</v>
      </c>
      <c r="B518" s="25" t="s">
        <v>56</v>
      </c>
      <c r="C518" s="25" t="s">
        <v>1068</v>
      </c>
      <c r="D518" s="25" t="s">
        <v>1069</v>
      </c>
      <c r="E518" s="25">
        <v>171</v>
      </c>
      <c r="F518" s="25" t="s">
        <v>34</v>
      </c>
      <c r="G518" s="25">
        <v>25.5</v>
      </c>
      <c r="H518" s="25">
        <v>51.1</v>
      </c>
      <c r="I518" s="25" t="s">
        <v>20</v>
      </c>
      <c r="J518" s="25">
        <v>43</v>
      </c>
      <c r="K518" s="25">
        <v>114</v>
      </c>
      <c r="L518" s="25">
        <v>1</v>
      </c>
      <c r="M518" s="25" t="s">
        <v>27</v>
      </c>
      <c r="N518" s="25">
        <v>92.5</v>
      </c>
      <c r="O518" s="25">
        <v>149</v>
      </c>
      <c r="P518" s="25">
        <v>0</v>
      </c>
    </row>
    <row r="519" spans="1:16" x14ac:dyDescent="0.25">
      <c r="A519" s="26">
        <v>45493.565081018518</v>
      </c>
      <c r="B519" s="25" t="s">
        <v>22</v>
      </c>
      <c r="C519" s="25" t="s">
        <v>1070</v>
      </c>
      <c r="D519" s="25" t="s">
        <v>1071</v>
      </c>
      <c r="E519" s="25">
        <v>204</v>
      </c>
      <c r="F519" s="25" t="s">
        <v>19</v>
      </c>
      <c r="G519" s="25">
        <v>19.2</v>
      </c>
      <c r="H519" s="25">
        <v>58</v>
      </c>
      <c r="I519" s="25" t="s">
        <v>26</v>
      </c>
      <c r="J519" s="25">
        <v>50</v>
      </c>
      <c r="K519" s="25">
        <v>465</v>
      </c>
      <c r="L519" s="25">
        <v>8</v>
      </c>
      <c r="M519" s="25" t="s">
        <v>27</v>
      </c>
      <c r="N519" s="25">
        <v>85.2</v>
      </c>
      <c r="O519" s="25">
        <v>133</v>
      </c>
      <c r="P519" s="25">
        <v>1</v>
      </c>
    </row>
    <row r="520" spans="1:16" x14ac:dyDescent="0.25">
      <c r="A520" s="26">
        <v>45589.624907407408</v>
      </c>
      <c r="B520" s="25" t="s">
        <v>41</v>
      </c>
      <c r="C520" s="25" t="s">
        <v>1072</v>
      </c>
      <c r="D520" s="25" t="s">
        <v>1073</v>
      </c>
      <c r="E520" s="25">
        <v>254</v>
      </c>
      <c r="F520" s="25" t="s">
        <v>25</v>
      </c>
      <c r="G520" s="25">
        <v>26.7</v>
      </c>
      <c r="H520" s="25">
        <v>51.3</v>
      </c>
      <c r="I520" s="25" t="s">
        <v>20</v>
      </c>
      <c r="J520" s="25">
        <v>11</v>
      </c>
      <c r="K520" s="25">
        <v>378</v>
      </c>
      <c r="L520" s="25">
        <v>8</v>
      </c>
      <c r="M520" s="25" t="s">
        <v>21</v>
      </c>
      <c r="N520" s="25">
        <v>90.6</v>
      </c>
      <c r="O520" s="25">
        <v>208</v>
      </c>
      <c r="P520" s="25">
        <v>0</v>
      </c>
    </row>
    <row r="521" spans="1:16" x14ac:dyDescent="0.25">
      <c r="A521" s="26">
        <v>45619.456192129626</v>
      </c>
      <c r="B521" s="25" t="s">
        <v>41</v>
      </c>
      <c r="C521" s="25" t="s">
        <v>1074</v>
      </c>
      <c r="D521" s="25" t="s">
        <v>1075</v>
      </c>
      <c r="E521" s="25">
        <v>100</v>
      </c>
      <c r="F521" s="25" t="s">
        <v>19</v>
      </c>
      <c r="G521" s="25">
        <v>21</v>
      </c>
      <c r="H521" s="25">
        <v>71.2</v>
      </c>
      <c r="I521" s="25" t="s">
        <v>38</v>
      </c>
      <c r="J521" s="25">
        <v>19</v>
      </c>
      <c r="K521" s="25">
        <v>315</v>
      </c>
      <c r="L521" s="25">
        <v>9</v>
      </c>
      <c r="M521" s="25" t="s">
        <v>27</v>
      </c>
      <c r="N521" s="25">
        <v>82.2</v>
      </c>
      <c r="O521" s="25">
        <v>100</v>
      </c>
      <c r="P521" s="25">
        <v>1</v>
      </c>
    </row>
    <row r="522" spans="1:16" ht="30" customHeight="1" x14ac:dyDescent="0.25">
      <c r="A522" s="26">
        <v>45400.368750000001</v>
      </c>
      <c r="B522" s="25" t="s">
        <v>95</v>
      </c>
      <c r="C522" s="25" t="s">
        <v>1076</v>
      </c>
      <c r="D522" s="25" t="s">
        <v>1077</v>
      </c>
      <c r="E522" s="25">
        <v>211</v>
      </c>
      <c r="F522" s="25" t="s">
        <v>34</v>
      </c>
      <c r="G522" s="25">
        <v>23.7</v>
      </c>
      <c r="H522" s="25">
        <v>66.7</v>
      </c>
      <c r="I522" s="25" t="s">
        <v>26</v>
      </c>
      <c r="J522" s="25">
        <v>36</v>
      </c>
      <c r="K522" s="25">
        <v>149</v>
      </c>
      <c r="L522" s="25">
        <v>1</v>
      </c>
      <c r="M522" s="25" t="s">
        <v>51</v>
      </c>
      <c r="N522" s="25">
        <v>60.7</v>
      </c>
      <c r="O522" s="25">
        <v>256</v>
      </c>
      <c r="P522" s="25">
        <v>1</v>
      </c>
    </row>
    <row r="523" spans="1:16" x14ac:dyDescent="0.25">
      <c r="A523" s="26">
        <v>45515.196875000001</v>
      </c>
      <c r="B523" s="25" t="s">
        <v>31</v>
      </c>
      <c r="C523" s="25" t="s">
        <v>1078</v>
      </c>
      <c r="D523" s="25" t="s">
        <v>1079</v>
      </c>
      <c r="E523" s="25">
        <v>145</v>
      </c>
      <c r="F523" s="25" t="s">
        <v>19</v>
      </c>
      <c r="G523" s="25">
        <v>18.2</v>
      </c>
      <c r="H523" s="25">
        <v>62.2</v>
      </c>
      <c r="I523" s="25" t="s">
        <v>26</v>
      </c>
      <c r="J523" s="25">
        <v>56</v>
      </c>
      <c r="K523" s="25">
        <v>430</v>
      </c>
      <c r="L523" s="25">
        <v>5</v>
      </c>
      <c r="M523" s="25" t="s">
        <v>35</v>
      </c>
      <c r="N523" s="25">
        <v>86.7</v>
      </c>
      <c r="O523" s="25">
        <v>260</v>
      </c>
      <c r="P523" s="25">
        <v>1</v>
      </c>
    </row>
    <row r="524" spans="1:16" x14ac:dyDescent="0.25">
      <c r="A524" s="26">
        <v>45574.561851851853</v>
      </c>
      <c r="B524" s="25" t="s">
        <v>22</v>
      </c>
      <c r="C524" s="25" t="s">
        <v>1080</v>
      </c>
      <c r="D524" s="25" t="s">
        <v>1081</v>
      </c>
      <c r="E524" s="25">
        <v>244</v>
      </c>
      <c r="F524" s="25" t="s">
        <v>34</v>
      </c>
      <c r="G524" s="25">
        <v>21.3</v>
      </c>
      <c r="H524" s="25">
        <v>79.400000000000006</v>
      </c>
      <c r="I524" s="25" t="s">
        <v>26</v>
      </c>
      <c r="J524" s="25">
        <v>22</v>
      </c>
      <c r="K524" s="25">
        <v>312</v>
      </c>
      <c r="L524" s="25">
        <v>9</v>
      </c>
      <c r="M524" s="25" t="s">
        <v>21</v>
      </c>
      <c r="N524" s="25">
        <v>63.5</v>
      </c>
      <c r="O524" s="25">
        <v>171</v>
      </c>
      <c r="P524" s="25">
        <v>1</v>
      </c>
    </row>
    <row r="525" spans="1:16" x14ac:dyDescent="0.25">
      <c r="A525" s="26">
        <v>45647.643171296295</v>
      </c>
      <c r="B525" s="25" t="s">
        <v>95</v>
      </c>
      <c r="C525" s="25" t="s">
        <v>1082</v>
      </c>
      <c r="D525" s="25" t="s">
        <v>1083</v>
      </c>
      <c r="E525" s="25">
        <v>104</v>
      </c>
      <c r="F525" s="25" t="s">
        <v>34</v>
      </c>
      <c r="G525" s="25">
        <v>29.4</v>
      </c>
      <c r="H525" s="25">
        <v>59.1</v>
      </c>
      <c r="I525" s="25" t="s">
        <v>20</v>
      </c>
      <c r="J525" s="25">
        <v>58</v>
      </c>
      <c r="K525" s="25">
        <v>229</v>
      </c>
      <c r="L525" s="25">
        <v>3</v>
      </c>
      <c r="M525" s="25" t="s">
        <v>27</v>
      </c>
      <c r="N525" s="25">
        <v>82.9</v>
      </c>
      <c r="O525" s="25">
        <v>283</v>
      </c>
      <c r="P525" s="25">
        <v>0</v>
      </c>
    </row>
    <row r="526" spans="1:16" x14ac:dyDescent="0.25">
      <c r="A526" s="26">
        <v>45312.967824074076</v>
      </c>
      <c r="B526" s="25" t="s">
        <v>64</v>
      </c>
      <c r="C526" s="25" t="s">
        <v>1084</v>
      </c>
      <c r="D526" s="25" t="s">
        <v>1085</v>
      </c>
      <c r="E526" s="25">
        <v>356</v>
      </c>
      <c r="F526" s="25" t="s">
        <v>25</v>
      </c>
      <c r="G526" s="25">
        <v>18.399999999999999</v>
      </c>
      <c r="H526" s="25">
        <v>75.2</v>
      </c>
      <c r="I526" s="25" t="s">
        <v>38</v>
      </c>
      <c r="J526" s="25">
        <v>32</v>
      </c>
      <c r="K526" s="25">
        <v>291</v>
      </c>
      <c r="L526" s="25">
        <v>6</v>
      </c>
      <c r="M526" s="25" t="s">
        <v>21</v>
      </c>
      <c r="N526" s="25">
        <v>90.7</v>
      </c>
      <c r="O526" s="25">
        <v>206</v>
      </c>
      <c r="P526" s="25">
        <v>0</v>
      </c>
    </row>
    <row r="527" spans="1:16" x14ac:dyDescent="0.25">
      <c r="A527" s="26">
        <v>45379.326909722222</v>
      </c>
      <c r="B527" s="25" t="s">
        <v>41</v>
      </c>
      <c r="C527" s="25" t="s">
        <v>1086</v>
      </c>
      <c r="D527" s="25" t="s">
        <v>1087</v>
      </c>
      <c r="E527" s="25">
        <v>114</v>
      </c>
      <c r="F527" s="25" t="s">
        <v>25</v>
      </c>
      <c r="G527" s="25">
        <v>26.8</v>
      </c>
      <c r="H527" s="25">
        <v>62.1</v>
      </c>
      <c r="I527" s="25" t="s">
        <v>26</v>
      </c>
      <c r="J527" s="25">
        <v>55</v>
      </c>
      <c r="K527" s="25">
        <v>334</v>
      </c>
      <c r="L527" s="25">
        <v>6</v>
      </c>
      <c r="M527" s="25" t="s">
        <v>21</v>
      </c>
      <c r="N527" s="25">
        <v>85.2</v>
      </c>
      <c r="O527" s="25">
        <v>202</v>
      </c>
      <c r="P527" s="25">
        <v>1</v>
      </c>
    </row>
    <row r="528" spans="1:16" x14ac:dyDescent="0.25">
      <c r="A528" s="26">
        <v>45628.452847222223</v>
      </c>
      <c r="B528" s="25" t="s">
        <v>22</v>
      </c>
      <c r="C528" s="25" t="s">
        <v>1088</v>
      </c>
      <c r="D528" s="25" t="s">
        <v>1089</v>
      </c>
      <c r="E528" s="25">
        <v>404</v>
      </c>
      <c r="F528" s="25" t="s">
        <v>34</v>
      </c>
      <c r="G528" s="25">
        <v>19</v>
      </c>
      <c r="H528" s="25">
        <v>76.2</v>
      </c>
      <c r="I528" s="25" t="s">
        <v>26</v>
      </c>
      <c r="J528" s="25">
        <v>54</v>
      </c>
      <c r="K528" s="25">
        <v>230</v>
      </c>
      <c r="L528" s="25">
        <v>4</v>
      </c>
      <c r="M528" s="25" t="s">
        <v>21</v>
      </c>
      <c r="N528" s="25">
        <v>83.7</v>
      </c>
      <c r="O528" s="25">
        <v>171</v>
      </c>
      <c r="P528" s="25">
        <v>1</v>
      </c>
    </row>
    <row r="529" spans="1:16" ht="30" customHeight="1" x14ac:dyDescent="0.25">
      <c r="A529" s="26">
        <v>45656.848587962966</v>
      </c>
      <c r="B529" s="25" t="s">
        <v>64</v>
      </c>
      <c r="C529" s="25" t="s">
        <v>1090</v>
      </c>
      <c r="D529" s="25" t="s">
        <v>1091</v>
      </c>
      <c r="E529" s="25">
        <v>500</v>
      </c>
      <c r="F529" s="25" t="s">
        <v>34</v>
      </c>
      <c r="G529" s="25">
        <v>21.7</v>
      </c>
      <c r="H529" s="25">
        <v>56.2</v>
      </c>
      <c r="I529" s="25" t="s">
        <v>20</v>
      </c>
      <c r="J529" s="25">
        <v>20</v>
      </c>
      <c r="K529" s="25">
        <v>381</v>
      </c>
      <c r="L529" s="25">
        <v>10</v>
      </c>
      <c r="M529" s="25" t="s">
        <v>51</v>
      </c>
      <c r="N529" s="25">
        <v>90.7</v>
      </c>
      <c r="O529" s="25">
        <v>222</v>
      </c>
      <c r="P529" s="25">
        <v>0</v>
      </c>
    </row>
    <row r="530" spans="1:16" x14ac:dyDescent="0.25">
      <c r="A530" s="26">
        <v>45547.487627314818</v>
      </c>
      <c r="B530" s="25" t="s">
        <v>64</v>
      </c>
      <c r="C530" s="25" t="s">
        <v>1092</v>
      </c>
      <c r="D530" s="25" t="s">
        <v>1093</v>
      </c>
      <c r="E530" s="25">
        <v>375</v>
      </c>
      <c r="F530" s="25" t="s">
        <v>19</v>
      </c>
      <c r="G530" s="25">
        <v>23</v>
      </c>
      <c r="H530" s="25">
        <v>76.3</v>
      </c>
      <c r="I530" s="25" t="s">
        <v>20</v>
      </c>
      <c r="J530" s="25">
        <v>49</v>
      </c>
      <c r="K530" s="25">
        <v>131</v>
      </c>
      <c r="L530" s="25">
        <v>4</v>
      </c>
      <c r="M530" s="25" t="s">
        <v>21</v>
      </c>
      <c r="N530" s="25">
        <v>87.8</v>
      </c>
      <c r="O530" s="25">
        <v>137</v>
      </c>
      <c r="P530" s="25">
        <v>1</v>
      </c>
    </row>
    <row r="531" spans="1:16" x14ac:dyDescent="0.25">
      <c r="A531" s="26">
        <v>45589.9609837963</v>
      </c>
      <c r="B531" s="25" t="s">
        <v>56</v>
      </c>
      <c r="C531" s="25" t="s">
        <v>1094</v>
      </c>
      <c r="D531" s="25" t="s">
        <v>1095</v>
      </c>
      <c r="E531" s="25">
        <v>361</v>
      </c>
      <c r="F531" s="25" t="s">
        <v>25</v>
      </c>
      <c r="G531" s="25">
        <v>22.3</v>
      </c>
      <c r="H531" s="25">
        <v>66.8</v>
      </c>
      <c r="I531" s="25" t="s">
        <v>26</v>
      </c>
      <c r="J531" s="25">
        <v>60</v>
      </c>
      <c r="K531" s="25">
        <v>157</v>
      </c>
      <c r="L531" s="25">
        <v>4</v>
      </c>
      <c r="M531" s="25" t="s">
        <v>35</v>
      </c>
      <c r="N531" s="25">
        <v>79.8</v>
      </c>
      <c r="O531" s="25">
        <v>247</v>
      </c>
      <c r="P531" s="25">
        <v>1</v>
      </c>
    </row>
    <row r="532" spans="1:16" x14ac:dyDescent="0.25">
      <c r="A532" s="26">
        <v>45358.911354166667</v>
      </c>
      <c r="B532" s="25" t="s">
        <v>61</v>
      </c>
      <c r="C532" s="25" t="s">
        <v>1096</v>
      </c>
      <c r="D532" s="25" t="s">
        <v>1097</v>
      </c>
      <c r="E532" s="25">
        <v>239</v>
      </c>
      <c r="F532" s="25" t="s">
        <v>19</v>
      </c>
      <c r="G532" s="25">
        <v>26.6</v>
      </c>
      <c r="H532" s="25">
        <v>51.6</v>
      </c>
      <c r="I532" s="25" t="s">
        <v>20</v>
      </c>
      <c r="J532" s="25">
        <v>33</v>
      </c>
      <c r="K532" s="25">
        <v>333</v>
      </c>
      <c r="L532" s="25">
        <v>2</v>
      </c>
      <c r="M532" s="25" t="s">
        <v>35</v>
      </c>
      <c r="N532" s="25">
        <v>95.1</v>
      </c>
      <c r="O532" s="25">
        <v>277</v>
      </c>
      <c r="P532" s="25">
        <v>1</v>
      </c>
    </row>
    <row r="533" spans="1:16" x14ac:dyDescent="0.25">
      <c r="A533" s="26">
        <v>45294.547488425924</v>
      </c>
      <c r="B533" s="25" t="s">
        <v>28</v>
      </c>
      <c r="C533" s="25" t="s">
        <v>1098</v>
      </c>
      <c r="D533" s="25" t="s">
        <v>1099</v>
      </c>
      <c r="E533" s="25">
        <v>191</v>
      </c>
      <c r="F533" s="25" t="s">
        <v>25</v>
      </c>
      <c r="G533" s="25">
        <v>24</v>
      </c>
      <c r="H533" s="25">
        <v>59.7</v>
      </c>
      <c r="I533" s="25" t="s">
        <v>38</v>
      </c>
      <c r="J533" s="25">
        <v>51</v>
      </c>
      <c r="K533" s="25">
        <v>268</v>
      </c>
      <c r="L533" s="25">
        <v>8</v>
      </c>
      <c r="M533" s="25" t="s">
        <v>21</v>
      </c>
      <c r="N533" s="25">
        <v>97</v>
      </c>
      <c r="O533" s="25">
        <v>111</v>
      </c>
      <c r="P533" s="25">
        <v>0</v>
      </c>
    </row>
    <row r="534" spans="1:16" x14ac:dyDescent="0.25">
      <c r="A534" s="26">
        <v>45634.017152777778</v>
      </c>
      <c r="B534" s="25" t="s">
        <v>48</v>
      </c>
      <c r="C534" s="25" t="s">
        <v>1100</v>
      </c>
      <c r="D534" s="25" t="s">
        <v>1101</v>
      </c>
      <c r="E534" s="25">
        <v>171</v>
      </c>
      <c r="F534" s="25" t="s">
        <v>19</v>
      </c>
      <c r="G534" s="25">
        <v>21.3</v>
      </c>
      <c r="H534" s="25">
        <v>58.7</v>
      </c>
      <c r="I534" s="25" t="s">
        <v>20</v>
      </c>
      <c r="J534" s="25">
        <v>10</v>
      </c>
      <c r="K534" s="25">
        <v>292</v>
      </c>
      <c r="L534" s="25">
        <v>4</v>
      </c>
      <c r="M534" s="25" t="s">
        <v>35</v>
      </c>
      <c r="N534" s="25">
        <v>65</v>
      </c>
      <c r="O534" s="25">
        <v>184</v>
      </c>
      <c r="P534" s="25">
        <v>1</v>
      </c>
    </row>
    <row r="535" spans="1:16" x14ac:dyDescent="0.25">
      <c r="A535" s="26">
        <v>45548.373715277776</v>
      </c>
      <c r="B535" s="25" t="s">
        <v>64</v>
      </c>
      <c r="C535" s="25" t="s">
        <v>1102</v>
      </c>
      <c r="D535" s="25" t="s">
        <v>1103</v>
      </c>
      <c r="E535" s="25">
        <v>113</v>
      </c>
      <c r="F535" s="25" t="s">
        <v>19</v>
      </c>
      <c r="G535" s="25">
        <v>28.9</v>
      </c>
      <c r="H535" s="25">
        <v>56.3</v>
      </c>
      <c r="I535" s="25" t="s">
        <v>26</v>
      </c>
      <c r="J535" s="25">
        <v>22</v>
      </c>
      <c r="K535" s="25">
        <v>417</v>
      </c>
      <c r="L535" s="25">
        <v>6</v>
      </c>
      <c r="M535" s="25" t="s">
        <v>27</v>
      </c>
      <c r="N535" s="25">
        <v>60.8</v>
      </c>
      <c r="O535" s="25">
        <v>142</v>
      </c>
      <c r="P535" s="25">
        <v>1</v>
      </c>
    </row>
    <row r="536" spans="1:16" x14ac:dyDescent="0.25">
      <c r="A536" s="26">
        <v>45504.927858796298</v>
      </c>
      <c r="B536" s="25" t="s">
        <v>41</v>
      </c>
      <c r="C536" s="25" t="s">
        <v>1104</v>
      </c>
      <c r="D536" s="25" t="s">
        <v>1105</v>
      </c>
      <c r="E536" s="25">
        <v>298</v>
      </c>
      <c r="F536" s="25" t="s">
        <v>25</v>
      </c>
      <c r="G536" s="25">
        <v>18.8</v>
      </c>
      <c r="H536" s="25">
        <v>79.5</v>
      </c>
      <c r="I536" s="25" t="s">
        <v>20</v>
      </c>
      <c r="J536" s="25">
        <v>51</v>
      </c>
      <c r="K536" s="25">
        <v>393</v>
      </c>
      <c r="L536" s="25">
        <v>4</v>
      </c>
      <c r="M536" s="25" t="s">
        <v>35</v>
      </c>
      <c r="N536" s="25">
        <v>74.599999999999994</v>
      </c>
      <c r="O536" s="25">
        <v>110</v>
      </c>
      <c r="P536" s="25">
        <v>0</v>
      </c>
    </row>
    <row r="537" spans="1:16" ht="30" customHeight="1" x14ac:dyDescent="0.25">
      <c r="A537" s="26">
        <v>45621.958310185182</v>
      </c>
      <c r="B537" s="25" t="s">
        <v>56</v>
      </c>
      <c r="C537" s="25" t="s">
        <v>1106</v>
      </c>
      <c r="D537" s="25" t="s">
        <v>1107</v>
      </c>
      <c r="E537" s="25">
        <v>184</v>
      </c>
      <c r="F537" s="25" t="s">
        <v>34</v>
      </c>
      <c r="G537" s="25">
        <v>26</v>
      </c>
      <c r="H537" s="25">
        <v>59.6</v>
      </c>
      <c r="I537" s="25" t="s">
        <v>26</v>
      </c>
      <c r="J537" s="25">
        <v>34</v>
      </c>
      <c r="K537" s="25">
        <v>235</v>
      </c>
      <c r="L537" s="25">
        <v>6</v>
      </c>
      <c r="M537" s="25" t="s">
        <v>51</v>
      </c>
      <c r="N537" s="25">
        <v>66.7</v>
      </c>
      <c r="O537" s="25">
        <v>299</v>
      </c>
      <c r="P537" s="25">
        <v>1</v>
      </c>
    </row>
    <row r="538" spans="1:16" x14ac:dyDescent="0.25">
      <c r="A538" s="26">
        <v>45442.653298611112</v>
      </c>
      <c r="B538" s="25" t="s">
        <v>41</v>
      </c>
      <c r="C538" s="25" t="s">
        <v>1108</v>
      </c>
      <c r="D538" s="25" t="s">
        <v>1109</v>
      </c>
      <c r="E538" s="25">
        <v>298</v>
      </c>
      <c r="F538" s="25" t="s">
        <v>34</v>
      </c>
      <c r="G538" s="25">
        <v>18.899999999999999</v>
      </c>
      <c r="H538" s="25">
        <v>65.900000000000006</v>
      </c>
      <c r="I538" s="25" t="s">
        <v>20</v>
      </c>
      <c r="J538" s="25">
        <v>41</v>
      </c>
      <c r="K538" s="25">
        <v>269</v>
      </c>
      <c r="L538" s="25">
        <v>2</v>
      </c>
      <c r="M538" s="25" t="s">
        <v>21</v>
      </c>
      <c r="N538" s="25">
        <v>64.8</v>
      </c>
      <c r="O538" s="25">
        <v>234</v>
      </c>
      <c r="P538" s="25">
        <v>0</v>
      </c>
    </row>
    <row r="539" spans="1:16" x14ac:dyDescent="0.25">
      <c r="A539" s="26">
        <v>45356.874444444446</v>
      </c>
      <c r="B539" s="25" t="s">
        <v>61</v>
      </c>
      <c r="C539" s="25" t="s">
        <v>1110</v>
      </c>
      <c r="D539" s="25" t="s">
        <v>1111</v>
      </c>
      <c r="E539" s="25">
        <v>439</v>
      </c>
      <c r="F539" s="25" t="s">
        <v>19</v>
      </c>
      <c r="G539" s="25">
        <v>25.1</v>
      </c>
      <c r="H539" s="25">
        <v>66.099999999999994</v>
      </c>
      <c r="I539" s="25" t="s">
        <v>38</v>
      </c>
      <c r="J539" s="25">
        <v>46</v>
      </c>
      <c r="K539" s="25">
        <v>151</v>
      </c>
      <c r="L539" s="25">
        <v>4</v>
      </c>
      <c r="M539" s="25" t="s">
        <v>21</v>
      </c>
      <c r="N539" s="25">
        <v>79.2</v>
      </c>
      <c r="O539" s="25">
        <v>209</v>
      </c>
      <c r="P539" s="25">
        <v>1</v>
      </c>
    </row>
    <row r="540" spans="1:16" x14ac:dyDescent="0.25">
      <c r="A540" s="26">
        <v>45524.645879629628</v>
      </c>
      <c r="B540" s="25" t="s">
        <v>61</v>
      </c>
      <c r="C540" s="25" t="s">
        <v>1112</v>
      </c>
      <c r="D540" s="25" t="s">
        <v>1113</v>
      </c>
      <c r="E540" s="25">
        <v>142</v>
      </c>
      <c r="F540" s="25" t="s">
        <v>19</v>
      </c>
      <c r="G540" s="25">
        <v>28</v>
      </c>
      <c r="H540" s="25">
        <v>67.2</v>
      </c>
      <c r="I540" s="25" t="s">
        <v>26</v>
      </c>
      <c r="J540" s="25">
        <v>49</v>
      </c>
      <c r="K540" s="25">
        <v>458</v>
      </c>
      <c r="L540" s="25">
        <v>8</v>
      </c>
      <c r="M540" s="25" t="s">
        <v>35</v>
      </c>
      <c r="N540" s="25">
        <v>92.5</v>
      </c>
      <c r="O540" s="25">
        <v>224</v>
      </c>
      <c r="P540" s="25">
        <v>1</v>
      </c>
    </row>
    <row r="541" spans="1:16" x14ac:dyDescent="0.25">
      <c r="A541" s="26">
        <v>45554.513298611113</v>
      </c>
      <c r="B541" s="25" t="s">
        <v>22</v>
      </c>
      <c r="C541" s="25" t="s">
        <v>1114</v>
      </c>
      <c r="D541" s="25" t="s">
        <v>1115</v>
      </c>
      <c r="E541" s="25">
        <v>202</v>
      </c>
      <c r="F541" s="25" t="s">
        <v>34</v>
      </c>
      <c r="G541" s="25">
        <v>18.5</v>
      </c>
      <c r="H541" s="25">
        <v>69.5</v>
      </c>
      <c r="I541" s="25" t="s">
        <v>26</v>
      </c>
      <c r="J541" s="25">
        <v>54</v>
      </c>
      <c r="K541" s="25">
        <v>261</v>
      </c>
      <c r="L541" s="25">
        <v>3</v>
      </c>
      <c r="M541" s="25" t="s">
        <v>21</v>
      </c>
      <c r="N541" s="25">
        <v>62.5</v>
      </c>
      <c r="O541" s="25">
        <v>213</v>
      </c>
      <c r="P541" s="25">
        <v>1</v>
      </c>
    </row>
    <row r="542" spans="1:16" x14ac:dyDescent="0.25">
      <c r="A542" s="26">
        <v>45353.65121527778</v>
      </c>
      <c r="B542" s="25" t="s">
        <v>61</v>
      </c>
      <c r="C542" s="25" t="s">
        <v>1116</v>
      </c>
      <c r="D542" s="25" t="s">
        <v>1117</v>
      </c>
      <c r="E542" s="25">
        <v>418</v>
      </c>
      <c r="F542" s="25" t="s">
        <v>19</v>
      </c>
      <c r="G542" s="25">
        <v>29.6</v>
      </c>
      <c r="H542" s="25">
        <v>67.400000000000006</v>
      </c>
      <c r="I542" s="25" t="s">
        <v>26</v>
      </c>
      <c r="J542" s="25">
        <v>54</v>
      </c>
      <c r="K542" s="25">
        <v>199</v>
      </c>
      <c r="L542" s="25">
        <v>9</v>
      </c>
      <c r="M542" s="25" t="s">
        <v>35</v>
      </c>
      <c r="N542" s="25">
        <v>99.9</v>
      </c>
      <c r="O542" s="25">
        <v>215</v>
      </c>
      <c r="P542" s="25">
        <v>1</v>
      </c>
    </row>
    <row r="543" spans="1:16" ht="30" customHeight="1" x14ac:dyDescent="0.25">
      <c r="A543" s="26">
        <v>45346.959780092591</v>
      </c>
      <c r="B543" s="25" t="s">
        <v>41</v>
      </c>
      <c r="C543" s="25" t="s">
        <v>1118</v>
      </c>
      <c r="D543" s="25" t="s">
        <v>1119</v>
      </c>
      <c r="E543" s="25">
        <v>458</v>
      </c>
      <c r="F543" s="25" t="s">
        <v>19</v>
      </c>
      <c r="G543" s="25">
        <v>23.3</v>
      </c>
      <c r="H543" s="25">
        <v>58.6</v>
      </c>
      <c r="I543" s="25" t="s">
        <v>26</v>
      </c>
      <c r="J543" s="25">
        <v>43</v>
      </c>
      <c r="K543" s="25">
        <v>372</v>
      </c>
      <c r="L543" s="25">
        <v>10</v>
      </c>
      <c r="M543" s="25" t="s">
        <v>51</v>
      </c>
      <c r="N543" s="25">
        <v>92.9</v>
      </c>
      <c r="O543" s="25">
        <v>262</v>
      </c>
      <c r="P543" s="25">
        <v>1</v>
      </c>
    </row>
    <row r="544" spans="1:16" ht="30" customHeight="1" x14ac:dyDescent="0.25">
      <c r="A544" s="26">
        <v>45356.472650462965</v>
      </c>
      <c r="B544" s="25" t="s">
        <v>56</v>
      </c>
      <c r="C544" s="25" t="s">
        <v>1120</v>
      </c>
      <c r="D544" s="25" t="s">
        <v>1121</v>
      </c>
      <c r="E544" s="25">
        <v>313</v>
      </c>
      <c r="F544" s="25" t="s">
        <v>25</v>
      </c>
      <c r="G544" s="25">
        <v>18.7</v>
      </c>
      <c r="H544" s="25">
        <v>74.7</v>
      </c>
      <c r="I544" s="25" t="s">
        <v>26</v>
      </c>
      <c r="J544" s="25">
        <v>16</v>
      </c>
      <c r="K544" s="25">
        <v>284</v>
      </c>
      <c r="L544" s="25">
        <v>3</v>
      </c>
      <c r="M544" s="25" t="s">
        <v>51</v>
      </c>
      <c r="N544" s="25">
        <v>69</v>
      </c>
      <c r="O544" s="25">
        <v>105</v>
      </c>
      <c r="P544" s="25">
        <v>1</v>
      </c>
    </row>
    <row r="545" spans="1:16" x14ac:dyDescent="0.25">
      <c r="A545" s="26">
        <v>45355.982534722221</v>
      </c>
      <c r="B545" s="25" t="s">
        <v>31</v>
      </c>
      <c r="C545" s="25" t="s">
        <v>1122</v>
      </c>
      <c r="D545" s="25" t="s">
        <v>1123</v>
      </c>
      <c r="E545" s="25">
        <v>457</v>
      </c>
      <c r="F545" s="25" t="s">
        <v>19</v>
      </c>
      <c r="G545" s="25">
        <v>18.2</v>
      </c>
      <c r="H545" s="25">
        <v>62.6</v>
      </c>
      <c r="I545" s="25" t="s">
        <v>20</v>
      </c>
      <c r="J545" s="25">
        <v>18</v>
      </c>
      <c r="K545" s="25">
        <v>217</v>
      </c>
      <c r="L545" s="25">
        <v>9</v>
      </c>
      <c r="M545" s="25" t="s">
        <v>21</v>
      </c>
      <c r="N545" s="25">
        <v>97.8</v>
      </c>
      <c r="O545" s="25">
        <v>199</v>
      </c>
      <c r="P545" s="25">
        <v>1</v>
      </c>
    </row>
    <row r="546" spans="1:16" x14ac:dyDescent="0.25">
      <c r="A546" s="26">
        <v>45473.190266203703</v>
      </c>
      <c r="B546" s="25" t="s">
        <v>48</v>
      </c>
      <c r="C546" s="25" t="s">
        <v>1124</v>
      </c>
      <c r="D546" s="25" t="s">
        <v>1125</v>
      </c>
      <c r="E546" s="25">
        <v>298</v>
      </c>
      <c r="F546" s="25" t="s">
        <v>34</v>
      </c>
      <c r="G546" s="25">
        <v>27.8</v>
      </c>
      <c r="H546" s="25">
        <v>76.900000000000006</v>
      </c>
      <c r="I546" s="25" t="s">
        <v>26</v>
      </c>
      <c r="J546" s="25">
        <v>18</v>
      </c>
      <c r="K546" s="25">
        <v>414</v>
      </c>
      <c r="L546" s="25">
        <v>5</v>
      </c>
      <c r="M546" s="25" t="s">
        <v>21</v>
      </c>
      <c r="N546" s="25">
        <v>72.2</v>
      </c>
      <c r="O546" s="25">
        <v>164</v>
      </c>
      <c r="P546" s="25">
        <v>1</v>
      </c>
    </row>
    <row r="547" spans="1:16" ht="30" customHeight="1" x14ac:dyDescent="0.25">
      <c r="A547" s="26">
        <v>45628.430393518516</v>
      </c>
      <c r="B547" s="25" t="s">
        <v>41</v>
      </c>
      <c r="C547" s="25" t="s">
        <v>1126</v>
      </c>
      <c r="D547" s="25" t="s">
        <v>1127</v>
      </c>
      <c r="E547" s="25">
        <v>106</v>
      </c>
      <c r="F547" s="25" t="s">
        <v>19</v>
      </c>
      <c r="G547" s="25">
        <v>23.7</v>
      </c>
      <c r="H547" s="25">
        <v>74.7</v>
      </c>
      <c r="I547" s="25" t="s">
        <v>26</v>
      </c>
      <c r="J547" s="25">
        <v>14</v>
      </c>
      <c r="K547" s="25">
        <v>442</v>
      </c>
      <c r="L547" s="25">
        <v>4</v>
      </c>
      <c r="M547" s="25" t="s">
        <v>51</v>
      </c>
      <c r="N547" s="25">
        <v>83.6</v>
      </c>
      <c r="O547" s="25">
        <v>276</v>
      </c>
      <c r="P547" s="25">
        <v>1</v>
      </c>
    </row>
    <row r="548" spans="1:16" x14ac:dyDescent="0.25">
      <c r="A548" s="26">
        <v>45518.460613425923</v>
      </c>
      <c r="B548" s="25" t="s">
        <v>22</v>
      </c>
      <c r="C548" s="25" t="s">
        <v>1128</v>
      </c>
      <c r="D548" s="25" t="s">
        <v>1129</v>
      </c>
      <c r="E548" s="25">
        <v>293</v>
      </c>
      <c r="F548" s="25" t="s">
        <v>34</v>
      </c>
      <c r="G548" s="25">
        <v>28.5</v>
      </c>
      <c r="H548" s="25">
        <v>59.3</v>
      </c>
      <c r="I548" s="25" t="s">
        <v>38</v>
      </c>
      <c r="J548" s="25">
        <v>50</v>
      </c>
      <c r="K548" s="25">
        <v>168</v>
      </c>
      <c r="L548" s="25">
        <v>4</v>
      </c>
      <c r="M548" s="25" t="s">
        <v>27</v>
      </c>
      <c r="N548" s="25">
        <v>67.2</v>
      </c>
      <c r="O548" s="25">
        <v>199</v>
      </c>
      <c r="P548" s="25">
        <v>0</v>
      </c>
    </row>
    <row r="549" spans="1:16" x14ac:dyDescent="0.25">
      <c r="A549" s="26">
        <v>45548.132974537039</v>
      </c>
      <c r="B549" s="25" t="s">
        <v>31</v>
      </c>
      <c r="C549" s="25" t="s">
        <v>1130</v>
      </c>
      <c r="D549" s="25" t="s">
        <v>1131</v>
      </c>
      <c r="E549" s="25">
        <v>301</v>
      </c>
      <c r="F549" s="25" t="s">
        <v>19</v>
      </c>
      <c r="G549" s="25">
        <v>19.2</v>
      </c>
      <c r="H549" s="25">
        <v>57.6</v>
      </c>
      <c r="I549" s="25" t="s">
        <v>26</v>
      </c>
      <c r="J549" s="25">
        <v>16</v>
      </c>
      <c r="K549" s="25">
        <v>256</v>
      </c>
      <c r="L549" s="25">
        <v>6</v>
      </c>
      <c r="M549" s="25" t="s">
        <v>21</v>
      </c>
      <c r="N549" s="25">
        <v>65.400000000000006</v>
      </c>
      <c r="O549" s="25">
        <v>148</v>
      </c>
      <c r="P549" s="25">
        <v>1</v>
      </c>
    </row>
    <row r="550" spans="1:16" ht="30" customHeight="1" x14ac:dyDescent="0.25">
      <c r="A550" s="26">
        <v>45655.765266203707</v>
      </c>
      <c r="B550" s="25" t="s">
        <v>95</v>
      </c>
      <c r="C550" s="25" t="s">
        <v>1132</v>
      </c>
      <c r="D550" s="25" t="s">
        <v>1133</v>
      </c>
      <c r="E550" s="25">
        <v>287</v>
      </c>
      <c r="F550" s="25" t="s">
        <v>25</v>
      </c>
      <c r="G550" s="25">
        <v>25.2</v>
      </c>
      <c r="H550" s="25">
        <v>51.8</v>
      </c>
      <c r="I550" s="25" t="s">
        <v>20</v>
      </c>
      <c r="J550" s="25">
        <v>34</v>
      </c>
      <c r="K550" s="25">
        <v>399</v>
      </c>
      <c r="L550" s="25">
        <v>2</v>
      </c>
      <c r="M550" s="25" t="s">
        <v>51</v>
      </c>
      <c r="N550" s="25">
        <v>85</v>
      </c>
      <c r="O550" s="25">
        <v>124</v>
      </c>
      <c r="P550" s="25">
        <v>0</v>
      </c>
    </row>
    <row r="551" spans="1:16" ht="30" customHeight="1" x14ac:dyDescent="0.25">
      <c r="A551" s="26">
        <v>45615.578645833331</v>
      </c>
      <c r="B551" s="25" t="s">
        <v>64</v>
      </c>
      <c r="C551" s="25" t="s">
        <v>1134</v>
      </c>
      <c r="D551" s="25" t="s">
        <v>1135</v>
      </c>
      <c r="E551" s="25">
        <v>237</v>
      </c>
      <c r="F551" s="25" t="s">
        <v>25</v>
      </c>
      <c r="G551" s="25">
        <v>23.4</v>
      </c>
      <c r="H551" s="25">
        <v>53.3</v>
      </c>
      <c r="I551" s="25" t="s">
        <v>20</v>
      </c>
      <c r="J551" s="25">
        <v>38</v>
      </c>
      <c r="K551" s="25">
        <v>109</v>
      </c>
      <c r="L551" s="25">
        <v>2</v>
      </c>
      <c r="M551" s="25" t="s">
        <v>51</v>
      </c>
      <c r="N551" s="25">
        <v>87.9</v>
      </c>
      <c r="O551" s="25">
        <v>157</v>
      </c>
      <c r="P551" s="25">
        <v>0</v>
      </c>
    </row>
    <row r="552" spans="1:16" x14ac:dyDescent="0.25">
      <c r="A552" s="26">
        <v>45439.309872685182</v>
      </c>
      <c r="B552" s="25" t="s">
        <v>95</v>
      </c>
      <c r="C552" s="25" t="s">
        <v>1136</v>
      </c>
      <c r="D552" s="25" t="s">
        <v>1137</v>
      </c>
      <c r="E552" s="25">
        <v>258</v>
      </c>
      <c r="F552" s="25" t="s">
        <v>25</v>
      </c>
      <c r="G552" s="25">
        <v>25.2</v>
      </c>
      <c r="H552" s="25">
        <v>67.599999999999994</v>
      </c>
      <c r="I552" s="25" t="s">
        <v>38</v>
      </c>
      <c r="J552" s="25">
        <v>32</v>
      </c>
      <c r="K552" s="25">
        <v>484</v>
      </c>
      <c r="L552" s="25">
        <v>7</v>
      </c>
      <c r="M552" s="25" t="s">
        <v>35</v>
      </c>
      <c r="N552" s="25">
        <v>98.8</v>
      </c>
      <c r="O552" s="25">
        <v>191</v>
      </c>
      <c r="P552" s="25">
        <v>0</v>
      </c>
    </row>
    <row r="553" spans="1:16" x14ac:dyDescent="0.25">
      <c r="A553" s="26">
        <v>45615.835532407407</v>
      </c>
      <c r="B553" s="25" t="s">
        <v>61</v>
      </c>
      <c r="C553" s="25" t="s">
        <v>1138</v>
      </c>
      <c r="D553" s="25" t="s">
        <v>1139</v>
      </c>
      <c r="E553" s="25">
        <v>480</v>
      </c>
      <c r="F553" s="25" t="s">
        <v>25</v>
      </c>
      <c r="G553" s="25">
        <v>27.1</v>
      </c>
      <c r="H553" s="25">
        <v>76.3</v>
      </c>
      <c r="I553" s="25" t="s">
        <v>26</v>
      </c>
      <c r="J553" s="25">
        <v>22</v>
      </c>
      <c r="K553" s="25">
        <v>497</v>
      </c>
      <c r="L553" s="25">
        <v>9</v>
      </c>
      <c r="M553" s="25" t="s">
        <v>35</v>
      </c>
      <c r="N553" s="25">
        <v>74.900000000000006</v>
      </c>
      <c r="O553" s="25">
        <v>183</v>
      </c>
      <c r="P553" s="25">
        <v>1</v>
      </c>
    </row>
    <row r="554" spans="1:16" ht="30" customHeight="1" x14ac:dyDescent="0.25">
      <c r="A554" s="26">
        <v>45553.961388888885</v>
      </c>
      <c r="B554" s="25" t="s">
        <v>56</v>
      </c>
      <c r="C554" s="25" t="s">
        <v>1140</v>
      </c>
      <c r="D554" s="25" t="s">
        <v>1141</v>
      </c>
      <c r="E554" s="25">
        <v>441</v>
      </c>
      <c r="F554" s="25" t="s">
        <v>25</v>
      </c>
      <c r="G554" s="25">
        <v>22.6</v>
      </c>
      <c r="H554" s="25">
        <v>53.3</v>
      </c>
      <c r="I554" s="25" t="s">
        <v>38</v>
      </c>
      <c r="J554" s="25">
        <v>29</v>
      </c>
      <c r="K554" s="25">
        <v>343</v>
      </c>
      <c r="L554" s="25">
        <v>3</v>
      </c>
      <c r="M554" s="25" t="s">
        <v>51</v>
      </c>
      <c r="N554" s="25">
        <v>86.5</v>
      </c>
      <c r="O554" s="25">
        <v>172</v>
      </c>
      <c r="P554" s="25">
        <v>0</v>
      </c>
    </row>
    <row r="555" spans="1:16" x14ac:dyDescent="0.25">
      <c r="A555" s="26">
        <v>45642.095138888886</v>
      </c>
      <c r="B555" s="25" t="s">
        <v>22</v>
      </c>
      <c r="C555" s="25" t="s">
        <v>1142</v>
      </c>
      <c r="D555" s="25" t="s">
        <v>1143</v>
      </c>
      <c r="E555" s="25">
        <v>346</v>
      </c>
      <c r="F555" s="25" t="s">
        <v>25</v>
      </c>
      <c r="G555" s="25">
        <v>21.6</v>
      </c>
      <c r="H555" s="25">
        <v>65.2</v>
      </c>
      <c r="I555" s="25" t="s">
        <v>38</v>
      </c>
      <c r="J555" s="25">
        <v>43</v>
      </c>
      <c r="K555" s="25">
        <v>402</v>
      </c>
      <c r="L555" s="25">
        <v>8</v>
      </c>
      <c r="M555" s="25" t="s">
        <v>35</v>
      </c>
      <c r="N555" s="25">
        <v>96.4</v>
      </c>
      <c r="O555" s="25">
        <v>157</v>
      </c>
      <c r="P555" s="25">
        <v>0</v>
      </c>
    </row>
    <row r="556" spans="1:16" x14ac:dyDescent="0.25">
      <c r="A556" s="26">
        <v>45564.792372685188</v>
      </c>
      <c r="B556" s="25" t="s">
        <v>48</v>
      </c>
      <c r="C556" s="25" t="s">
        <v>1144</v>
      </c>
      <c r="D556" s="25" t="s">
        <v>1145</v>
      </c>
      <c r="E556" s="25">
        <v>205</v>
      </c>
      <c r="F556" s="25" t="s">
        <v>25</v>
      </c>
      <c r="G556" s="25">
        <v>23.6</v>
      </c>
      <c r="H556" s="25">
        <v>76.2</v>
      </c>
      <c r="I556" s="25" t="s">
        <v>26</v>
      </c>
      <c r="J556" s="25">
        <v>41</v>
      </c>
      <c r="K556" s="25">
        <v>324</v>
      </c>
      <c r="L556" s="25">
        <v>2</v>
      </c>
      <c r="M556" s="25" t="s">
        <v>21</v>
      </c>
      <c r="N556" s="25">
        <v>73.8</v>
      </c>
      <c r="O556" s="25">
        <v>153</v>
      </c>
      <c r="P556" s="25">
        <v>1</v>
      </c>
    </row>
    <row r="557" spans="1:16" x14ac:dyDescent="0.25">
      <c r="A557" s="26">
        <v>45380.057858796295</v>
      </c>
      <c r="B557" s="25" t="s">
        <v>48</v>
      </c>
      <c r="C557" s="25" t="s">
        <v>1146</v>
      </c>
      <c r="D557" s="25" t="s">
        <v>1147</v>
      </c>
      <c r="E557" s="25">
        <v>477</v>
      </c>
      <c r="F557" s="25" t="s">
        <v>19</v>
      </c>
      <c r="G557" s="25">
        <v>25.1</v>
      </c>
      <c r="H557" s="25">
        <v>50.3</v>
      </c>
      <c r="I557" s="25" t="s">
        <v>20</v>
      </c>
      <c r="J557" s="25">
        <v>32</v>
      </c>
      <c r="K557" s="25">
        <v>297</v>
      </c>
      <c r="L557" s="25">
        <v>7</v>
      </c>
      <c r="M557" s="25" t="s">
        <v>35</v>
      </c>
      <c r="N557" s="25">
        <v>96.4</v>
      </c>
      <c r="O557" s="25">
        <v>212</v>
      </c>
      <c r="P557" s="25">
        <v>1</v>
      </c>
    </row>
    <row r="558" spans="1:16" x14ac:dyDescent="0.25">
      <c r="A558" s="26">
        <v>45499.423310185186</v>
      </c>
      <c r="B558" s="25" t="s">
        <v>31</v>
      </c>
      <c r="C558" s="25" t="s">
        <v>1148</v>
      </c>
      <c r="D558" s="25" t="s">
        <v>1149</v>
      </c>
      <c r="E558" s="25">
        <v>355</v>
      </c>
      <c r="F558" s="25" t="s">
        <v>19</v>
      </c>
      <c r="G558" s="25">
        <v>19.8</v>
      </c>
      <c r="H558" s="25">
        <v>60.9</v>
      </c>
      <c r="I558" s="25" t="s">
        <v>38</v>
      </c>
      <c r="J558" s="25">
        <v>24</v>
      </c>
      <c r="K558" s="25">
        <v>226</v>
      </c>
      <c r="L558" s="25">
        <v>9</v>
      </c>
      <c r="M558" s="25" t="s">
        <v>27</v>
      </c>
      <c r="N558" s="25">
        <v>62.8</v>
      </c>
      <c r="O558" s="25">
        <v>243</v>
      </c>
      <c r="P558" s="25">
        <v>1</v>
      </c>
    </row>
    <row r="559" spans="1:16" x14ac:dyDescent="0.25">
      <c r="A559" s="26">
        <v>45645.441921296297</v>
      </c>
      <c r="B559" s="25" t="s">
        <v>41</v>
      </c>
      <c r="C559" s="25" t="s">
        <v>1150</v>
      </c>
      <c r="D559" s="25" t="s">
        <v>1151</v>
      </c>
      <c r="E559" s="25">
        <v>148</v>
      </c>
      <c r="F559" s="25" t="s">
        <v>34</v>
      </c>
      <c r="G559" s="25">
        <v>23.3</v>
      </c>
      <c r="H559" s="25">
        <v>59.1</v>
      </c>
      <c r="I559" s="25" t="s">
        <v>20</v>
      </c>
      <c r="J559" s="25">
        <v>53</v>
      </c>
      <c r="K559" s="25">
        <v>161</v>
      </c>
      <c r="L559" s="25">
        <v>10</v>
      </c>
      <c r="M559" s="25" t="s">
        <v>27</v>
      </c>
      <c r="N559" s="25">
        <v>65.7</v>
      </c>
      <c r="O559" s="25">
        <v>189</v>
      </c>
      <c r="P559" s="25">
        <v>0</v>
      </c>
    </row>
    <row r="560" spans="1:16" x14ac:dyDescent="0.25">
      <c r="A560" s="26">
        <v>45457.43787037037</v>
      </c>
      <c r="B560" s="25" t="s">
        <v>22</v>
      </c>
      <c r="C560" s="25" t="s">
        <v>1152</v>
      </c>
      <c r="D560" s="25" t="s">
        <v>1153</v>
      </c>
      <c r="E560" s="25">
        <v>190</v>
      </c>
      <c r="F560" s="25" t="s">
        <v>19</v>
      </c>
      <c r="G560" s="25">
        <v>27.8</v>
      </c>
      <c r="H560" s="25">
        <v>62.2</v>
      </c>
      <c r="I560" s="25" t="s">
        <v>20</v>
      </c>
      <c r="J560" s="25">
        <v>41</v>
      </c>
      <c r="K560" s="25">
        <v>238</v>
      </c>
      <c r="L560" s="25">
        <v>2</v>
      </c>
      <c r="M560" s="25" t="s">
        <v>21</v>
      </c>
      <c r="N560" s="25">
        <v>90.2</v>
      </c>
      <c r="O560" s="25">
        <v>122</v>
      </c>
      <c r="P560" s="25">
        <v>1</v>
      </c>
    </row>
    <row r="561" spans="1:16" x14ac:dyDescent="0.25">
      <c r="A561" s="26">
        <v>45297.224293981482</v>
      </c>
      <c r="B561" s="25" t="s">
        <v>28</v>
      </c>
      <c r="C561" s="25" t="s">
        <v>1154</v>
      </c>
      <c r="D561" s="25" t="s">
        <v>1155</v>
      </c>
      <c r="E561" s="25">
        <v>356</v>
      </c>
      <c r="F561" s="25" t="s">
        <v>19</v>
      </c>
      <c r="G561" s="25">
        <v>24.8</v>
      </c>
      <c r="H561" s="25">
        <v>70</v>
      </c>
      <c r="I561" s="25" t="s">
        <v>20</v>
      </c>
      <c r="J561" s="25">
        <v>37</v>
      </c>
      <c r="K561" s="25">
        <v>345</v>
      </c>
      <c r="L561" s="25">
        <v>3</v>
      </c>
      <c r="M561" s="25" t="s">
        <v>35</v>
      </c>
      <c r="N561" s="25">
        <v>84</v>
      </c>
      <c r="O561" s="25">
        <v>245</v>
      </c>
      <c r="P561" s="25">
        <v>1</v>
      </c>
    </row>
    <row r="562" spans="1:16" x14ac:dyDescent="0.25">
      <c r="A562" s="26">
        <v>45552.747557870367</v>
      </c>
      <c r="B562" s="25" t="s">
        <v>48</v>
      </c>
      <c r="C562" s="25" t="s">
        <v>1156</v>
      </c>
      <c r="D562" s="25" t="s">
        <v>1157</v>
      </c>
      <c r="E562" s="25">
        <v>228</v>
      </c>
      <c r="F562" s="25" t="s">
        <v>34</v>
      </c>
      <c r="G562" s="25">
        <v>18.3</v>
      </c>
      <c r="H562" s="25">
        <v>52.3</v>
      </c>
      <c r="I562" s="25" t="s">
        <v>38</v>
      </c>
      <c r="J562" s="25">
        <v>57</v>
      </c>
      <c r="K562" s="25">
        <v>350</v>
      </c>
      <c r="L562" s="25">
        <v>3</v>
      </c>
      <c r="M562" s="25" t="s">
        <v>35</v>
      </c>
      <c r="N562" s="25">
        <v>76.5</v>
      </c>
      <c r="O562" s="25">
        <v>285</v>
      </c>
      <c r="P562" s="25">
        <v>0</v>
      </c>
    </row>
    <row r="563" spans="1:16" x14ac:dyDescent="0.25">
      <c r="A563" s="26">
        <v>45655.717881944445</v>
      </c>
      <c r="B563" s="25" t="s">
        <v>22</v>
      </c>
      <c r="C563" s="25" t="s">
        <v>1158</v>
      </c>
      <c r="D563" s="25" t="s">
        <v>1159</v>
      </c>
      <c r="E563" s="25">
        <v>437</v>
      </c>
      <c r="F563" s="25" t="s">
        <v>25</v>
      </c>
      <c r="G563" s="25">
        <v>20.9</v>
      </c>
      <c r="H563" s="25">
        <v>55.2</v>
      </c>
      <c r="I563" s="25" t="s">
        <v>38</v>
      </c>
      <c r="J563" s="25">
        <v>44</v>
      </c>
      <c r="K563" s="25">
        <v>336</v>
      </c>
      <c r="L563" s="25">
        <v>7</v>
      </c>
      <c r="M563" s="25" t="s">
        <v>27</v>
      </c>
      <c r="N563" s="25">
        <v>88.6</v>
      </c>
      <c r="O563" s="25">
        <v>118</v>
      </c>
      <c r="P563" s="25">
        <v>0</v>
      </c>
    </row>
    <row r="564" spans="1:16" x14ac:dyDescent="0.25">
      <c r="A564" s="26">
        <v>45626.703831018516</v>
      </c>
      <c r="B564" s="25" t="s">
        <v>28</v>
      </c>
      <c r="C564" s="25" t="s">
        <v>1160</v>
      </c>
      <c r="D564" s="25" t="s">
        <v>1161</v>
      </c>
      <c r="E564" s="25">
        <v>295</v>
      </c>
      <c r="F564" s="25" t="s">
        <v>19</v>
      </c>
      <c r="G564" s="25">
        <v>20.3</v>
      </c>
      <c r="H564" s="25">
        <v>68.599999999999994</v>
      </c>
      <c r="I564" s="25" t="s">
        <v>20</v>
      </c>
      <c r="J564" s="25">
        <v>29</v>
      </c>
      <c r="K564" s="25">
        <v>249</v>
      </c>
      <c r="L564" s="25">
        <v>6</v>
      </c>
      <c r="M564" s="25" t="s">
        <v>21</v>
      </c>
      <c r="N564" s="25">
        <v>63.2</v>
      </c>
      <c r="O564" s="25">
        <v>295</v>
      </c>
      <c r="P564" s="25">
        <v>1</v>
      </c>
    </row>
    <row r="565" spans="1:16" x14ac:dyDescent="0.25">
      <c r="A565" s="26">
        <v>45585.496006944442</v>
      </c>
      <c r="B565" s="25" t="s">
        <v>61</v>
      </c>
      <c r="C565" s="25" t="s">
        <v>1162</v>
      </c>
      <c r="D565" s="25" t="s">
        <v>1163</v>
      </c>
      <c r="E565" s="25">
        <v>365</v>
      </c>
      <c r="F565" s="25" t="s">
        <v>25</v>
      </c>
      <c r="G565" s="25">
        <v>30</v>
      </c>
      <c r="H565" s="25">
        <v>60</v>
      </c>
      <c r="I565" s="25" t="s">
        <v>38</v>
      </c>
      <c r="J565" s="25">
        <v>18</v>
      </c>
      <c r="K565" s="25">
        <v>215</v>
      </c>
      <c r="L565" s="25">
        <v>5</v>
      </c>
      <c r="M565" s="25" t="s">
        <v>35</v>
      </c>
      <c r="N565" s="25">
        <v>95.8</v>
      </c>
      <c r="O565" s="25">
        <v>201</v>
      </c>
      <c r="P565" s="25">
        <v>0</v>
      </c>
    </row>
    <row r="566" spans="1:16" ht="30" customHeight="1" x14ac:dyDescent="0.25">
      <c r="A566" s="26">
        <v>45451.700960648152</v>
      </c>
      <c r="B566" s="25" t="s">
        <v>28</v>
      </c>
      <c r="C566" s="25" t="s">
        <v>1164</v>
      </c>
      <c r="D566" s="25" t="s">
        <v>1165</v>
      </c>
      <c r="E566" s="25">
        <v>117</v>
      </c>
      <c r="F566" s="25" t="s">
        <v>19</v>
      </c>
      <c r="G566" s="25">
        <v>23.9</v>
      </c>
      <c r="H566" s="25">
        <v>64.3</v>
      </c>
      <c r="I566" s="25" t="s">
        <v>38</v>
      </c>
      <c r="J566" s="25">
        <v>16</v>
      </c>
      <c r="K566" s="25">
        <v>175</v>
      </c>
      <c r="L566" s="25">
        <v>8</v>
      </c>
      <c r="M566" s="25" t="s">
        <v>51</v>
      </c>
      <c r="N566" s="25">
        <v>73.900000000000006</v>
      </c>
      <c r="O566" s="25">
        <v>270</v>
      </c>
      <c r="P566" s="25">
        <v>1</v>
      </c>
    </row>
    <row r="567" spans="1:16" x14ac:dyDescent="0.25">
      <c r="A567" s="26">
        <v>45546.376400462963</v>
      </c>
      <c r="B567" s="25" t="s">
        <v>22</v>
      </c>
      <c r="C567" s="25" t="s">
        <v>1166</v>
      </c>
      <c r="D567" s="25" t="s">
        <v>1167</v>
      </c>
      <c r="E567" s="25">
        <v>202</v>
      </c>
      <c r="F567" s="25" t="s">
        <v>19</v>
      </c>
      <c r="G567" s="25">
        <v>25.9</v>
      </c>
      <c r="H567" s="25">
        <v>62.3</v>
      </c>
      <c r="I567" s="25" t="s">
        <v>26</v>
      </c>
      <c r="J567" s="25">
        <v>11</v>
      </c>
      <c r="K567" s="25">
        <v>249</v>
      </c>
      <c r="L567" s="25">
        <v>4</v>
      </c>
      <c r="M567" s="25" t="s">
        <v>21</v>
      </c>
      <c r="N567" s="25">
        <v>98</v>
      </c>
      <c r="O567" s="25">
        <v>131</v>
      </c>
      <c r="P567" s="25">
        <v>1</v>
      </c>
    </row>
    <row r="568" spans="1:16" x14ac:dyDescent="0.25">
      <c r="A568" s="26">
        <v>45604.597037037034</v>
      </c>
      <c r="B568" s="25" t="s">
        <v>28</v>
      </c>
      <c r="C568" s="25" t="s">
        <v>1168</v>
      </c>
      <c r="D568" s="25" t="s">
        <v>1169</v>
      </c>
      <c r="E568" s="25">
        <v>408</v>
      </c>
      <c r="F568" s="25" t="s">
        <v>19</v>
      </c>
      <c r="G568" s="25">
        <v>29.9</v>
      </c>
      <c r="H568" s="25">
        <v>58.9</v>
      </c>
      <c r="I568" s="25" t="s">
        <v>26</v>
      </c>
      <c r="J568" s="25">
        <v>25</v>
      </c>
      <c r="K568" s="25">
        <v>390</v>
      </c>
      <c r="L568" s="25">
        <v>8</v>
      </c>
      <c r="M568" s="25" t="s">
        <v>21</v>
      </c>
      <c r="N568" s="25">
        <v>61.5</v>
      </c>
      <c r="O568" s="25">
        <v>117</v>
      </c>
      <c r="P568" s="25">
        <v>1</v>
      </c>
    </row>
    <row r="569" spans="1:16" x14ac:dyDescent="0.25">
      <c r="A569" s="26">
        <v>45458.600682870368</v>
      </c>
      <c r="B569" s="25" t="s">
        <v>48</v>
      </c>
      <c r="C569" s="25" t="s">
        <v>1170</v>
      </c>
      <c r="D569" s="25" t="s">
        <v>1171</v>
      </c>
      <c r="E569" s="25">
        <v>277</v>
      </c>
      <c r="F569" s="25" t="s">
        <v>25</v>
      </c>
      <c r="G569" s="25">
        <v>18.2</v>
      </c>
      <c r="H569" s="25">
        <v>75.099999999999994</v>
      </c>
      <c r="I569" s="25" t="s">
        <v>38</v>
      </c>
      <c r="J569" s="25">
        <v>60</v>
      </c>
      <c r="K569" s="25">
        <v>122</v>
      </c>
      <c r="L569" s="25">
        <v>10</v>
      </c>
      <c r="M569" s="25" t="s">
        <v>21</v>
      </c>
      <c r="N569" s="25">
        <v>65</v>
      </c>
      <c r="O569" s="25">
        <v>147</v>
      </c>
      <c r="P569" s="25">
        <v>0</v>
      </c>
    </row>
    <row r="570" spans="1:16" ht="30" customHeight="1" x14ac:dyDescent="0.25">
      <c r="A570" s="26">
        <v>45428.077418981484</v>
      </c>
      <c r="B570" s="25" t="s">
        <v>28</v>
      </c>
      <c r="C570" s="25" t="s">
        <v>1172</v>
      </c>
      <c r="D570" s="25" t="s">
        <v>1173</v>
      </c>
      <c r="E570" s="25">
        <v>430</v>
      </c>
      <c r="F570" s="25" t="s">
        <v>19</v>
      </c>
      <c r="G570" s="25">
        <v>25</v>
      </c>
      <c r="H570" s="25">
        <v>53.4</v>
      </c>
      <c r="I570" s="25" t="s">
        <v>20</v>
      </c>
      <c r="J570" s="25">
        <v>30</v>
      </c>
      <c r="K570" s="25">
        <v>251</v>
      </c>
      <c r="L570" s="25">
        <v>4</v>
      </c>
      <c r="M570" s="25" t="s">
        <v>51</v>
      </c>
      <c r="N570" s="25">
        <v>77.599999999999994</v>
      </c>
      <c r="O570" s="25">
        <v>119</v>
      </c>
      <c r="P570" s="25">
        <v>1</v>
      </c>
    </row>
    <row r="571" spans="1:16" x14ac:dyDescent="0.25">
      <c r="A571" s="26">
        <v>45377.611493055556</v>
      </c>
      <c r="B571" s="25" t="s">
        <v>16</v>
      </c>
      <c r="C571" s="25" t="s">
        <v>1174</v>
      </c>
      <c r="D571" s="25" t="s">
        <v>1175</v>
      </c>
      <c r="E571" s="25">
        <v>451</v>
      </c>
      <c r="F571" s="25" t="s">
        <v>19</v>
      </c>
      <c r="G571" s="25">
        <v>21.3</v>
      </c>
      <c r="H571" s="25">
        <v>67.2</v>
      </c>
      <c r="I571" s="25" t="s">
        <v>20</v>
      </c>
      <c r="J571" s="25">
        <v>24</v>
      </c>
      <c r="K571" s="25">
        <v>187</v>
      </c>
      <c r="L571" s="25">
        <v>8</v>
      </c>
      <c r="M571" s="25" t="s">
        <v>21</v>
      </c>
      <c r="N571" s="25">
        <v>69.3</v>
      </c>
      <c r="O571" s="25">
        <v>221</v>
      </c>
      <c r="P571" s="25">
        <v>1</v>
      </c>
    </row>
    <row r="572" spans="1:16" x14ac:dyDescent="0.25">
      <c r="A572" s="26">
        <v>45387.650682870371</v>
      </c>
      <c r="B572" s="25" t="s">
        <v>56</v>
      </c>
      <c r="C572" s="25" t="s">
        <v>1176</v>
      </c>
      <c r="D572" s="25" t="s">
        <v>1177</v>
      </c>
      <c r="E572" s="25">
        <v>421</v>
      </c>
      <c r="F572" s="25" t="s">
        <v>34</v>
      </c>
      <c r="G572" s="25">
        <v>26</v>
      </c>
      <c r="H572" s="25">
        <v>78.099999999999994</v>
      </c>
      <c r="I572" s="25" t="s">
        <v>26</v>
      </c>
      <c r="J572" s="25">
        <v>29</v>
      </c>
      <c r="K572" s="25">
        <v>379</v>
      </c>
      <c r="L572" s="25">
        <v>5</v>
      </c>
      <c r="M572" s="25" t="s">
        <v>35</v>
      </c>
      <c r="N572" s="25">
        <v>81</v>
      </c>
      <c r="O572" s="25">
        <v>118</v>
      </c>
      <c r="P572" s="25">
        <v>1</v>
      </c>
    </row>
    <row r="573" spans="1:16" x14ac:dyDescent="0.25">
      <c r="A573" s="26">
        <v>45609.166122685187</v>
      </c>
      <c r="B573" s="25" t="s">
        <v>31</v>
      </c>
      <c r="C573" s="25" t="s">
        <v>1178</v>
      </c>
      <c r="D573" s="25" t="s">
        <v>1179</v>
      </c>
      <c r="E573" s="25">
        <v>175</v>
      </c>
      <c r="F573" s="25" t="s">
        <v>25</v>
      </c>
      <c r="G573" s="25">
        <v>29.6</v>
      </c>
      <c r="H573" s="25">
        <v>66</v>
      </c>
      <c r="I573" s="25" t="s">
        <v>38</v>
      </c>
      <c r="J573" s="25">
        <v>34</v>
      </c>
      <c r="K573" s="25">
        <v>467</v>
      </c>
      <c r="L573" s="25">
        <v>9</v>
      </c>
      <c r="M573" s="25" t="s">
        <v>27</v>
      </c>
      <c r="N573" s="25">
        <v>98.3</v>
      </c>
      <c r="O573" s="25">
        <v>220</v>
      </c>
      <c r="P573" s="25">
        <v>0</v>
      </c>
    </row>
    <row r="574" spans="1:16" x14ac:dyDescent="0.25">
      <c r="A574" s="26">
        <v>45456.047592592593</v>
      </c>
      <c r="B574" s="25" t="s">
        <v>48</v>
      </c>
      <c r="C574" s="25" t="s">
        <v>1180</v>
      </c>
      <c r="D574" s="25" t="s">
        <v>1181</v>
      </c>
      <c r="E574" s="25">
        <v>357</v>
      </c>
      <c r="F574" s="25" t="s">
        <v>25</v>
      </c>
      <c r="G574" s="25">
        <v>27.4</v>
      </c>
      <c r="H574" s="25">
        <v>55.5</v>
      </c>
      <c r="I574" s="25" t="s">
        <v>20</v>
      </c>
      <c r="J574" s="25">
        <v>43</v>
      </c>
      <c r="K574" s="25">
        <v>207</v>
      </c>
      <c r="L574" s="25">
        <v>2</v>
      </c>
      <c r="M574" s="25" t="s">
        <v>27</v>
      </c>
      <c r="N574" s="25">
        <v>60.5</v>
      </c>
      <c r="O574" s="25">
        <v>111</v>
      </c>
      <c r="P574" s="25">
        <v>0</v>
      </c>
    </row>
    <row r="575" spans="1:16" x14ac:dyDescent="0.25">
      <c r="A575" s="26">
        <v>45312.377789351849</v>
      </c>
      <c r="B575" s="25" t="s">
        <v>31</v>
      </c>
      <c r="C575" s="25" t="s">
        <v>1182</v>
      </c>
      <c r="D575" s="25" t="s">
        <v>1183</v>
      </c>
      <c r="E575" s="25">
        <v>419</v>
      </c>
      <c r="F575" s="25" t="s">
        <v>34</v>
      </c>
      <c r="G575" s="25">
        <v>26.5</v>
      </c>
      <c r="H575" s="25">
        <v>56.2</v>
      </c>
      <c r="I575" s="25" t="s">
        <v>20</v>
      </c>
      <c r="J575" s="25">
        <v>15</v>
      </c>
      <c r="K575" s="25">
        <v>277</v>
      </c>
      <c r="L575" s="25">
        <v>2</v>
      </c>
      <c r="M575" s="25" t="s">
        <v>27</v>
      </c>
      <c r="N575" s="25">
        <v>68.3</v>
      </c>
      <c r="O575" s="25">
        <v>280</v>
      </c>
      <c r="P575" s="25">
        <v>0</v>
      </c>
    </row>
    <row r="576" spans="1:16" x14ac:dyDescent="0.25">
      <c r="A576" s="26">
        <v>45570.599664351852</v>
      </c>
      <c r="B576" s="25" t="s">
        <v>16</v>
      </c>
      <c r="C576" s="25" t="s">
        <v>1184</v>
      </c>
      <c r="D576" s="25" t="s">
        <v>1185</v>
      </c>
      <c r="E576" s="25">
        <v>455</v>
      </c>
      <c r="F576" s="25" t="s">
        <v>34</v>
      </c>
      <c r="G576" s="25">
        <v>19.8</v>
      </c>
      <c r="H576" s="25">
        <v>67.599999999999994</v>
      </c>
      <c r="I576" s="25" t="s">
        <v>38</v>
      </c>
      <c r="J576" s="25">
        <v>22</v>
      </c>
      <c r="K576" s="25">
        <v>301</v>
      </c>
      <c r="L576" s="25">
        <v>3</v>
      </c>
      <c r="M576" s="25" t="s">
        <v>35</v>
      </c>
      <c r="N576" s="25">
        <v>68.2</v>
      </c>
      <c r="O576" s="25">
        <v>254</v>
      </c>
      <c r="P576" s="25">
        <v>0</v>
      </c>
    </row>
    <row r="577" spans="1:16" x14ac:dyDescent="0.25">
      <c r="A577" s="26">
        <v>45403.309675925928</v>
      </c>
      <c r="B577" s="25" t="s">
        <v>48</v>
      </c>
      <c r="C577" s="25" t="s">
        <v>1186</v>
      </c>
      <c r="D577" s="25" t="s">
        <v>1187</v>
      </c>
      <c r="E577" s="25">
        <v>438</v>
      </c>
      <c r="F577" s="25" t="s">
        <v>19</v>
      </c>
      <c r="G577" s="25">
        <v>24.3</v>
      </c>
      <c r="H577" s="25">
        <v>78.8</v>
      </c>
      <c r="I577" s="25" t="s">
        <v>20</v>
      </c>
      <c r="J577" s="25">
        <v>33</v>
      </c>
      <c r="K577" s="25">
        <v>322</v>
      </c>
      <c r="L577" s="25">
        <v>7</v>
      </c>
      <c r="M577" s="25" t="s">
        <v>27</v>
      </c>
      <c r="N577" s="25">
        <v>79</v>
      </c>
      <c r="O577" s="25">
        <v>206</v>
      </c>
      <c r="P577" s="25">
        <v>1</v>
      </c>
    </row>
    <row r="578" spans="1:16" x14ac:dyDescent="0.25">
      <c r="A578" s="26">
        <v>45406.935740740744</v>
      </c>
      <c r="B578" s="25" t="s">
        <v>22</v>
      </c>
      <c r="C578" s="25" t="s">
        <v>1188</v>
      </c>
      <c r="D578" s="25" t="s">
        <v>1189</v>
      </c>
      <c r="E578" s="25">
        <v>497</v>
      </c>
      <c r="F578" s="25" t="s">
        <v>25</v>
      </c>
      <c r="G578" s="25">
        <v>28.2</v>
      </c>
      <c r="H578" s="25">
        <v>68.2</v>
      </c>
      <c r="I578" s="25" t="s">
        <v>20</v>
      </c>
      <c r="J578" s="25">
        <v>47</v>
      </c>
      <c r="K578" s="25">
        <v>184</v>
      </c>
      <c r="L578" s="25">
        <v>6</v>
      </c>
      <c r="M578" s="25" t="s">
        <v>35</v>
      </c>
      <c r="N578" s="25">
        <v>63.8</v>
      </c>
      <c r="O578" s="25">
        <v>251</v>
      </c>
      <c r="P578" s="25">
        <v>0</v>
      </c>
    </row>
    <row r="579" spans="1:16" ht="30" customHeight="1" x14ac:dyDescent="0.25">
      <c r="A579" s="26">
        <v>45332.292662037034</v>
      </c>
      <c r="B579" s="25" t="s">
        <v>56</v>
      </c>
      <c r="C579" s="25" t="s">
        <v>1190</v>
      </c>
      <c r="D579" s="25" t="s">
        <v>1191</v>
      </c>
      <c r="E579" s="25">
        <v>410</v>
      </c>
      <c r="F579" s="25" t="s">
        <v>25</v>
      </c>
      <c r="G579" s="25">
        <v>29.8</v>
      </c>
      <c r="H579" s="25">
        <v>76.2</v>
      </c>
      <c r="I579" s="25" t="s">
        <v>20</v>
      </c>
      <c r="J579" s="25">
        <v>52</v>
      </c>
      <c r="K579" s="25">
        <v>152</v>
      </c>
      <c r="L579" s="25">
        <v>2</v>
      </c>
      <c r="M579" s="25" t="s">
        <v>51</v>
      </c>
      <c r="N579" s="25">
        <v>76.599999999999994</v>
      </c>
      <c r="O579" s="25">
        <v>149</v>
      </c>
      <c r="P579" s="25">
        <v>0</v>
      </c>
    </row>
    <row r="580" spans="1:16" x14ac:dyDescent="0.25">
      <c r="A580" s="26">
        <v>45561.707731481481</v>
      </c>
      <c r="B580" s="25" t="s">
        <v>16</v>
      </c>
      <c r="C580" s="25" t="s">
        <v>1192</v>
      </c>
      <c r="D580" s="25" t="s">
        <v>1193</v>
      </c>
      <c r="E580" s="25">
        <v>306</v>
      </c>
      <c r="F580" s="25" t="s">
        <v>34</v>
      </c>
      <c r="G580" s="25">
        <v>21.5</v>
      </c>
      <c r="H580" s="25">
        <v>78.5</v>
      </c>
      <c r="I580" s="25" t="s">
        <v>38</v>
      </c>
      <c r="J580" s="25">
        <v>48</v>
      </c>
      <c r="K580" s="25">
        <v>317</v>
      </c>
      <c r="L580" s="25">
        <v>7</v>
      </c>
      <c r="M580" s="25" t="s">
        <v>27</v>
      </c>
      <c r="N580" s="25">
        <v>92.8</v>
      </c>
      <c r="O580" s="25">
        <v>231</v>
      </c>
      <c r="P580" s="25">
        <v>0</v>
      </c>
    </row>
    <row r="581" spans="1:16" x14ac:dyDescent="0.25">
      <c r="A581" s="26">
        <v>45513.599444444444</v>
      </c>
      <c r="B581" s="25" t="s">
        <v>61</v>
      </c>
      <c r="C581" s="25" t="s">
        <v>1194</v>
      </c>
      <c r="D581" s="25" t="s">
        <v>1195</v>
      </c>
      <c r="E581" s="25">
        <v>209</v>
      </c>
      <c r="F581" s="25" t="s">
        <v>19</v>
      </c>
      <c r="G581" s="25">
        <v>18.600000000000001</v>
      </c>
      <c r="H581" s="25">
        <v>69.599999999999994</v>
      </c>
      <c r="I581" s="25" t="s">
        <v>26</v>
      </c>
      <c r="J581" s="25">
        <v>50</v>
      </c>
      <c r="K581" s="25">
        <v>357</v>
      </c>
      <c r="L581" s="25">
        <v>10</v>
      </c>
      <c r="M581" s="25" t="s">
        <v>35</v>
      </c>
      <c r="N581" s="25">
        <v>92.9</v>
      </c>
      <c r="O581" s="25">
        <v>125</v>
      </c>
      <c r="P581" s="25">
        <v>1</v>
      </c>
    </row>
    <row r="582" spans="1:16" x14ac:dyDescent="0.25">
      <c r="A582" s="26">
        <v>45296.87976851852</v>
      </c>
      <c r="B582" s="25" t="s">
        <v>41</v>
      </c>
      <c r="C582" s="25" t="s">
        <v>1196</v>
      </c>
      <c r="D582" s="25" t="s">
        <v>1197</v>
      </c>
      <c r="E582" s="25">
        <v>155</v>
      </c>
      <c r="F582" s="25" t="s">
        <v>19</v>
      </c>
      <c r="G582" s="25">
        <v>30</v>
      </c>
      <c r="H582" s="25">
        <v>64.5</v>
      </c>
      <c r="I582" s="25" t="s">
        <v>20</v>
      </c>
      <c r="J582" s="25">
        <v>33</v>
      </c>
      <c r="K582" s="25">
        <v>342</v>
      </c>
      <c r="L582" s="25">
        <v>6</v>
      </c>
      <c r="M582" s="25" t="s">
        <v>27</v>
      </c>
      <c r="N582" s="25">
        <v>88.2</v>
      </c>
      <c r="O582" s="25">
        <v>179</v>
      </c>
      <c r="P582" s="25">
        <v>1</v>
      </c>
    </row>
    <row r="583" spans="1:16" x14ac:dyDescent="0.25">
      <c r="A583" s="26">
        <v>45626.277928240743</v>
      </c>
      <c r="B583" s="25" t="s">
        <v>61</v>
      </c>
      <c r="C583" s="25" t="s">
        <v>1198</v>
      </c>
      <c r="D583" s="25" t="s">
        <v>1199</v>
      </c>
      <c r="E583" s="25">
        <v>318</v>
      </c>
      <c r="F583" s="25" t="s">
        <v>19</v>
      </c>
      <c r="G583" s="25">
        <v>25.8</v>
      </c>
      <c r="H583" s="25">
        <v>79.5</v>
      </c>
      <c r="I583" s="25" t="s">
        <v>20</v>
      </c>
      <c r="J583" s="25">
        <v>11</v>
      </c>
      <c r="K583" s="25">
        <v>161</v>
      </c>
      <c r="L583" s="25">
        <v>10</v>
      </c>
      <c r="M583" s="25" t="s">
        <v>21</v>
      </c>
      <c r="N583" s="25">
        <v>90</v>
      </c>
      <c r="O583" s="25">
        <v>191</v>
      </c>
      <c r="P583" s="25">
        <v>1</v>
      </c>
    </row>
    <row r="584" spans="1:16" x14ac:dyDescent="0.25">
      <c r="A584" s="26">
        <v>45546.346736111111</v>
      </c>
      <c r="B584" s="25" t="s">
        <v>31</v>
      </c>
      <c r="C584" s="25" t="s">
        <v>1200</v>
      </c>
      <c r="D584" s="25" t="s">
        <v>1201</v>
      </c>
      <c r="E584" s="25">
        <v>422</v>
      </c>
      <c r="F584" s="25" t="s">
        <v>34</v>
      </c>
      <c r="G584" s="25">
        <v>23.8</v>
      </c>
      <c r="H584" s="25">
        <v>62.4</v>
      </c>
      <c r="I584" s="25" t="s">
        <v>38</v>
      </c>
      <c r="J584" s="25">
        <v>10</v>
      </c>
      <c r="K584" s="25">
        <v>158</v>
      </c>
      <c r="L584" s="25">
        <v>4</v>
      </c>
      <c r="M584" s="25" t="s">
        <v>35</v>
      </c>
      <c r="N584" s="25">
        <v>84.7</v>
      </c>
      <c r="O584" s="25">
        <v>294</v>
      </c>
      <c r="P584" s="25">
        <v>0</v>
      </c>
    </row>
    <row r="585" spans="1:16" x14ac:dyDescent="0.25">
      <c r="A585" s="26">
        <v>45570.99832175926</v>
      </c>
      <c r="B585" s="25" t="s">
        <v>48</v>
      </c>
      <c r="C585" s="25" t="s">
        <v>1202</v>
      </c>
      <c r="D585" s="25" t="s">
        <v>1203</v>
      </c>
      <c r="E585" s="25">
        <v>450</v>
      </c>
      <c r="F585" s="25" t="s">
        <v>25</v>
      </c>
      <c r="G585" s="25">
        <v>22.8</v>
      </c>
      <c r="H585" s="25">
        <v>58.7</v>
      </c>
      <c r="I585" s="25" t="s">
        <v>20</v>
      </c>
      <c r="J585" s="25">
        <v>45</v>
      </c>
      <c r="K585" s="25">
        <v>421</v>
      </c>
      <c r="L585" s="25">
        <v>9</v>
      </c>
      <c r="M585" s="25" t="s">
        <v>21</v>
      </c>
      <c r="N585" s="25">
        <v>90</v>
      </c>
      <c r="O585" s="25">
        <v>240</v>
      </c>
      <c r="P585" s="25">
        <v>0</v>
      </c>
    </row>
    <row r="586" spans="1:16" x14ac:dyDescent="0.25">
      <c r="A586" s="26">
        <v>45580.586018518516</v>
      </c>
      <c r="B586" s="25" t="s">
        <v>41</v>
      </c>
      <c r="C586" s="25" t="s">
        <v>1204</v>
      </c>
      <c r="D586" s="25" t="s">
        <v>1205</v>
      </c>
      <c r="E586" s="25">
        <v>221</v>
      </c>
      <c r="F586" s="25" t="s">
        <v>34</v>
      </c>
      <c r="G586" s="25">
        <v>21.6</v>
      </c>
      <c r="H586" s="25">
        <v>67.7</v>
      </c>
      <c r="I586" s="25" t="s">
        <v>26</v>
      </c>
      <c r="J586" s="25">
        <v>39</v>
      </c>
      <c r="K586" s="25">
        <v>430</v>
      </c>
      <c r="L586" s="25">
        <v>6</v>
      </c>
      <c r="M586" s="25" t="s">
        <v>35</v>
      </c>
      <c r="N586" s="25">
        <v>71.900000000000006</v>
      </c>
      <c r="O586" s="25">
        <v>286</v>
      </c>
      <c r="P586" s="25">
        <v>1</v>
      </c>
    </row>
    <row r="587" spans="1:16" x14ac:dyDescent="0.25">
      <c r="A587" s="26">
        <v>45477.390810185185</v>
      </c>
      <c r="B587" s="25" t="s">
        <v>16</v>
      </c>
      <c r="C587" s="25" t="s">
        <v>1206</v>
      </c>
      <c r="D587" s="25" t="s">
        <v>1207</v>
      </c>
      <c r="E587" s="25">
        <v>271</v>
      </c>
      <c r="F587" s="25" t="s">
        <v>34</v>
      </c>
      <c r="G587" s="25">
        <v>18.7</v>
      </c>
      <c r="H587" s="25">
        <v>75.400000000000006</v>
      </c>
      <c r="I587" s="25" t="s">
        <v>38</v>
      </c>
      <c r="J587" s="25">
        <v>37</v>
      </c>
      <c r="K587" s="25">
        <v>210</v>
      </c>
      <c r="L587" s="25">
        <v>10</v>
      </c>
      <c r="M587" s="25" t="s">
        <v>35</v>
      </c>
      <c r="N587" s="25">
        <v>72</v>
      </c>
      <c r="O587" s="25">
        <v>120</v>
      </c>
      <c r="P587" s="25">
        <v>0</v>
      </c>
    </row>
    <row r="588" spans="1:16" x14ac:dyDescent="0.25">
      <c r="A588" s="26">
        <v>45525.722673611112</v>
      </c>
      <c r="B588" s="25" t="s">
        <v>41</v>
      </c>
      <c r="C588" s="25" t="s">
        <v>1208</v>
      </c>
      <c r="D588" s="25" t="s">
        <v>1209</v>
      </c>
      <c r="E588" s="25">
        <v>402</v>
      </c>
      <c r="F588" s="25" t="s">
        <v>19</v>
      </c>
      <c r="G588" s="25">
        <v>18.7</v>
      </c>
      <c r="H588" s="25">
        <v>59.6</v>
      </c>
      <c r="I588" s="25" t="s">
        <v>20</v>
      </c>
      <c r="J588" s="25">
        <v>16</v>
      </c>
      <c r="K588" s="25">
        <v>454</v>
      </c>
      <c r="L588" s="25">
        <v>1</v>
      </c>
      <c r="M588" s="25" t="s">
        <v>35</v>
      </c>
      <c r="N588" s="25">
        <v>62.9</v>
      </c>
      <c r="O588" s="25">
        <v>274</v>
      </c>
      <c r="P588" s="25">
        <v>1</v>
      </c>
    </row>
    <row r="589" spans="1:16" x14ac:dyDescent="0.25">
      <c r="A589" s="26">
        <v>45476.272627314815</v>
      </c>
      <c r="B589" s="25" t="s">
        <v>95</v>
      </c>
      <c r="C589" s="25" t="s">
        <v>1210</v>
      </c>
      <c r="D589" s="25" t="s">
        <v>1211</v>
      </c>
      <c r="E589" s="25">
        <v>119</v>
      </c>
      <c r="F589" s="25" t="s">
        <v>25</v>
      </c>
      <c r="G589" s="25">
        <v>24.4</v>
      </c>
      <c r="H589" s="25">
        <v>68.2</v>
      </c>
      <c r="I589" s="25" t="s">
        <v>26</v>
      </c>
      <c r="J589" s="25">
        <v>60</v>
      </c>
      <c r="K589" s="25">
        <v>125</v>
      </c>
      <c r="L589" s="25">
        <v>3</v>
      </c>
      <c r="M589" s="25" t="s">
        <v>21</v>
      </c>
      <c r="N589" s="25">
        <v>81.599999999999994</v>
      </c>
      <c r="O589" s="25">
        <v>106</v>
      </c>
      <c r="P589" s="25">
        <v>1</v>
      </c>
    </row>
    <row r="590" spans="1:16" x14ac:dyDescent="0.25">
      <c r="A590" s="26">
        <v>45342.734513888892</v>
      </c>
      <c r="B590" s="25" t="s">
        <v>22</v>
      </c>
      <c r="C590" s="25" t="s">
        <v>1212</v>
      </c>
      <c r="D590" s="25" t="s">
        <v>1213</v>
      </c>
      <c r="E590" s="25">
        <v>385</v>
      </c>
      <c r="F590" s="25" t="s">
        <v>34</v>
      </c>
      <c r="G590" s="25">
        <v>26.1</v>
      </c>
      <c r="H590" s="25">
        <v>68.3</v>
      </c>
      <c r="I590" s="25" t="s">
        <v>38</v>
      </c>
      <c r="J590" s="25">
        <v>38</v>
      </c>
      <c r="K590" s="25">
        <v>114</v>
      </c>
      <c r="L590" s="25">
        <v>6</v>
      </c>
      <c r="M590" s="25" t="s">
        <v>27</v>
      </c>
      <c r="N590" s="25">
        <v>64.599999999999994</v>
      </c>
      <c r="O590" s="25">
        <v>190</v>
      </c>
      <c r="P590" s="25">
        <v>0</v>
      </c>
    </row>
    <row r="591" spans="1:16" x14ac:dyDescent="0.25">
      <c r="A591" s="26">
        <v>45437.158715277779</v>
      </c>
      <c r="B591" s="25" t="s">
        <v>41</v>
      </c>
      <c r="C591" s="25" t="s">
        <v>1214</v>
      </c>
      <c r="D591" s="25" t="s">
        <v>1215</v>
      </c>
      <c r="E591" s="25">
        <v>443</v>
      </c>
      <c r="F591" s="25" t="s">
        <v>34</v>
      </c>
      <c r="G591" s="25">
        <v>23.6</v>
      </c>
      <c r="H591" s="25">
        <v>66.599999999999994</v>
      </c>
      <c r="I591" s="25" t="s">
        <v>20</v>
      </c>
      <c r="J591" s="25">
        <v>42</v>
      </c>
      <c r="K591" s="25">
        <v>333</v>
      </c>
      <c r="L591" s="25">
        <v>9</v>
      </c>
      <c r="M591" s="25" t="s">
        <v>35</v>
      </c>
      <c r="N591" s="25">
        <v>93.1</v>
      </c>
      <c r="O591" s="25">
        <v>143</v>
      </c>
      <c r="P591" s="25">
        <v>0</v>
      </c>
    </row>
    <row r="592" spans="1:16" x14ac:dyDescent="0.25">
      <c r="A592" s="26">
        <v>45440.68378472222</v>
      </c>
      <c r="B592" s="25" t="s">
        <v>41</v>
      </c>
      <c r="C592" s="25" t="s">
        <v>1216</v>
      </c>
      <c r="D592" s="25" t="s">
        <v>1217</v>
      </c>
      <c r="E592" s="25">
        <v>271</v>
      </c>
      <c r="F592" s="25" t="s">
        <v>25</v>
      </c>
      <c r="G592" s="25">
        <v>23.6</v>
      </c>
      <c r="H592" s="25">
        <v>74.2</v>
      </c>
      <c r="I592" s="25" t="s">
        <v>38</v>
      </c>
      <c r="J592" s="25">
        <v>30</v>
      </c>
      <c r="K592" s="25">
        <v>214</v>
      </c>
      <c r="L592" s="25">
        <v>5</v>
      </c>
      <c r="M592" s="25" t="s">
        <v>35</v>
      </c>
      <c r="N592" s="25">
        <v>72.099999999999994</v>
      </c>
      <c r="O592" s="25">
        <v>132</v>
      </c>
      <c r="P592" s="25">
        <v>0</v>
      </c>
    </row>
    <row r="593" spans="1:16" x14ac:dyDescent="0.25">
      <c r="A593" s="26">
        <v>45542.442696759259</v>
      </c>
      <c r="B593" s="25" t="s">
        <v>61</v>
      </c>
      <c r="C593" s="25" t="s">
        <v>1218</v>
      </c>
      <c r="D593" s="25" t="s">
        <v>1219</v>
      </c>
      <c r="E593" s="25">
        <v>133</v>
      </c>
      <c r="F593" s="25" t="s">
        <v>19</v>
      </c>
      <c r="G593" s="25">
        <v>29.4</v>
      </c>
      <c r="H593" s="25">
        <v>51.6</v>
      </c>
      <c r="I593" s="25" t="s">
        <v>38</v>
      </c>
      <c r="J593" s="25">
        <v>31</v>
      </c>
      <c r="K593" s="25">
        <v>485</v>
      </c>
      <c r="L593" s="25">
        <v>3</v>
      </c>
      <c r="M593" s="25" t="s">
        <v>27</v>
      </c>
      <c r="N593" s="25">
        <v>90.1</v>
      </c>
      <c r="O593" s="25">
        <v>172</v>
      </c>
      <c r="P593" s="25">
        <v>1</v>
      </c>
    </row>
    <row r="594" spans="1:16" ht="30" customHeight="1" x14ac:dyDescent="0.25">
      <c r="A594" s="26">
        <v>45524.63009259259</v>
      </c>
      <c r="B594" s="25" t="s">
        <v>41</v>
      </c>
      <c r="C594" s="25" t="s">
        <v>1220</v>
      </c>
      <c r="D594" s="25" t="s">
        <v>1221</v>
      </c>
      <c r="E594" s="25">
        <v>388</v>
      </c>
      <c r="F594" s="25" t="s">
        <v>19</v>
      </c>
      <c r="G594" s="25">
        <v>23.1</v>
      </c>
      <c r="H594" s="25">
        <v>64.8</v>
      </c>
      <c r="I594" s="25" t="s">
        <v>20</v>
      </c>
      <c r="J594" s="25">
        <v>23</v>
      </c>
      <c r="K594" s="25">
        <v>329</v>
      </c>
      <c r="L594" s="25">
        <v>1</v>
      </c>
      <c r="M594" s="25" t="s">
        <v>51</v>
      </c>
      <c r="N594" s="25">
        <v>89.2</v>
      </c>
      <c r="O594" s="25">
        <v>296</v>
      </c>
      <c r="P594" s="25">
        <v>1</v>
      </c>
    </row>
    <row r="595" spans="1:16" ht="30" customHeight="1" x14ac:dyDescent="0.25">
      <c r="A595" s="26">
        <v>45607.802303240744</v>
      </c>
      <c r="B595" s="25" t="s">
        <v>95</v>
      </c>
      <c r="C595" s="25" t="s">
        <v>1222</v>
      </c>
      <c r="D595" s="25" t="s">
        <v>1223</v>
      </c>
      <c r="E595" s="25">
        <v>429</v>
      </c>
      <c r="F595" s="25" t="s">
        <v>25</v>
      </c>
      <c r="G595" s="25">
        <v>20.9</v>
      </c>
      <c r="H595" s="25">
        <v>68</v>
      </c>
      <c r="I595" s="25" t="s">
        <v>26</v>
      </c>
      <c r="J595" s="25">
        <v>50</v>
      </c>
      <c r="K595" s="25">
        <v>196</v>
      </c>
      <c r="L595" s="25">
        <v>10</v>
      </c>
      <c r="M595" s="25" t="s">
        <v>51</v>
      </c>
      <c r="N595" s="25">
        <v>72.900000000000006</v>
      </c>
      <c r="O595" s="25">
        <v>123</v>
      </c>
      <c r="P595" s="25">
        <v>1</v>
      </c>
    </row>
    <row r="596" spans="1:16" x14ac:dyDescent="0.25">
      <c r="A596" s="26">
        <v>45439.359791666669</v>
      </c>
      <c r="B596" s="25" t="s">
        <v>22</v>
      </c>
      <c r="C596" s="25" t="s">
        <v>1224</v>
      </c>
      <c r="D596" s="25" t="s">
        <v>1225</v>
      </c>
      <c r="E596" s="25">
        <v>145</v>
      </c>
      <c r="F596" s="25" t="s">
        <v>34</v>
      </c>
      <c r="G596" s="25">
        <v>18.8</v>
      </c>
      <c r="H596" s="25">
        <v>62.6</v>
      </c>
      <c r="I596" s="25" t="s">
        <v>20</v>
      </c>
      <c r="J596" s="25">
        <v>14</v>
      </c>
      <c r="K596" s="25">
        <v>408</v>
      </c>
      <c r="L596" s="25">
        <v>9</v>
      </c>
      <c r="M596" s="25" t="s">
        <v>27</v>
      </c>
      <c r="N596" s="25">
        <v>81.3</v>
      </c>
      <c r="O596" s="25">
        <v>138</v>
      </c>
      <c r="P596" s="25">
        <v>0</v>
      </c>
    </row>
    <row r="597" spans="1:16" x14ac:dyDescent="0.25">
      <c r="A597" s="26">
        <v>45387.789386574077</v>
      </c>
      <c r="B597" s="25" t="s">
        <v>95</v>
      </c>
      <c r="C597" s="25" t="s">
        <v>1226</v>
      </c>
      <c r="D597" s="25" t="s">
        <v>1227</v>
      </c>
      <c r="E597" s="25">
        <v>135</v>
      </c>
      <c r="F597" s="25" t="s">
        <v>34</v>
      </c>
      <c r="G597" s="25">
        <v>20.100000000000001</v>
      </c>
      <c r="H597" s="25">
        <v>53.8</v>
      </c>
      <c r="I597" s="25" t="s">
        <v>20</v>
      </c>
      <c r="J597" s="25">
        <v>21</v>
      </c>
      <c r="K597" s="25">
        <v>108</v>
      </c>
      <c r="L597" s="25">
        <v>10</v>
      </c>
      <c r="M597" s="25" t="s">
        <v>35</v>
      </c>
      <c r="N597" s="25">
        <v>92</v>
      </c>
      <c r="O597" s="25">
        <v>243</v>
      </c>
      <c r="P597" s="25">
        <v>0</v>
      </c>
    </row>
    <row r="598" spans="1:16" x14ac:dyDescent="0.25">
      <c r="A598" s="26">
        <v>45496.630902777775</v>
      </c>
      <c r="B598" s="25" t="s">
        <v>64</v>
      </c>
      <c r="C598" s="25" t="s">
        <v>1228</v>
      </c>
      <c r="D598" s="25" t="s">
        <v>1229</v>
      </c>
      <c r="E598" s="25">
        <v>442</v>
      </c>
      <c r="F598" s="25" t="s">
        <v>19</v>
      </c>
      <c r="G598" s="25">
        <v>22.2</v>
      </c>
      <c r="H598" s="25">
        <v>65.400000000000006</v>
      </c>
      <c r="I598" s="25" t="s">
        <v>20</v>
      </c>
      <c r="J598" s="25">
        <v>33</v>
      </c>
      <c r="K598" s="25">
        <v>492</v>
      </c>
      <c r="L598" s="25">
        <v>5</v>
      </c>
      <c r="M598" s="25" t="s">
        <v>27</v>
      </c>
      <c r="N598" s="25">
        <v>86.4</v>
      </c>
      <c r="O598" s="25">
        <v>145</v>
      </c>
      <c r="P598" s="25">
        <v>1</v>
      </c>
    </row>
    <row r="599" spans="1:16" x14ac:dyDescent="0.25">
      <c r="A599" s="26">
        <v>45355.392187500001</v>
      </c>
      <c r="B599" s="25" t="s">
        <v>28</v>
      </c>
      <c r="C599" s="25" t="s">
        <v>1230</v>
      </c>
      <c r="D599" s="25" t="s">
        <v>1231</v>
      </c>
      <c r="E599" s="25">
        <v>342</v>
      </c>
      <c r="F599" s="25" t="s">
        <v>34</v>
      </c>
      <c r="G599" s="25">
        <v>27.2</v>
      </c>
      <c r="H599" s="25">
        <v>55.1</v>
      </c>
      <c r="I599" s="25" t="s">
        <v>26</v>
      </c>
      <c r="J599" s="25">
        <v>22</v>
      </c>
      <c r="K599" s="25">
        <v>326</v>
      </c>
      <c r="L599" s="25">
        <v>2</v>
      </c>
      <c r="M599" s="25" t="s">
        <v>21</v>
      </c>
      <c r="N599" s="25">
        <v>64.400000000000006</v>
      </c>
      <c r="O599" s="25">
        <v>300</v>
      </c>
      <c r="P599" s="25">
        <v>1</v>
      </c>
    </row>
    <row r="600" spans="1:16" ht="30" customHeight="1" x14ac:dyDescent="0.25">
      <c r="A600" s="26">
        <v>45294.534583333334</v>
      </c>
      <c r="B600" s="25" t="s">
        <v>28</v>
      </c>
      <c r="C600" s="25" t="s">
        <v>1232</v>
      </c>
      <c r="D600" s="25" t="s">
        <v>1233</v>
      </c>
      <c r="E600" s="25">
        <v>308</v>
      </c>
      <c r="F600" s="25" t="s">
        <v>19</v>
      </c>
      <c r="G600" s="25">
        <v>25.2</v>
      </c>
      <c r="H600" s="25">
        <v>52.5</v>
      </c>
      <c r="I600" s="25" t="s">
        <v>26</v>
      </c>
      <c r="J600" s="25">
        <v>19</v>
      </c>
      <c r="K600" s="25">
        <v>475</v>
      </c>
      <c r="L600" s="25">
        <v>8</v>
      </c>
      <c r="M600" s="25" t="s">
        <v>51</v>
      </c>
      <c r="N600" s="25">
        <v>95</v>
      </c>
      <c r="O600" s="25">
        <v>206</v>
      </c>
      <c r="P600" s="25">
        <v>1</v>
      </c>
    </row>
    <row r="601" spans="1:16" x14ac:dyDescent="0.25">
      <c r="A601" s="26">
        <v>45387.847511574073</v>
      </c>
      <c r="B601" s="25" t="s">
        <v>16</v>
      </c>
      <c r="C601" s="25" t="s">
        <v>1234</v>
      </c>
      <c r="D601" s="25" t="s">
        <v>1235</v>
      </c>
      <c r="E601" s="25">
        <v>358</v>
      </c>
      <c r="F601" s="25" t="s">
        <v>19</v>
      </c>
      <c r="G601" s="25">
        <v>21.6</v>
      </c>
      <c r="H601" s="25">
        <v>61.7</v>
      </c>
      <c r="I601" s="25" t="s">
        <v>38</v>
      </c>
      <c r="J601" s="25">
        <v>23</v>
      </c>
      <c r="K601" s="25">
        <v>127</v>
      </c>
      <c r="L601" s="25">
        <v>6</v>
      </c>
      <c r="M601" s="25" t="s">
        <v>21</v>
      </c>
      <c r="N601" s="25">
        <v>85.7</v>
      </c>
      <c r="O601" s="25">
        <v>199</v>
      </c>
      <c r="P601" s="25">
        <v>1</v>
      </c>
    </row>
    <row r="602" spans="1:16" x14ac:dyDescent="0.25">
      <c r="A602" s="26">
        <v>45420.422986111109</v>
      </c>
      <c r="B602" s="25" t="s">
        <v>22</v>
      </c>
      <c r="C602" s="25" t="s">
        <v>1236</v>
      </c>
      <c r="D602" s="25" t="s">
        <v>1237</v>
      </c>
      <c r="E602" s="25">
        <v>128</v>
      </c>
      <c r="F602" s="25" t="s">
        <v>19</v>
      </c>
      <c r="G602" s="25">
        <v>23</v>
      </c>
      <c r="H602" s="25">
        <v>69.7</v>
      </c>
      <c r="I602" s="25" t="s">
        <v>38</v>
      </c>
      <c r="J602" s="25">
        <v>30</v>
      </c>
      <c r="K602" s="25">
        <v>462</v>
      </c>
      <c r="L602" s="25">
        <v>8</v>
      </c>
      <c r="M602" s="25" t="s">
        <v>21</v>
      </c>
      <c r="N602" s="25">
        <v>76.7</v>
      </c>
      <c r="O602" s="25">
        <v>105</v>
      </c>
      <c r="P602" s="25">
        <v>1</v>
      </c>
    </row>
    <row r="603" spans="1:16" ht="30" customHeight="1" x14ac:dyDescent="0.25">
      <c r="A603" s="26">
        <v>45480.825868055559</v>
      </c>
      <c r="B603" s="25" t="s">
        <v>48</v>
      </c>
      <c r="C603" s="25" t="s">
        <v>1238</v>
      </c>
      <c r="D603" s="25" t="s">
        <v>1239</v>
      </c>
      <c r="E603" s="25">
        <v>426</v>
      </c>
      <c r="F603" s="25" t="s">
        <v>19</v>
      </c>
      <c r="G603" s="25">
        <v>24.2</v>
      </c>
      <c r="H603" s="25">
        <v>75.7</v>
      </c>
      <c r="I603" s="25" t="s">
        <v>38</v>
      </c>
      <c r="J603" s="25">
        <v>51</v>
      </c>
      <c r="K603" s="25">
        <v>303</v>
      </c>
      <c r="L603" s="25">
        <v>10</v>
      </c>
      <c r="M603" s="25" t="s">
        <v>51</v>
      </c>
      <c r="N603" s="25">
        <v>94.1</v>
      </c>
      <c r="O603" s="25">
        <v>160</v>
      </c>
      <c r="P603" s="25">
        <v>1</v>
      </c>
    </row>
    <row r="604" spans="1:16" x14ac:dyDescent="0.25">
      <c r="A604" s="26">
        <v>45622.948194444441</v>
      </c>
      <c r="B604" s="25" t="s">
        <v>22</v>
      </c>
      <c r="C604" s="25" t="s">
        <v>1240</v>
      </c>
      <c r="D604" s="25" t="s">
        <v>1241</v>
      </c>
      <c r="E604" s="25">
        <v>349</v>
      </c>
      <c r="F604" s="25" t="s">
        <v>34</v>
      </c>
      <c r="G604" s="25">
        <v>21.1</v>
      </c>
      <c r="H604" s="25">
        <v>54.1</v>
      </c>
      <c r="I604" s="25" t="s">
        <v>20</v>
      </c>
      <c r="J604" s="25">
        <v>47</v>
      </c>
      <c r="K604" s="25">
        <v>290</v>
      </c>
      <c r="L604" s="25">
        <v>5</v>
      </c>
      <c r="M604" s="25" t="s">
        <v>21</v>
      </c>
      <c r="N604" s="25">
        <v>70.400000000000006</v>
      </c>
      <c r="O604" s="25">
        <v>233</v>
      </c>
      <c r="P604" s="25">
        <v>0</v>
      </c>
    </row>
    <row r="605" spans="1:16" ht="30" customHeight="1" x14ac:dyDescent="0.25">
      <c r="A605" s="26">
        <v>45295.133692129632</v>
      </c>
      <c r="B605" s="25" t="s">
        <v>41</v>
      </c>
      <c r="C605" s="25" t="s">
        <v>1242</v>
      </c>
      <c r="D605" s="25" t="s">
        <v>1243</v>
      </c>
      <c r="E605" s="25">
        <v>173</v>
      </c>
      <c r="F605" s="25" t="s">
        <v>25</v>
      </c>
      <c r="G605" s="25">
        <v>23.1</v>
      </c>
      <c r="H605" s="25">
        <v>56</v>
      </c>
      <c r="I605" s="25" t="s">
        <v>26</v>
      </c>
      <c r="J605" s="25">
        <v>50</v>
      </c>
      <c r="K605" s="25">
        <v>440</v>
      </c>
      <c r="L605" s="25">
        <v>3</v>
      </c>
      <c r="M605" s="25" t="s">
        <v>51</v>
      </c>
      <c r="N605" s="25">
        <v>73.400000000000006</v>
      </c>
      <c r="O605" s="25">
        <v>289</v>
      </c>
      <c r="P605" s="25">
        <v>1</v>
      </c>
    </row>
    <row r="606" spans="1:16" x14ac:dyDescent="0.25">
      <c r="A606" s="26">
        <v>45504.624571759261</v>
      </c>
      <c r="B606" s="25" t="s">
        <v>28</v>
      </c>
      <c r="C606" s="25" t="s">
        <v>1244</v>
      </c>
      <c r="D606" s="25" t="s">
        <v>1245</v>
      </c>
      <c r="E606" s="25">
        <v>184</v>
      </c>
      <c r="F606" s="25" t="s">
        <v>19</v>
      </c>
      <c r="G606" s="25">
        <v>24.5</v>
      </c>
      <c r="H606" s="25">
        <v>54.9</v>
      </c>
      <c r="I606" s="25" t="s">
        <v>20</v>
      </c>
      <c r="J606" s="25">
        <v>23</v>
      </c>
      <c r="K606" s="25">
        <v>159</v>
      </c>
      <c r="L606" s="25">
        <v>7</v>
      </c>
      <c r="M606" s="25" t="s">
        <v>35</v>
      </c>
      <c r="N606" s="25">
        <v>60.2</v>
      </c>
      <c r="O606" s="25">
        <v>120</v>
      </c>
      <c r="P606" s="25">
        <v>1</v>
      </c>
    </row>
    <row r="607" spans="1:16" x14ac:dyDescent="0.25">
      <c r="A607" s="26">
        <v>45435.974733796298</v>
      </c>
      <c r="B607" s="25" t="s">
        <v>64</v>
      </c>
      <c r="C607" s="25" t="s">
        <v>1246</v>
      </c>
      <c r="D607" s="25" t="s">
        <v>1247</v>
      </c>
      <c r="E607" s="25">
        <v>318</v>
      </c>
      <c r="F607" s="25" t="s">
        <v>19</v>
      </c>
      <c r="G607" s="25">
        <v>25.5</v>
      </c>
      <c r="H607" s="25">
        <v>64.3</v>
      </c>
      <c r="I607" s="25" t="s">
        <v>26</v>
      </c>
      <c r="J607" s="25">
        <v>15</v>
      </c>
      <c r="K607" s="25">
        <v>215</v>
      </c>
      <c r="L607" s="25">
        <v>8</v>
      </c>
      <c r="M607" s="25" t="s">
        <v>35</v>
      </c>
      <c r="N607" s="25">
        <v>69.099999999999994</v>
      </c>
      <c r="O607" s="25">
        <v>158</v>
      </c>
      <c r="P607" s="25">
        <v>1</v>
      </c>
    </row>
    <row r="608" spans="1:16" ht="30" customHeight="1" x14ac:dyDescent="0.25">
      <c r="A608" s="26">
        <v>45477.003495370373</v>
      </c>
      <c r="B608" s="25" t="s">
        <v>61</v>
      </c>
      <c r="C608" s="25" t="s">
        <v>1248</v>
      </c>
      <c r="D608" s="25" t="s">
        <v>1249</v>
      </c>
      <c r="E608" s="25">
        <v>288</v>
      </c>
      <c r="F608" s="25" t="s">
        <v>34</v>
      </c>
      <c r="G608" s="25">
        <v>24.7</v>
      </c>
      <c r="H608" s="25">
        <v>67.400000000000006</v>
      </c>
      <c r="I608" s="25" t="s">
        <v>20</v>
      </c>
      <c r="J608" s="25">
        <v>37</v>
      </c>
      <c r="K608" s="25">
        <v>230</v>
      </c>
      <c r="L608" s="25">
        <v>7</v>
      </c>
      <c r="M608" s="25" t="s">
        <v>51</v>
      </c>
      <c r="N608" s="25">
        <v>65</v>
      </c>
      <c r="O608" s="25">
        <v>259</v>
      </c>
      <c r="P608" s="25">
        <v>0</v>
      </c>
    </row>
    <row r="609" spans="1:16" ht="30" customHeight="1" x14ac:dyDescent="0.25">
      <c r="A609" s="26">
        <v>45522.976238425923</v>
      </c>
      <c r="B609" s="25" t="s">
        <v>22</v>
      </c>
      <c r="C609" s="25" t="s">
        <v>1250</v>
      </c>
      <c r="D609" s="25" t="s">
        <v>1251</v>
      </c>
      <c r="E609" s="25">
        <v>317</v>
      </c>
      <c r="F609" s="25" t="s">
        <v>34</v>
      </c>
      <c r="G609" s="25">
        <v>18.5</v>
      </c>
      <c r="H609" s="25">
        <v>66</v>
      </c>
      <c r="I609" s="25" t="s">
        <v>26</v>
      </c>
      <c r="J609" s="25">
        <v>36</v>
      </c>
      <c r="K609" s="25">
        <v>465</v>
      </c>
      <c r="L609" s="25">
        <v>1</v>
      </c>
      <c r="M609" s="25" t="s">
        <v>51</v>
      </c>
      <c r="N609" s="25">
        <v>68</v>
      </c>
      <c r="O609" s="25">
        <v>180</v>
      </c>
      <c r="P609" s="25">
        <v>1</v>
      </c>
    </row>
    <row r="610" spans="1:16" x14ac:dyDescent="0.25">
      <c r="A610" s="26">
        <v>45588.639074074075</v>
      </c>
      <c r="B610" s="25" t="s">
        <v>16</v>
      </c>
      <c r="C610" s="25" t="s">
        <v>1252</v>
      </c>
      <c r="D610" s="25" t="s">
        <v>1253</v>
      </c>
      <c r="E610" s="25">
        <v>122</v>
      </c>
      <c r="F610" s="25" t="s">
        <v>25</v>
      </c>
      <c r="G610" s="25">
        <v>26.7</v>
      </c>
      <c r="H610" s="25">
        <v>73.2</v>
      </c>
      <c r="I610" s="25" t="s">
        <v>38</v>
      </c>
      <c r="J610" s="25">
        <v>37</v>
      </c>
      <c r="K610" s="25">
        <v>128</v>
      </c>
      <c r="L610" s="25">
        <v>9</v>
      </c>
      <c r="M610" s="25" t="s">
        <v>21</v>
      </c>
      <c r="N610" s="25">
        <v>81.400000000000006</v>
      </c>
      <c r="O610" s="25">
        <v>174</v>
      </c>
      <c r="P610" s="25">
        <v>0</v>
      </c>
    </row>
    <row r="611" spans="1:16" x14ac:dyDescent="0.25">
      <c r="A611" s="26">
        <v>45475.69494212963</v>
      </c>
      <c r="B611" s="25" t="s">
        <v>41</v>
      </c>
      <c r="C611" s="25" t="s">
        <v>1254</v>
      </c>
      <c r="D611" s="25" t="s">
        <v>1255</v>
      </c>
      <c r="E611" s="25">
        <v>291</v>
      </c>
      <c r="F611" s="25" t="s">
        <v>34</v>
      </c>
      <c r="G611" s="25">
        <v>24.2</v>
      </c>
      <c r="H611" s="25">
        <v>67</v>
      </c>
      <c r="I611" s="25" t="s">
        <v>26</v>
      </c>
      <c r="J611" s="25">
        <v>29</v>
      </c>
      <c r="K611" s="25">
        <v>431</v>
      </c>
      <c r="L611" s="25">
        <v>9</v>
      </c>
      <c r="M611" s="25" t="s">
        <v>35</v>
      </c>
      <c r="N611" s="25">
        <v>90.1</v>
      </c>
      <c r="O611" s="25">
        <v>172</v>
      </c>
      <c r="P611" s="25">
        <v>1</v>
      </c>
    </row>
    <row r="612" spans="1:16" x14ac:dyDescent="0.25">
      <c r="A612" s="26">
        <v>45301.702939814815</v>
      </c>
      <c r="B612" s="25" t="s">
        <v>95</v>
      </c>
      <c r="C612" s="25" t="s">
        <v>1256</v>
      </c>
      <c r="D612" s="25" t="s">
        <v>1257</v>
      </c>
      <c r="E612" s="25">
        <v>199</v>
      </c>
      <c r="F612" s="25" t="s">
        <v>34</v>
      </c>
      <c r="G612" s="25">
        <v>23.4</v>
      </c>
      <c r="H612" s="25">
        <v>64.400000000000006</v>
      </c>
      <c r="I612" s="25" t="s">
        <v>26</v>
      </c>
      <c r="J612" s="25">
        <v>59</v>
      </c>
      <c r="K612" s="25">
        <v>476</v>
      </c>
      <c r="L612" s="25">
        <v>10</v>
      </c>
      <c r="M612" s="25" t="s">
        <v>35</v>
      </c>
      <c r="N612" s="25">
        <v>81.3</v>
      </c>
      <c r="O612" s="25">
        <v>123</v>
      </c>
      <c r="P612" s="25">
        <v>1</v>
      </c>
    </row>
    <row r="613" spans="1:16" ht="30" customHeight="1" x14ac:dyDescent="0.25">
      <c r="A613" s="26">
        <v>45590.668217592596</v>
      </c>
      <c r="B613" s="25" t="s">
        <v>56</v>
      </c>
      <c r="C613" s="25" t="s">
        <v>1258</v>
      </c>
      <c r="D613" s="25" t="s">
        <v>1259</v>
      </c>
      <c r="E613" s="25">
        <v>488</v>
      </c>
      <c r="F613" s="25" t="s">
        <v>34</v>
      </c>
      <c r="G613" s="25">
        <v>21.9</v>
      </c>
      <c r="H613" s="25">
        <v>75.8</v>
      </c>
      <c r="I613" s="25" t="s">
        <v>20</v>
      </c>
      <c r="J613" s="25">
        <v>30</v>
      </c>
      <c r="K613" s="25">
        <v>147</v>
      </c>
      <c r="L613" s="25">
        <v>3</v>
      </c>
      <c r="M613" s="25" t="s">
        <v>51</v>
      </c>
      <c r="N613" s="25">
        <v>81.599999999999994</v>
      </c>
      <c r="O613" s="25">
        <v>252</v>
      </c>
      <c r="P613" s="25">
        <v>0</v>
      </c>
    </row>
    <row r="614" spans="1:16" x14ac:dyDescent="0.25">
      <c r="A614" s="26">
        <v>45349.906967592593</v>
      </c>
      <c r="B614" s="25" t="s">
        <v>95</v>
      </c>
      <c r="C614" s="25" t="s">
        <v>1260</v>
      </c>
      <c r="D614" s="25" t="s">
        <v>1261</v>
      </c>
      <c r="E614" s="25">
        <v>445</v>
      </c>
      <c r="F614" s="25" t="s">
        <v>19</v>
      </c>
      <c r="G614" s="25">
        <v>20.6</v>
      </c>
      <c r="H614" s="25">
        <v>68.2</v>
      </c>
      <c r="I614" s="25" t="s">
        <v>38</v>
      </c>
      <c r="J614" s="25">
        <v>41</v>
      </c>
      <c r="K614" s="25">
        <v>418</v>
      </c>
      <c r="L614" s="25">
        <v>9</v>
      </c>
      <c r="M614" s="25" t="s">
        <v>21</v>
      </c>
      <c r="N614" s="25">
        <v>93.6</v>
      </c>
      <c r="O614" s="25">
        <v>184</v>
      </c>
      <c r="P614" s="25">
        <v>1</v>
      </c>
    </row>
    <row r="615" spans="1:16" x14ac:dyDescent="0.25">
      <c r="A615" s="26">
        <v>45510.187060185184</v>
      </c>
      <c r="B615" s="25" t="s">
        <v>48</v>
      </c>
      <c r="C615" s="25" t="s">
        <v>1262</v>
      </c>
      <c r="D615" s="25" t="s">
        <v>1263</v>
      </c>
      <c r="E615" s="25">
        <v>247</v>
      </c>
      <c r="F615" s="25" t="s">
        <v>19</v>
      </c>
      <c r="G615" s="25">
        <v>19.3</v>
      </c>
      <c r="H615" s="25">
        <v>62.9</v>
      </c>
      <c r="I615" s="25" t="s">
        <v>38</v>
      </c>
      <c r="J615" s="25">
        <v>55</v>
      </c>
      <c r="K615" s="25">
        <v>466</v>
      </c>
      <c r="L615" s="25">
        <v>2</v>
      </c>
      <c r="M615" s="25" t="s">
        <v>27</v>
      </c>
      <c r="N615" s="25">
        <v>78</v>
      </c>
      <c r="O615" s="25">
        <v>183</v>
      </c>
      <c r="P615" s="25">
        <v>1</v>
      </c>
    </row>
    <row r="616" spans="1:16" x14ac:dyDescent="0.25">
      <c r="A616" s="26">
        <v>45544.787731481483</v>
      </c>
      <c r="B616" s="25" t="s">
        <v>41</v>
      </c>
      <c r="C616" s="25" t="s">
        <v>1264</v>
      </c>
      <c r="D616" s="25" t="s">
        <v>1265</v>
      </c>
      <c r="E616" s="25">
        <v>351</v>
      </c>
      <c r="F616" s="25" t="s">
        <v>25</v>
      </c>
      <c r="G616" s="25">
        <v>29.7</v>
      </c>
      <c r="H616" s="25">
        <v>52.1</v>
      </c>
      <c r="I616" s="25" t="s">
        <v>38</v>
      </c>
      <c r="J616" s="25">
        <v>41</v>
      </c>
      <c r="K616" s="25">
        <v>330</v>
      </c>
      <c r="L616" s="25">
        <v>8</v>
      </c>
      <c r="M616" s="25" t="s">
        <v>27</v>
      </c>
      <c r="N616" s="25">
        <v>94.5</v>
      </c>
      <c r="O616" s="25">
        <v>108</v>
      </c>
      <c r="P616" s="25">
        <v>0</v>
      </c>
    </row>
    <row r="617" spans="1:16" ht="30" customHeight="1" x14ac:dyDescent="0.25">
      <c r="A617" s="26">
        <v>45312.538993055554</v>
      </c>
      <c r="B617" s="25" t="s">
        <v>95</v>
      </c>
      <c r="C617" s="25" t="s">
        <v>1266</v>
      </c>
      <c r="D617" s="25" t="s">
        <v>1267</v>
      </c>
      <c r="E617" s="25">
        <v>311</v>
      </c>
      <c r="F617" s="25" t="s">
        <v>19</v>
      </c>
      <c r="G617" s="25">
        <v>28.9</v>
      </c>
      <c r="H617" s="25">
        <v>77.8</v>
      </c>
      <c r="I617" s="25" t="s">
        <v>26</v>
      </c>
      <c r="J617" s="25">
        <v>43</v>
      </c>
      <c r="K617" s="25">
        <v>415</v>
      </c>
      <c r="L617" s="25">
        <v>1</v>
      </c>
      <c r="M617" s="25" t="s">
        <v>51</v>
      </c>
      <c r="N617" s="25">
        <v>76.400000000000006</v>
      </c>
      <c r="O617" s="25">
        <v>210</v>
      </c>
      <c r="P617" s="25">
        <v>1</v>
      </c>
    </row>
    <row r="618" spans="1:16" ht="30" customHeight="1" x14ac:dyDescent="0.25">
      <c r="A618" s="26">
        <v>45588.882638888892</v>
      </c>
      <c r="B618" s="25" t="s">
        <v>64</v>
      </c>
      <c r="C618" s="25" t="s">
        <v>1268</v>
      </c>
      <c r="D618" s="25" t="s">
        <v>1269</v>
      </c>
      <c r="E618" s="25">
        <v>495</v>
      </c>
      <c r="F618" s="25" t="s">
        <v>34</v>
      </c>
      <c r="G618" s="25">
        <v>29.5</v>
      </c>
      <c r="H618" s="25">
        <v>50.6</v>
      </c>
      <c r="I618" s="25" t="s">
        <v>20</v>
      </c>
      <c r="J618" s="25">
        <v>58</v>
      </c>
      <c r="K618" s="25">
        <v>179</v>
      </c>
      <c r="L618" s="25">
        <v>3</v>
      </c>
      <c r="M618" s="25" t="s">
        <v>51</v>
      </c>
      <c r="N618" s="25">
        <v>72.3</v>
      </c>
      <c r="O618" s="25">
        <v>245</v>
      </c>
      <c r="P618" s="25">
        <v>0</v>
      </c>
    </row>
    <row r="619" spans="1:16" x14ac:dyDescent="0.25">
      <c r="A619" s="26">
        <v>45373.129432870373</v>
      </c>
      <c r="B619" s="25" t="s">
        <v>61</v>
      </c>
      <c r="C619" s="25" t="s">
        <v>1270</v>
      </c>
      <c r="D619" s="25" t="s">
        <v>1271</v>
      </c>
      <c r="E619" s="25">
        <v>237</v>
      </c>
      <c r="F619" s="25" t="s">
        <v>25</v>
      </c>
      <c r="G619" s="25">
        <v>23.6</v>
      </c>
      <c r="H619" s="25">
        <v>62.7</v>
      </c>
      <c r="I619" s="25" t="s">
        <v>20</v>
      </c>
      <c r="J619" s="25">
        <v>35</v>
      </c>
      <c r="K619" s="25">
        <v>323</v>
      </c>
      <c r="L619" s="25">
        <v>9</v>
      </c>
      <c r="M619" s="25" t="s">
        <v>27</v>
      </c>
      <c r="N619" s="25">
        <v>66.8</v>
      </c>
      <c r="O619" s="25">
        <v>267</v>
      </c>
      <c r="P619" s="25">
        <v>0</v>
      </c>
    </row>
    <row r="620" spans="1:16" x14ac:dyDescent="0.25">
      <c r="A620" s="26">
        <v>45542.082499999997</v>
      </c>
      <c r="B620" s="25" t="s">
        <v>48</v>
      </c>
      <c r="C620" s="25" t="s">
        <v>1272</v>
      </c>
      <c r="D620" s="25" t="s">
        <v>1273</v>
      </c>
      <c r="E620" s="25">
        <v>290</v>
      </c>
      <c r="F620" s="25" t="s">
        <v>34</v>
      </c>
      <c r="G620" s="25">
        <v>28.7</v>
      </c>
      <c r="H620" s="25">
        <v>72.599999999999994</v>
      </c>
      <c r="I620" s="25" t="s">
        <v>38</v>
      </c>
      <c r="J620" s="25">
        <v>45</v>
      </c>
      <c r="K620" s="25">
        <v>151</v>
      </c>
      <c r="L620" s="25">
        <v>8</v>
      </c>
      <c r="M620" s="25" t="s">
        <v>35</v>
      </c>
      <c r="N620" s="25">
        <v>81.7</v>
      </c>
      <c r="O620" s="25">
        <v>280</v>
      </c>
      <c r="P620" s="25">
        <v>0</v>
      </c>
    </row>
    <row r="621" spans="1:16" x14ac:dyDescent="0.25">
      <c r="A621" s="26">
        <v>45335.22515046296</v>
      </c>
      <c r="B621" s="25" t="s">
        <v>48</v>
      </c>
      <c r="C621" s="25" t="s">
        <v>1274</v>
      </c>
      <c r="D621" s="25" t="s">
        <v>1275</v>
      </c>
      <c r="E621" s="25">
        <v>111</v>
      </c>
      <c r="F621" s="25" t="s">
        <v>19</v>
      </c>
      <c r="G621" s="25">
        <v>22.7</v>
      </c>
      <c r="H621" s="25">
        <v>75.599999999999994</v>
      </c>
      <c r="I621" s="25" t="s">
        <v>38</v>
      </c>
      <c r="J621" s="25">
        <v>47</v>
      </c>
      <c r="K621" s="25">
        <v>207</v>
      </c>
      <c r="L621" s="25">
        <v>4</v>
      </c>
      <c r="M621" s="25" t="s">
        <v>21</v>
      </c>
      <c r="N621" s="25">
        <v>60.4</v>
      </c>
      <c r="O621" s="25">
        <v>131</v>
      </c>
      <c r="P621" s="25">
        <v>1</v>
      </c>
    </row>
    <row r="622" spans="1:16" x14ac:dyDescent="0.25">
      <c r="A622" s="26">
        <v>45321.650416666664</v>
      </c>
      <c r="B622" s="25" t="s">
        <v>48</v>
      </c>
      <c r="C622" s="25" t="s">
        <v>1276</v>
      </c>
      <c r="D622" s="25" t="s">
        <v>1277</v>
      </c>
      <c r="E622" s="25">
        <v>373</v>
      </c>
      <c r="F622" s="25" t="s">
        <v>19</v>
      </c>
      <c r="G622" s="25">
        <v>27.6</v>
      </c>
      <c r="H622" s="25">
        <v>65.8</v>
      </c>
      <c r="I622" s="25" t="s">
        <v>26</v>
      </c>
      <c r="J622" s="25">
        <v>23</v>
      </c>
      <c r="K622" s="25">
        <v>396</v>
      </c>
      <c r="L622" s="25">
        <v>1</v>
      </c>
      <c r="M622" s="25" t="s">
        <v>35</v>
      </c>
      <c r="N622" s="25">
        <v>79.3</v>
      </c>
      <c r="O622" s="25">
        <v>126</v>
      </c>
      <c r="P622" s="25">
        <v>1</v>
      </c>
    </row>
    <row r="623" spans="1:16" x14ac:dyDescent="0.25">
      <c r="A623" s="26">
        <v>45357.257268518515</v>
      </c>
      <c r="B623" s="25" t="s">
        <v>28</v>
      </c>
      <c r="C623" s="25" t="s">
        <v>1278</v>
      </c>
      <c r="D623" s="25" t="s">
        <v>1279</v>
      </c>
      <c r="E623" s="25">
        <v>458</v>
      </c>
      <c r="F623" s="25" t="s">
        <v>25</v>
      </c>
      <c r="G623" s="25">
        <v>25.5</v>
      </c>
      <c r="H623" s="25">
        <v>52.1</v>
      </c>
      <c r="I623" s="25" t="s">
        <v>20</v>
      </c>
      <c r="J623" s="25">
        <v>32</v>
      </c>
      <c r="K623" s="25">
        <v>183</v>
      </c>
      <c r="L623" s="25">
        <v>6</v>
      </c>
      <c r="M623" s="25" t="s">
        <v>27</v>
      </c>
      <c r="N623" s="25">
        <v>93.5</v>
      </c>
      <c r="O623" s="25">
        <v>154</v>
      </c>
      <c r="P623" s="25">
        <v>0</v>
      </c>
    </row>
    <row r="624" spans="1:16" ht="30" customHeight="1" x14ac:dyDescent="0.25">
      <c r="A624" s="26">
        <v>45596.323750000003</v>
      </c>
      <c r="B624" s="25" t="s">
        <v>41</v>
      </c>
      <c r="C624" s="25" t="s">
        <v>1280</v>
      </c>
      <c r="D624" s="25" t="s">
        <v>1281</v>
      </c>
      <c r="E624" s="25">
        <v>354</v>
      </c>
      <c r="F624" s="25" t="s">
        <v>25</v>
      </c>
      <c r="G624" s="25">
        <v>24.7</v>
      </c>
      <c r="H624" s="25">
        <v>64.099999999999994</v>
      </c>
      <c r="I624" s="25" t="s">
        <v>20</v>
      </c>
      <c r="J624" s="25">
        <v>15</v>
      </c>
      <c r="K624" s="25">
        <v>298</v>
      </c>
      <c r="L624" s="25">
        <v>4</v>
      </c>
      <c r="M624" s="25" t="s">
        <v>51</v>
      </c>
      <c r="N624" s="25">
        <v>71.900000000000006</v>
      </c>
      <c r="O624" s="25">
        <v>162</v>
      </c>
      <c r="P624" s="25">
        <v>0</v>
      </c>
    </row>
    <row r="625" spans="1:16" ht="30" customHeight="1" x14ac:dyDescent="0.25">
      <c r="A625" s="26">
        <v>45464.418113425927</v>
      </c>
      <c r="B625" s="25" t="s">
        <v>61</v>
      </c>
      <c r="C625" s="25" t="s">
        <v>1282</v>
      </c>
      <c r="D625" s="25" t="s">
        <v>1283</v>
      </c>
      <c r="E625" s="25">
        <v>165</v>
      </c>
      <c r="F625" s="25" t="s">
        <v>19</v>
      </c>
      <c r="G625" s="25">
        <v>28.8</v>
      </c>
      <c r="H625" s="25">
        <v>51.6</v>
      </c>
      <c r="I625" s="25" t="s">
        <v>26</v>
      </c>
      <c r="J625" s="25">
        <v>49</v>
      </c>
      <c r="K625" s="25">
        <v>410</v>
      </c>
      <c r="L625" s="25">
        <v>8</v>
      </c>
      <c r="M625" s="25" t="s">
        <v>51</v>
      </c>
      <c r="N625" s="25">
        <v>88.4</v>
      </c>
      <c r="O625" s="25">
        <v>291</v>
      </c>
      <c r="P625" s="25">
        <v>1</v>
      </c>
    </row>
    <row r="626" spans="1:16" ht="30" customHeight="1" x14ac:dyDescent="0.25">
      <c r="A626" s="26">
        <v>45498.749745370369</v>
      </c>
      <c r="B626" s="25" t="s">
        <v>56</v>
      </c>
      <c r="C626" s="25" t="s">
        <v>1284</v>
      </c>
      <c r="D626" s="25" t="s">
        <v>1285</v>
      </c>
      <c r="E626" s="25">
        <v>471</v>
      </c>
      <c r="F626" s="25" t="s">
        <v>19</v>
      </c>
      <c r="G626" s="25">
        <v>19.8</v>
      </c>
      <c r="H626" s="25">
        <v>55.2</v>
      </c>
      <c r="I626" s="25" t="s">
        <v>38</v>
      </c>
      <c r="J626" s="25">
        <v>36</v>
      </c>
      <c r="K626" s="25">
        <v>369</v>
      </c>
      <c r="L626" s="25">
        <v>6</v>
      </c>
      <c r="M626" s="25" t="s">
        <v>51</v>
      </c>
      <c r="N626" s="25">
        <v>94.7</v>
      </c>
      <c r="O626" s="25">
        <v>183</v>
      </c>
      <c r="P626" s="25">
        <v>1</v>
      </c>
    </row>
    <row r="627" spans="1:16" ht="30" customHeight="1" x14ac:dyDescent="0.25">
      <c r="A627" s="26">
        <v>45343.917071759257</v>
      </c>
      <c r="B627" s="25" t="s">
        <v>56</v>
      </c>
      <c r="C627" s="25" t="s">
        <v>1286</v>
      </c>
      <c r="D627" s="25" t="s">
        <v>1287</v>
      </c>
      <c r="E627" s="25">
        <v>410</v>
      </c>
      <c r="F627" s="25" t="s">
        <v>34</v>
      </c>
      <c r="G627" s="25">
        <v>27.5</v>
      </c>
      <c r="H627" s="25">
        <v>58.5</v>
      </c>
      <c r="I627" s="25" t="s">
        <v>20</v>
      </c>
      <c r="J627" s="25">
        <v>21</v>
      </c>
      <c r="K627" s="25">
        <v>439</v>
      </c>
      <c r="L627" s="25">
        <v>9</v>
      </c>
      <c r="M627" s="25" t="s">
        <v>51</v>
      </c>
      <c r="N627" s="25">
        <v>72.400000000000006</v>
      </c>
      <c r="O627" s="25">
        <v>182</v>
      </c>
      <c r="P627" s="25">
        <v>0</v>
      </c>
    </row>
    <row r="628" spans="1:16" ht="30" customHeight="1" x14ac:dyDescent="0.25">
      <c r="A628" s="26">
        <v>45465.291516203702</v>
      </c>
      <c r="B628" s="25" t="s">
        <v>56</v>
      </c>
      <c r="C628" s="25" t="s">
        <v>1288</v>
      </c>
      <c r="D628" s="25" t="s">
        <v>1289</v>
      </c>
      <c r="E628" s="25">
        <v>407</v>
      </c>
      <c r="F628" s="25" t="s">
        <v>25</v>
      </c>
      <c r="G628" s="25">
        <v>19.899999999999999</v>
      </c>
      <c r="H628" s="25">
        <v>50.7</v>
      </c>
      <c r="I628" s="25" t="s">
        <v>26</v>
      </c>
      <c r="J628" s="25">
        <v>55</v>
      </c>
      <c r="K628" s="25">
        <v>421</v>
      </c>
      <c r="L628" s="25">
        <v>1</v>
      </c>
      <c r="M628" s="25" t="s">
        <v>51</v>
      </c>
      <c r="N628" s="25">
        <v>87.2</v>
      </c>
      <c r="O628" s="25">
        <v>237</v>
      </c>
      <c r="P628" s="25">
        <v>1</v>
      </c>
    </row>
    <row r="629" spans="1:16" x14ac:dyDescent="0.25">
      <c r="A629" s="26">
        <v>45331.875648148147</v>
      </c>
      <c r="B629" s="25" t="s">
        <v>28</v>
      </c>
      <c r="C629" s="25" t="s">
        <v>1290</v>
      </c>
      <c r="D629" s="25" t="s">
        <v>1291</v>
      </c>
      <c r="E629" s="25">
        <v>134</v>
      </c>
      <c r="F629" s="25" t="s">
        <v>34</v>
      </c>
      <c r="G629" s="25">
        <v>19.5</v>
      </c>
      <c r="H629" s="25">
        <v>75.3</v>
      </c>
      <c r="I629" s="25" t="s">
        <v>38</v>
      </c>
      <c r="J629" s="25">
        <v>45</v>
      </c>
      <c r="K629" s="25">
        <v>424</v>
      </c>
      <c r="L629" s="25">
        <v>6</v>
      </c>
      <c r="M629" s="25" t="s">
        <v>27</v>
      </c>
      <c r="N629" s="25">
        <v>80.900000000000006</v>
      </c>
      <c r="O629" s="25">
        <v>175</v>
      </c>
      <c r="P629" s="25">
        <v>0</v>
      </c>
    </row>
    <row r="630" spans="1:16" x14ac:dyDescent="0.25">
      <c r="A630" s="26">
        <v>45642.021435185183</v>
      </c>
      <c r="B630" s="25" t="s">
        <v>28</v>
      </c>
      <c r="C630" s="25" t="s">
        <v>1292</v>
      </c>
      <c r="D630" s="25" t="s">
        <v>1293</v>
      </c>
      <c r="E630" s="25">
        <v>394</v>
      </c>
      <c r="F630" s="25" t="s">
        <v>19</v>
      </c>
      <c r="G630" s="25">
        <v>26.9</v>
      </c>
      <c r="H630" s="25">
        <v>62.1</v>
      </c>
      <c r="I630" s="25" t="s">
        <v>20</v>
      </c>
      <c r="J630" s="25">
        <v>29</v>
      </c>
      <c r="K630" s="25">
        <v>419</v>
      </c>
      <c r="L630" s="25">
        <v>10</v>
      </c>
      <c r="M630" s="25" t="s">
        <v>21</v>
      </c>
      <c r="N630" s="25">
        <v>90.7</v>
      </c>
      <c r="O630" s="25">
        <v>139</v>
      </c>
      <c r="P630" s="25">
        <v>1</v>
      </c>
    </row>
    <row r="631" spans="1:16" x14ac:dyDescent="0.25">
      <c r="A631" s="26">
        <v>45373.995497685188</v>
      </c>
      <c r="B631" s="25" t="s">
        <v>28</v>
      </c>
      <c r="C631" s="25" t="s">
        <v>1294</v>
      </c>
      <c r="D631" s="25" t="s">
        <v>1295</v>
      </c>
      <c r="E631" s="25">
        <v>480</v>
      </c>
      <c r="F631" s="25" t="s">
        <v>19</v>
      </c>
      <c r="G631" s="25">
        <v>23.9</v>
      </c>
      <c r="H631" s="25">
        <v>57.9</v>
      </c>
      <c r="I631" s="25" t="s">
        <v>26</v>
      </c>
      <c r="J631" s="25">
        <v>57</v>
      </c>
      <c r="K631" s="25">
        <v>204</v>
      </c>
      <c r="L631" s="25">
        <v>6</v>
      </c>
      <c r="M631" s="25" t="s">
        <v>21</v>
      </c>
      <c r="N631" s="25">
        <v>62.3</v>
      </c>
      <c r="O631" s="25">
        <v>146</v>
      </c>
      <c r="P631" s="25">
        <v>1</v>
      </c>
    </row>
    <row r="632" spans="1:16" x14ac:dyDescent="0.25">
      <c r="A632" s="26">
        <v>45499.334953703707</v>
      </c>
      <c r="B632" s="25" t="s">
        <v>16</v>
      </c>
      <c r="C632" s="25" t="s">
        <v>1296</v>
      </c>
      <c r="D632" s="25" t="s">
        <v>1297</v>
      </c>
      <c r="E632" s="25">
        <v>159</v>
      </c>
      <c r="F632" s="25" t="s">
        <v>25</v>
      </c>
      <c r="G632" s="25">
        <v>25.6</v>
      </c>
      <c r="H632" s="25">
        <v>76.599999999999994</v>
      </c>
      <c r="I632" s="25" t="s">
        <v>38</v>
      </c>
      <c r="J632" s="25">
        <v>25</v>
      </c>
      <c r="K632" s="25">
        <v>213</v>
      </c>
      <c r="L632" s="25">
        <v>5</v>
      </c>
      <c r="M632" s="25" t="s">
        <v>27</v>
      </c>
      <c r="N632" s="25">
        <v>82.2</v>
      </c>
      <c r="O632" s="25">
        <v>144</v>
      </c>
      <c r="P632" s="25">
        <v>0</v>
      </c>
    </row>
    <row r="633" spans="1:16" x14ac:dyDescent="0.25">
      <c r="A633" s="26">
        <v>45393.201527777775</v>
      </c>
      <c r="B633" s="25" t="s">
        <v>56</v>
      </c>
      <c r="C633" s="25" t="s">
        <v>1298</v>
      </c>
      <c r="D633" s="25" t="s">
        <v>1299</v>
      </c>
      <c r="E633" s="25">
        <v>131</v>
      </c>
      <c r="F633" s="25" t="s">
        <v>19</v>
      </c>
      <c r="G633" s="25">
        <v>19.100000000000001</v>
      </c>
      <c r="H633" s="25">
        <v>73.3</v>
      </c>
      <c r="I633" s="25" t="s">
        <v>26</v>
      </c>
      <c r="J633" s="25">
        <v>10</v>
      </c>
      <c r="K633" s="25">
        <v>353</v>
      </c>
      <c r="L633" s="25">
        <v>3</v>
      </c>
      <c r="M633" s="25" t="s">
        <v>27</v>
      </c>
      <c r="N633" s="25">
        <v>89.4</v>
      </c>
      <c r="O633" s="25">
        <v>149</v>
      </c>
      <c r="P633" s="25">
        <v>1</v>
      </c>
    </row>
    <row r="634" spans="1:16" ht="30" customHeight="1" x14ac:dyDescent="0.25">
      <c r="A634" s="26">
        <v>45443.630046296297</v>
      </c>
      <c r="B634" s="25" t="s">
        <v>95</v>
      </c>
      <c r="C634" s="25" t="s">
        <v>1300</v>
      </c>
      <c r="D634" s="25" t="s">
        <v>1301</v>
      </c>
      <c r="E634" s="25">
        <v>224</v>
      </c>
      <c r="F634" s="25" t="s">
        <v>19</v>
      </c>
      <c r="G634" s="25">
        <v>20.2</v>
      </c>
      <c r="H634" s="25">
        <v>58.9</v>
      </c>
      <c r="I634" s="25" t="s">
        <v>26</v>
      </c>
      <c r="J634" s="25">
        <v>34</v>
      </c>
      <c r="K634" s="25">
        <v>166</v>
      </c>
      <c r="L634" s="25">
        <v>6</v>
      </c>
      <c r="M634" s="25" t="s">
        <v>51</v>
      </c>
      <c r="N634" s="25">
        <v>84.6</v>
      </c>
      <c r="O634" s="25">
        <v>105</v>
      </c>
      <c r="P634" s="25">
        <v>1</v>
      </c>
    </row>
    <row r="635" spans="1:16" x14ac:dyDescent="0.25">
      <c r="A635" s="26">
        <v>45394.656099537038</v>
      </c>
      <c r="B635" s="25" t="s">
        <v>28</v>
      </c>
      <c r="C635" s="25" t="s">
        <v>1302</v>
      </c>
      <c r="D635" s="25" t="s">
        <v>1303</v>
      </c>
      <c r="E635" s="25">
        <v>120</v>
      </c>
      <c r="F635" s="25" t="s">
        <v>34</v>
      </c>
      <c r="G635" s="25">
        <v>22.6</v>
      </c>
      <c r="H635" s="25">
        <v>56.4</v>
      </c>
      <c r="I635" s="25" t="s">
        <v>38</v>
      </c>
      <c r="J635" s="25">
        <v>60</v>
      </c>
      <c r="K635" s="25">
        <v>151</v>
      </c>
      <c r="L635" s="25">
        <v>9</v>
      </c>
      <c r="M635" s="25" t="s">
        <v>27</v>
      </c>
      <c r="N635" s="25">
        <v>69.900000000000006</v>
      </c>
      <c r="O635" s="25">
        <v>194</v>
      </c>
      <c r="P635" s="25">
        <v>0</v>
      </c>
    </row>
    <row r="636" spans="1:16" x14ac:dyDescent="0.25">
      <c r="A636" s="26">
        <v>45365.753784722219</v>
      </c>
      <c r="B636" s="25" t="s">
        <v>41</v>
      </c>
      <c r="C636" s="25" t="s">
        <v>1304</v>
      </c>
      <c r="D636" s="25" t="s">
        <v>1305</v>
      </c>
      <c r="E636" s="25">
        <v>321</v>
      </c>
      <c r="F636" s="25" t="s">
        <v>19</v>
      </c>
      <c r="G636" s="25">
        <v>30</v>
      </c>
      <c r="H636" s="25">
        <v>75.400000000000006</v>
      </c>
      <c r="I636" s="25" t="s">
        <v>26</v>
      </c>
      <c r="J636" s="25">
        <v>14</v>
      </c>
      <c r="K636" s="25">
        <v>391</v>
      </c>
      <c r="L636" s="25">
        <v>1</v>
      </c>
      <c r="M636" s="25" t="s">
        <v>21</v>
      </c>
      <c r="N636" s="25">
        <v>67.3</v>
      </c>
      <c r="O636" s="25">
        <v>138</v>
      </c>
      <c r="P636" s="25">
        <v>1</v>
      </c>
    </row>
    <row r="637" spans="1:16" ht="30" customHeight="1" x14ac:dyDescent="0.25">
      <c r="A637" s="26">
        <v>45513.882118055553</v>
      </c>
      <c r="B637" s="25" t="s">
        <v>95</v>
      </c>
      <c r="C637" s="25" t="s">
        <v>1306</v>
      </c>
      <c r="D637" s="25" t="s">
        <v>1307</v>
      </c>
      <c r="E637" s="25">
        <v>238</v>
      </c>
      <c r="F637" s="25" t="s">
        <v>34</v>
      </c>
      <c r="G637" s="25">
        <v>26.6</v>
      </c>
      <c r="H637" s="25">
        <v>50.9</v>
      </c>
      <c r="I637" s="25" t="s">
        <v>26</v>
      </c>
      <c r="J637" s="25">
        <v>59</v>
      </c>
      <c r="K637" s="25">
        <v>160</v>
      </c>
      <c r="L637" s="25">
        <v>1</v>
      </c>
      <c r="M637" s="25" t="s">
        <v>51</v>
      </c>
      <c r="N637" s="25">
        <v>76.8</v>
      </c>
      <c r="O637" s="25">
        <v>233</v>
      </c>
      <c r="P637" s="25">
        <v>1</v>
      </c>
    </row>
    <row r="638" spans="1:16" x14ac:dyDescent="0.25">
      <c r="A638" s="26">
        <v>45553.458136574074</v>
      </c>
      <c r="B638" s="25" t="s">
        <v>95</v>
      </c>
      <c r="C638" s="25" t="s">
        <v>1308</v>
      </c>
      <c r="D638" s="25" t="s">
        <v>1309</v>
      </c>
      <c r="E638" s="25">
        <v>297</v>
      </c>
      <c r="F638" s="25" t="s">
        <v>25</v>
      </c>
      <c r="G638" s="25">
        <v>18.100000000000001</v>
      </c>
      <c r="H638" s="25">
        <v>77.3</v>
      </c>
      <c r="I638" s="25" t="s">
        <v>38</v>
      </c>
      <c r="J638" s="25">
        <v>22</v>
      </c>
      <c r="K638" s="25">
        <v>376</v>
      </c>
      <c r="L638" s="25">
        <v>10</v>
      </c>
      <c r="M638" s="25" t="s">
        <v>21</v>
      </c>
      <c r="N638" s="25">
        <v>80.2</v>
      </c>
      <c r="O638" s="25">
        <v>168</v>
      </c>
      <c r="P638" s="25">
        <v>0</v>
      </c>
    </row>
    <row r="639" spans="1:16" x14ac:dyDescent="0.25">
      <c r="A639" s="26">
        <v>45364.905185185184</v>
      </c>
      <c r="B639" s="25" t="s">
        <v>48</v>
      </c>
      <c r="C639" s="25" t="s">
        <v>1310</v>
      </c>
      <c r="D639" s="25" t="s">
        <v>1311</v>
      </c>
      <c r="E639" s="25">
        <v>219</v>
      </c>
      <c r="F639" s="25" t="s">
        <v>34</v>
      </c>
      <c r="G639" s="25">
        <v>22.3</v>
      </c>
      <c r="H639" s="25">
        <v>56.9</v>
      </c>
      <c r="I639" s="25" t="s">
        <v>26</v>
      </c>
      <c r="J639" s="25">
        <v>44</v>
      </c>
      <c r="K639" s="25">
        <v>144</v>
      </c>
      <c r="L639" s="25">
        <v>8</v>
      </c>
      <c r="M639" s="25" t="s">
        <v>21</v>
      </c>
      <c r="N639" s="25">
        <v>62.2</v>
      </c>
      <c r="O639" s="25">
        <v>188</v>
      </c>
      <c r="P639" s="25">
        <v>1</v>
      </c>
    </row>
    <row r="640" spans="1:16" x14ac:dyDescent="0.25">
      <c r="A640" s="26">
        <v>45521.193958333337</v>
      </c>
      <c r="B640" s="25" t="s">
        <v>61</v>
      </c>
      <c r="C640" s="25" t="s">
        <v>1312</v>
      </c>
      <c r="D640" s="25" t="s">
        <v>1313</v>
      </c>
      <c r="E640" s="25">
        <v>204</v>
      </c>
      <c r="F640" s="25" t="s">
        <v>25</v>
      </c>
      <c r="G640" s="25">
        <v>29.8</v>
      </c>
      <c r="H640" s="25">
        <v>58.9</v>
      </c>
      <c r="I640" s="25" t="s">
        <v>26</v>
      </c>
      <c r="J640" s="25">
        <v>10</v>
      </c>
      <c r="K640" s="25">
        <v>484</v>
      </c>
      <c r="L640" s="25">
        <v>3</v>
      </c>
      <c r="M640" s="25" t="s">
        <v>27</v>
      </c>
      <c r="N640" s="25">
        <v>93</v>
      </c>
      <c r="O640" s="25">
        <v>238</v>
      </c>
      <c r="P640" s="25">
        <v>1</v>
      </c>
    </row>
    <row r="641" spans="1:16" x14ac:dyDescent="0.25">
      <c r="A641" s="26">
        <v>45322.001099537039</v>
      </c>
      <c r="B641" s="25" t="s">
        <v>95</v>
      </c>
      <c r="C641" s="25" t="s">
        <v>1314</v>
      </c>
      <c r="D641" s="25" t="s">
        <v>1315</v>
      </c>
      <c r="E641" s="25">
        <v>469</v>
      </c>
      <c r="F641" s="25" t="s">
        <v>25</v>
      </c>
      <c r="G641" s="25">
        <v>21.5</v>
      </c>
      <c r="H641" s="25">
        <v>52.2</v>
      </c>
      <c r="I641" s="25" t="s">
        <v>26</v>
      </c>
      <c r="J641" s="25">
        <v>56</v>
      </c>
      <c r="K641" s="25">
        <v>405</v>
      </c>
      <c r="L641" s="25">
        <v>10</v>
      </c>
      <c r="M641" s="25" t="s">
        <v>27</v>
      </c>
      <c r="N641" s="25">
        <v>95.5</v>
      </c>
      <c r="O641" s="25">
        <v>135</v>
      </c>
      <c r="P641" s="25">
        <v>1</v>
      </c>
    </row>
    <row r="642" spans="1:16" ht="30" customHeight="1" x14ac:dyDescent="0.25">
      <c r="A642" s="26">
        <v>45349.729594907411</v>
      </c>
      <c r="B642" s="25" t="s">
        <v>31</v>
      </c>
      <c r="C642" s="25" t="s">
        <v>1316</v>
      </c>
      <c r="D642" s="25" t="s">
        <v>1317</v>
      </c>
      <c r="E642" s="25">
        <v>146</v>
      </c>
      <c r="F642" s="25" t="s">
        <v>19</v>
      </c>
      <c r="G642" s="25">
        <v>24.2</v>
      </c>
      <c r="H642" s="25">
        <v>72.400000000000006</v>
      </c>
      <c r="I642" s="25" t="s">
        <v>38</v>
      </c>
      <c r="J642" s="25">
        <v>22</v>
      </c>
      <c r="K642" s="25">
        <v>321</v>
      </c>
      <c r="L642" s="25">
        <v>9</v>
      </c>
      <c r="M642" s="25" t="s">
        <v>51</v>
      </c>
      <c r="N642" s="25">
        <v>88.2</v>
      </c>
      <c r="O642" s="25">
        <v>190</v>
      </c>
      <c r="P642" s="25">
        <v>1</v>
      </c>
    </row>
    <row r="643" spans="1:16" x14ac:dyDescent="0.25">
      <c r="A643" s="26">
        <v>45557.023657407408</v>
      </c>
      <c r="B643" s="25" t="s">
        <v>61</v>
      </c>
      <c r="C643" s="25" t="s">
        <v>1318</v>
      </c>
      <c r="D643" s="25" t="s">
        <v>1319</v>
      </c>
      <c r="E643" s="25">
        <v>215</v>
      </c>
      <c r="F643" s="25" t="s">
        <v>34</v>
      </c>
      <c r="G643" s="25">
        <v>18.899999999999999</v>
      </c>
      <c r="H643" s="25">
        <v>63.4</v>
      </c>
      <c r="I643" s="25" t="s">
        <v>26</v>
      </c>
      <c r="J643" s="25">
        <v>57</v>
      </c>
      <c r="K643" s="25">
        <v>382</v>
      </c>
      <c r="L643" s="25">
        <v>4</v>
      </c>
      <c r="M643" s="25" t="s">
        <v>27</v>
      </c>
      <c r="N643" s="25">
        <v>71.2</v>
      </c>
      <c r="O643" s="25">
        <v>274</v>
      </c>
      <c r="P643" s="25">
        <v>1</v>
      </c>
    </row>
    <row r="644" spans="1:16" x14ac:dyDescent="0.25">
      <c r="A644" s="26">
        <v>45568.332465277781</v>
      </c>
      <c r="B644" s="25" t="s">
        <v>61</v>
      </c>
      <c r="C644" s="25" t="s">
        <v>1320</v>
      </c>
      <c r="D644" s="25" t="s">
        <v>1321</v>
      </c>
      <c r="E644" s="25">
        <v>454</v>
      </c>
      <c r="F644" s="25" t="s">
        <v>25</v>
      </c>
      <c r="G644" s="25">
        <v>22.8</v>
      </c>
      <c r="H644" s="25">
        <v>73.3</v>
      </c>
      <c r="I644" s="25" t="s">
        <v>26</v>
      </c>
      <c r="J644" s="25">
        <v>45</v>
      </c>
      <c r="K644" s="25">
        <v>276</v>
      </c>
      <c r="L644" s="25">
        <v>5</v>
      </c>
      <c r="M644" s="25" t="s">
        <v>27</v>
      </c>
      <c r="N644" s="25">
        <v>87.4</v>
      </c>
      <c r="O644" s="25">
        <v>261</v>
      </c>
      <c r="P644" s="25">
        <v>1</v>
      </c>
    </row>
    <row r="645" spans="1:16" x14ac:dyDescent="0.25">
      <c r="A645" s="26">
        <v>45518.809733796297</v>
      </c>
      <c r="B645" s="25" t="s">
        <v>41</v>
      </c>
      <c r="C645" s="25" t="s">
        <v>1322</v>
      </c>
      <c r="D645" s="25" t="s">
        <v>1323</v>
      </c>
      <c r="E645" s="25">
        <v>145</v>
      </c>
      <c r="F645" s="25" t="s">
        <v>34</v>
      </c>
      <c r="G645" s="25">
        <v>29.2</v>
      </c>
      <c r="H645" s="25">
        <v>67.3</v>
      </c>
      <c r="I645" s="25" t="s">
        <v>38</v>
      </c>
      <c r="J645" s="25">
        <v>36</v>
      </c>
      <c r="K645" s="25">
        <v>230</v>
      </c>
      <c r="L645" s="25">
        <v>4</v>
      </c>
      <c r="M645" s="25" t="s">
        <v>35</v>
      </c>
      <c r="N645" s="25">
        <v>85.3</v>
      </c>
      <c r="O645" s="25">
        <v>269</v>
      </c>
      <c r="P645" s="25">
        <v>0</v>
      </c>
    </row>
    <row r="646" spans="1:16" ht="30" customHeight="1" x14ac:dyDescent="0.25">
      <c r="A646" s="26">
        <v>45650.895868055559</v>
      </c>
      <c r="B646" s="25" t="s">
        <v>28</v>
      </c>
      <c r="C646" s="25" t="s">
        <v>1324</v>
      </c>
      <c r="D646" s="25" t="s">
        <v>1325</v>
      </c>
      <c r="E646" s="25">
        <v>410</v>
      </c>
      <c r="F646" s="25" t="s">
        <v>34</v>
      </c>
      <c r="G646" s="25">
        <v>18.8</v>
      </c>
      <c r="H646" s="25">
        <v>78</v>
      </c>
      <c r="I646" s="25" t="s">
        <v>26</v>
      </c>
      <c r="J646" s="25">
        <v>35</v>
      </c>
      <c r="K646" s="25">
        <v>228</v>
      </c>
      <c r="L646" s="25">
        <v>2</v>
      </c>
      <c r="M646" s="25" t="s">
        <v>51</v>
      </c>
      <c r="N646" s="25">
        <v>92.1</v>
      </c>
      <c r="O646" s="25">
        <v>111</v>
      </c>
      <c r="P646" s="25">
        <v>1</v>
      </c>
    </row>
    <row r="647" spans="1:16" x14ac:dyDescent="0.25">
      <c r="A647" s="26">
        <v>45489.884745370371</v>
      </c>
      <c r="B647" s="25" t="s">
        <v>41</v>
      </c>
      <c r="C647" s="25" t="s">
        <v>1326</v>
      </c>
      <c r="D647" s="25" t="s">
        <v>1327</v>
      </c>
      <c r="E647" s="25">
        <v>350</v>
      </c>
      <c r="F647" s="25" t="s">
        <v>19</v>
      </c>
      <c r="G647" s="25">
        <v>21.8</v>
      </c>
      <c r="H647" s="25">
        <v>60.4</v>
      </c>
      <c r="I647" s="25" t="s">
        <v>38</v>
      </c>
      <c r="J647" s="25">
        <v>15</v>
      </c>
      <c r="K647" s="25">
        <v>238</v>
      </c>
      <c r="L647" s="25">
        <v>3</v>
      </c>
      <c r="M647" s="25" t="s">
        <v>27</v>
      </c>
      <c r="N647" s="25">
        <v>81.099999999999994</v>
      </c>
      <c r="O647" s="25">
        <v>300</v>
      </c>
      <c r="P647" s="25">
        <v>1</v>
      </c>
    </row>
    <row r="648" spans="1:16" x14ac:dyDescent="0.25">
      <c r="A648" s="26">
        <v>45627.735347222224</v>
      </c>
      <c r="B648" s="25" t="s">
        <v>95</v>
      </c>
      <c r="C648" s="25" t="s">
        <v>1328</v>
      </c>
      <c r="D648" s="25" t="s">
        <v>1329</v>
      </c>
      <c r="E648" s="25">
        <v>474</v>
      </c>
      <c r="F648" s="25" t="s">
        <v>19</v>
      </c>
      <c r="G648" s="25">
        <v>29.5</v>
      </c>
      <c r="H648" s="25">
        <v>51.1</v>
      </c>
      <c r="I648" s="25" t="s">
        <v>20</v>
      </c>
      <c r="J648" s="25">
        <v>34</v>
      </c>
      <c r="K648" s="25">
        <v>136</v>
      </c>
      <c r="L648" s="25">
        <v>8</v>
      </c>
      <c r="M648" s="25" t="s">
        <v>21</v>
      </c>
      <c r="N648" s="25">
        <v>67.8</v>
      </c>
      <c r="O648" s="25">
        <v>268</v>
      </c>
      <c r="P648" s="25">
        <v>1</v>
      </c>
    </row>
    <row r="649" spans="1:16" x14ac:dyDescent="0.25">
      <c r="A649" s="26">
        <v>45573.525023148148</v>
      </c>
      <c r="B649" s="25" t="s">
        <v>95</v>
      </c>
      <c r="C649" s="25" t="s">
        <v>1330</v>
      </c>
      <c r="D649" s="25" t="s">
        <v>1331</v>
      </c>
      <c r="E649" s="25">
        <v>357</v>
      </c>
      <c r="F649" s="25" t="s">
        <v>34</v>
      </c>
      <c r="G649" s="25">
        <v>20.9</v>
      </c>
      <c r="H649" s="25">
        <v>50.9</v>
      </c>
      <c r="I649" s="25" t="s">
        <v>20</v>
      </c>
      <c r="J649" s="25">
        <v>30</v>
      </c>
      <c r="K649" s="25">
        <v>495</v>
      </c>
      <c r="L649" s="25">
        <v>1</v>
      </c>
      <c r="M649" s="25" t="s">
        <v>27</v>
      </c>
      <c r="N649" s="25">
        <v>65.599999999999994</v>
      </c>
      <c r="O649" s="25">
        <v>288</v>
      </c>
      <c r="P649" s="25">
        <v>0</v>
      </c>
    </row>
    <row r="650" spans="1:16" x14ac:dyDescent="0.25">
      <c r="A650" s="26">
        <v>45439.806550925925</v>
      </c>
      <c r="B650" s="25" t="s">
        <v>95</v>
      </c>
      <c r="C650" s="25" t="s">
        <v>1332</v>
      </c>
      <c r="D650" s="25" t="s">
        <v>1333</v>
      </c>
      <c r="E650" s="25">
        <v>171</v>
      </c>
      <c r="F650" s="25" t="s">
        <v>25</v>
      </c>
      <c r="G650" s="25">
        <v>28.8</v>
      </c>
      <c r="H650" s="25">
        <v>59.3</v>
      </c>
      <c r="I650" s="25" t="s">
        <v>38</v>
      </c>
      <c r="J650" s="25">
        <v>56</v>
      </c>
      <c r="K650" s="25">
        <v>437</v>
      </c>
      <c r="L650" s="25">
        <v>10</v>
      </c>
      <c r="M650" s="25" t="s">
        <v>21</v>
      </c>
      <c r="N650" s="25">
        <v>99.6</v>
      </c>
      <c r="O650" s="25">
        <v>235</v>
      </c>
      <c r="P650" s="25">
        <v>0</v>
      </c>
    </row>
    <row r="651" spans="1:16" x14ac:dyDescent="0.25">
      <c r="A651" s="26">
        <v>45372.932453703703</v>
      </c>
      <c r="B651" s="25" t="s">
        <v>61</v>
      </c>
      <c r="C651" s="25" t="s">
        <v>1334</v>
      </c>
      <c r="D651" s="25" t="s">
        <v>1335</v>
      </c>
      <c r="E651" s="25">
        <v>137</v>
      </c>
      <c r="F651" s="25" t="s">
        <v>34</v>
      </c>
      <c r="G651" s="25">
        <v>24</v>
      </c>
      <c r="H651" s="25">
        <v>78</v>
      </c>
      <c r="I651" s="25" t="s">
        <v>26</v>
      </c>
      <c r="J651" s="25">
        <v>29</v>
      </c>
      <c r="K651" s="25">
        <v>425</v>
      </c>
      <c r="L651" s="25">
        <v>7</v>
      </c>
      <c r="M651" s="25" t="s">
        <v>27</v>
      </c>
      <c r="N651" s="25">
        <v>69.400000000000006</v>
      </c>
      <c r="O651" s="25">
        <v>270</v>
      </c>
      <c r="P651" s="25">
        <v>1</v>
      </c>
    </row>
    <row r="652" spans="1:16" x14ac:dyDescent="0.25">
      <c r="A652" s="26">
        <v>45416.452893518515</v>
      </c>
      <c r="B652" s="25" t="s">
        <v>61</v>
      </c>
      <c r="C652" s="25" t="s">
        <v>1336</v>
      </c>
      <c r="D652" s="25" t="s">
        <v>1337</v>
      </c>
      <c r="E652" s="25">
        <v>147</v>
      </c>
      <c r="F652" s="25" t="s">
        <v>34</v>
      </c>
      <c r="G652" s="25">
        <v>24.9</v>
      </c>
      <c r="H652" s="25">
        <v>67.599999999999994</v>
      </c>
      <c r="I652" s="25" t="s">
        <v>26</v>
      </c>
      <c r="J652" s="25">
        <v>57</v>
      </c>
      <c r="K652" s="25">
        <v>157</v>
      </c>
      <c r="L652" s="25">
        <v>4</v>
      </c>
      <c r="M652" s="25" t="s">
        <v>35</v>
      </c>
      <c r="N652" s="25">
        <v>62.1</v>
      </c>
      <c r="O652" s="25">
        <v>261</v>
      </c>
      <c r="P652" s="25">
        <v>1</v>
      </c>
    </row>
    <row r="653" spans="1:16" x14ac:dyDescent="0.25">
      <c r="A653" s="26">
        <v>45423.509340277778</v>
      </c>
      <c r="B653" s="25" t="s">
        <v>64</v>
      </c>
      <c r="C653" s="25" t="s">
        <v>1338</v>
      </c>
      <c r="D653" s="25" t="s">
        <v>1339</v>
      </c>
      <c r="E653" s="25">
        <v>194</v>
      </c>
      <c r="F653" s="25" t="s">
        <v>25</v>
      </c>
      <c r="G653" s="25">
        <v>22.9</v>
      </c>
      <c r="H653" s="25">
        <v>69.7</v>
      </c>
      <c r="I653" s="25" t="s">
        <v>38</v>
      </c>
      <c r="J653" s="25">
        <v>11</v>
      </c>
      <c r="K653" s="25">
        <v>140</v>
      </c>
      <c r="L653" s="25">
        <v>4</v>
      </c>
      <c r="M653" s="25" t="s">
        <v>27</v>
      </c>
      <c r="N653" s="25">
        <v>84.7</v>
      </c>
      <c r="O653" s="25">
        <v>293</v>
      </c>
      <c r="P653" s="25">
        <v>0</v>
      </c>
    </row>
    <row r="654" spans="1:16" x14ac:dyDescent="0.25">
      <c r="A654" s="26">
        <v>45654.850914351853</v>
      </c>
      <c r="B654" s="25" t="s">
        <v>64</v>
      </c>
      <c r="C654" s="25" t="s">
        <v>1340</v>
      </c>
      <c r="D654" s="25" t="s">
        <v>1341</v>
      </c>
      <c r="E654" s="25">
        <v>291</v>
      </c>
      <c r="F654" s="25" t="s">
        <v>19</v>
      </c>
      <c r="G654" s="25">
        <v>24.1</v>
      </c>
      <c r="H654" s="25">
        <v>70.8</v>
      </c>
      <c r="I654" s="25" t="s">
        <v>26</v>
      </c>
      <c r="J654" s="25">
        <v>25</v>
      </c>
      <c r="K654" s="25">
        <v>414</v>
      </c>
      <c r="L654" s="25">
        <v>8</v>
      </c>
      <c r="M654" s="25" t="s">
        <v>21</v>
      </c>
      <c r="N654" s="25">
        <v>99.4</v>
      </c>
      <c r="O654" s="25">
        <v>225</v>
      </c>
      <c r="P654" s="25">
        <v>1</v>
      </c>
    </row>
    <row r="655" spans="1:16" x14ac:dyDescent="0.25">
      <c r="A655" s="26">
        <v>45388.075416666667</v>
      </c>
      <c r="B655" s="25" t="s">
        <v>61</v>
      </c>
      <c r="C655" s="25" t="s">
        <v>1342</v>
      </c>
      <c r="D655" s="25" t="s">
        <v>1343</v>
      </c>
      <c r="E655" s="25">
        <v>176</v>
      </c>
      <c r="F655" s="25" t="s">
        <v>34</v>
      </c>
      <c r="G655" s="25">
        <v>29.5</v>
      </c>
      <c r="H655" s="25">
        <v>61.9</v>
      </c>
      <c r="I655" s="25" t="s">
        <v>38</v>
      </c>
      <c r="J655" s="25">
        <v>31</v>
      </c>
      <c r="K655" s="25">
        <v>306</v>
      </c>
      <c r="L655" s="25">
        <v>6</v>
      </c>
      <c r="M655" s="25" t="s">
        <v>27</v>
      </c>
      <c r="N655" s="25">
        <v>73.5</v>
      </c>
      <c r="O655" s="25">
        <v>217</v>
      </c>
      <c r="P655" s="25">
        <v>0</v>
      </c>
    </row>
    <row r="656" spans="1:16" ht="30" customHeight="1" x14ac:dyDescent="0.25">
      <c r="A656" s="26">
        <v>45516.424791666665</v>
      </c>
      <c r="B656" s="25" t="s">
        <v>41</v>
      </c>
      <c r="C656" s="25" t="s">
        <v>1344</v>
      </c>
      <c r="D656" s="25" t="s">
        <v>1345</v>
      </c>
      <c r="E656" s="25">
        <v>240</v>
      </c>
      <c r="F656" s="25" t="s">
        <v>25</v>
      </c>
      <c r="G656" s="25">
        <v>27.4</v>
      </c>
      <c r="H656" s="25">
        <v>72.900000000000006</v>
      </c>
      <c r="I656" s="25" t="s">
        <v>20</v>
      </c>
      <c r="J656" s="25">
        <v>29</v>
      </c>
      <c r="K656" s="25">
        <v>272</v>
      </c>
      <c r="L656" s="25">
        <v>8</v>
      </c>
      <c r="M656" s="25" t="s">
        <v>51</v>
      </c>
      <c r="N656" s="25">
        <v>72.3</v>
      </c>
      <c r="O656" s="25">
        <v>106</v>
      </c>
      <c r="P656" s="25">
        <v>0</v>
      </c>
    </row>
    <row r="657" spans="1:16" x14ac:dyDescent="0.25">
      <c r="A657" s="26">
        <v>45330.425150462965</v>
      </c>
      <c r="B657" s="25" t="s">
        <v>95</v>
      </c>
      <c r="C657" s="25" t="s">
        <v>1346</v>
      </c>
      <c r="D657" s="25" t="s">
        <v>1347</v>
      </c>
      <c r="E657" s="25">
        <v>412</v>
      </c>
      <c r="F657" s="25" t="s">
        <v>19</v>
      </c>
      <c r="G657" s="25">
        <v>23.8</v>
      </c>
      <c r="H657" s="25">
        <v>71.599999999999994</v>
      </c>
      <c r="I657" s="25" t="s">
        <v>26</v>
      </c>
      <c r="J657" s="25">
        <v>54</v>
      </c>
      <c r="K657" s="25">
        <v>301</v>
      </c>
      <c r="L657" s="25">
        <v>6</v>
      </c>
      <c r="M657" s="25" t="s">
        <v>27</v>
      </c>
      <c r="N657" s="25">
        <v>76.8</v>
      </c>
      <c r="O657" s="25">
        <v>183</v>
      </c>
      <c r="P657" s="25">
        <v>1</v>
      </c>
    </row>
    <row r="658" spans="1:16" x14ac:dyDescent="0.25">
      <c r="A658" s="26">
        <v>45567.771747685183</v>
      </c>
      <c r="B658" s="25" t="s">
        <v>48</v>
      </c>
      <c r="C658" s="25" t="s">
        <v>1348</v>
      </c>
      <c r="D658" s="25" t="s">
        <v>1349</v>
      </c>
      <c r="E658" s="25">
        <v>359</v>
      </c>
      <c r="F658" s="25" t="s">
        <v>34</v>
      </c>
      <c r="G658" s="25">
        <v>22.6</v>
      </c>
      <c r="H658" s="25">
        <v>72.900000000000006</v>
      </c>
      <c r="I658" s="25" t="s">
        <v>38</v>
      </c>
      <c r="J658" s="25">
        <v>60</v>
      </c>
      <c r="K658" s="25">
        <v>142</v>
      </c>
      <c r="L658" s="25">
        <v>4</v>
      </c>
      <c r="M658" s="25" t="s">
        <v>35</v>
      </c>
      <c r="N658" s="25">
        <v>78.5</v>
      </c>
      <c r="O658" s="25">
        <v>255</v>
      </c>
      <c r="P658" s="25">
        <v>0</v>
      </c>
    </row>
    <row r="659" spans="1:16" x14ac:dyDescent="0.25">
      <c r="A659" s="26">
        <v>45621.782013888886</v>
      </c>
      <c r="B659" s="25" t="s">
        <v>56</v>
      </c>
      <c r="C659" s="25" t="s">
        <v>1350</v>
      </c>
      <c r="D659" s="25" t="s">
        <v>1351</v>
      </c>
      <c r="E659" s="25">
        <v>491</v>
      </c>
      <c r="F659" s="25" t="s">
        <v>25</v>
      </c>
      <c r="G659" s="25">
        <v>20.6</v>
      </c>
      <c r="H659" s="25">
        <v>74.7</v>
      </c>
      <c r="I659" s="25" t="s">
        <v>20</v>
      </c>
      <c r="J659" s="25">
        <v>16</v>
      </c>
      <c r="K659" s="25">
        <v>183</v>
      </c>
      <c r="L659" s="25">
        <v>7</v>
      </c>
      <c r="M659" s="25" t="s">
        <v>27</v>
      </c>
      <c r="N659" s="25">
        <v>60.3</v>
      </c>
      <c r="O659" s="25">
        <v>273</v>
      </c>
      <c r="P659" s="25">
        <v>0</v>
      </c>
    </row>
    <row r="660" spans="1:16" x14ac:dyDescent="0.25">
      <c r="A660" s="26">
        <v>45379.60670138889</v>
      </c>
      <c r="B660" s="25" t="s">
        <v>61</v>
      </c>
      <c r="C660" s="25" t="s">
        <v>1352</v>
      </c>
      <c r="D660" s="25" t="s">
        <v>1353</v>
      </c>
      <c r="E660" s="25">
        <v>130</v>
      </c>
      <c r="F660" s="25" t="s">
        <v>19</v>
      </c>
      <c r="G660" s="25">
        <v>29.9</v>
      </c>
      <c r="H660" s="25">
        <v>65</v>
      </c>
      <c r="I660" s="25" t="s">
        <v>20</v>
      </c>
      <c r="J660" s="25">
        <v>50</v>
      </c>
      <c r="K660" s="25">
        <v>385</v>
      </c>
      <c r="L660" s="25">
        <v>10</v>
      </c>
      <c r="M660" s="25" t="s">
        <v>35</v>
      </c>
      <c r="N660" s="25">
        <v>72.599999999999994</v>
      </c>
      <c r="O660" s="25">
        <v>106</v>
      </c>
      <c r="P660" s="25">
        <v>1</v>
      </c>
    </row>
    <row r="661" spans="1:16" ht="30" customHeight="1" x14ac:dyDescent="0.25">
      <c r="A661" s="26">
        <v>45640.529374999998</v>
      </c>
      <c r="B661" s="25" t="s">
        <v>56</v>
      </c>
      <c r="C661" s="25" t="s">
        <v>1354</v>
      </c>
      <c r="D661" s="25" t="s">
        <v>1355</v>
      </c>
      <c r="E661" s="25">
        <v>336</v>
      </c>
      <c r="F661" s="25" t="s">
        <v>25</v>
      </c>
      <c r="G661" s="25">
        <v>22.1</v>
      </c>
      <c r="H661" s="25">
        <v>75.2</v>
      </c>
      <c r="I661" s="25" t="s">
        <v>20</v>
      </c>
      <c r="J661" s="25">
        <v>33</v>
      </c>
      <c r="K661" s="25">
        <v>443</v>
      </c>
      <c r="L661" s="25">
        <v>5</v>
      </c>
      <c r="M661" s="25" t="s">
        <v>51</v>
      </c>
      <c r="N661" s="25">
        <v>73.2</v>
      </c>
      <c r="O661" s="25">
        <v>186</v>
      </c>
      <c r="P661" s="25">
        <v>0</v>
      </c>
    </row>
    <row r="662" spans="1:16" ht="30" customHeight="1" x14ac:dyDescent="0.25">
      <c r="A662" s="26">
        <v>45364.782754629632</v>
      </c>
      <c r="B662" s="25" t="s">
        <v>31</v>
      </c>
      <c r="C662" s="25" t="s">
        <v>1356</v>
      </c>
      <c r="D662" s="25" t="s">
        <v>1357</v>
      </c>
      <c r="E662" s="25">
        <v>330</v>
      </c>
      <c r="F662" s="25" t="s">
        <v>25</v>
      </c>
      <c r="G662" s="25">
        <v>29.5</v>
      </c>
      <c r="H662" s="25">
        <v>68.5</v>
      </c>
      <c r="I662" s="25" t="s">
        <v>38</v>
      </c>
      <c r="J662" s="25">
        <v>14</v>
      </c>
      <c r="K662" s="25">
        <v>358</v>
      </c>
      <c r="L662" s="25">
        <v>1</v>
      </c>
      <c r="M662" s="25" t="s">
        <v>51</v>
      </c>
      <c r="N662" s="25">
        <v>70</v>
      </c>
      <c r="O662" s="25">
        <v>283</v>
      </c>
      <c r="P662" s="25">
        <v>0</v>
      </c>
    </row>
    <row r="663" spans="1:16" x14ac:dyDescent="0.25">
      <c r="A663" s="26">
        <v>45350.037210648145</v>
      </c>
      <c r="B663" s="25" t="s">
        <v>22</v>
      </c>
      <c r="C663" s="25" t="s">
        <v>1358</v>
      </c>
      <c r="D663" s="25" t="s">
        <v>1359</v>
      </c>
      <c r="E663" s="25">
        <v>118</v>
      </c>
      <c r="F663" s="25" t="s">
        <v>25</v>
      </c>
      <c r="G663" s="25">
        <v>25.1</v>
      </c>
      <c r="H663" s="25">
        <v>59.5</v>
      </c>
      <c r="I663" s="25" t="s">
        <v>38</v>
      </c>
      <c r="J663" s="25">
        <v>36</v>
      </c>
      <c r="K663" s="25">
        <v>200</v>
      </c>
      <c r="L663" s="25">
        <v>1</v>
      </c>
      <c r="M663" s="25" t="s">
        <v>21</v>
      </c>
      <c r="N663" s="25">
        <v>80.599999999999994</v>
      </c>
      <c r="O663" s="25">
        <v>239</v>
      </c>
      <c r="P663" s="25">
        <v>0</v>
      </c>
    </row>
    <row r="664" spans="1:16" x14ac:dyDescent="0.25">
      <c r="A664" s="26">
        <v>45583.893368055556</v>
      </c>
      <c r="B664" s="25" t="s">
        <v>48</v>
      </c>
      <c r="C664" s="25" t="s">
        <v>1360</v>
      </c>
      <c r="D664" s="25" t="s">
        <v>1361</v>
      </c>
      <c r="E664" s="25">
        <v>147</v>
      </c>
      <c r="F664" s="25" t="s">
        <v>25</v>
      </c>
      <c r="G664" s="25">
        <v>21.6</v>
      </c>
      <c r="H664" s="25">
        <v>52</v>
      </c>
      <c r="I664" s="25" t="s">
        <v>38</v>
      </c>
      <c r="J664" s="25">
        <v>24</v>
      </c>
      <c r="K664" s="25">
        <v>187</v>
      </c>
      <c r="L664" s="25">
        <v>7</v>
      </c>
      <c r="M664" s="25" t="s">
        <v>35</v>
      </c>
      <c r="N664" s="25">
        <v>71</v>
      </c>
      <c r="O664" s="25">
        <v>173</v>
      </c>
      <c r="P664" s="25">
        <v>0</v>
      </c>
    </row>
    <row r="665" spans="1:16" x14ac:dyDescent="0.25">
      <c r="A665" s="26">
        <v>45302.131655092591</v>
      </c>
      <c r="B665" s="25" t="s">
        <v>61</v>
      </c>
      <c r="C665" s="25" t="s">
        <v>1362</v>
      </c>
      <c r="D665" s="25" t="s">
        <v>1363</v>
      </c>
      <c r="E665" s="25">
        <v>258</v>
      </c>
      <c r="F665" s="25" t="s">
        <v>34</v>
      </c>
      <c r="G665" s="25">
        <v>23.3</v>
      </c>
      <c r="H665" s="25">
        <v>71.8</v>
      </c>
      <c r="I665" s="25" t="s">
        <v>26</v>
      </c>
      <c r="J665" s="25">
        <v>20</v>
      </c>
      <c r="K665" s="25">
        <v>466</v>
      </c>
      <c r="L665" s="25">
        <v>7</v>
      </c>
      <c r="M665" s="25" t="s">
        <v>35</v>
      </c>
      <c r="N665" s="25">
        <v>80.599999999999994</v>
      </c>
      <c r="O665" s="25">
        <v>277</v>
      </c>
      <c r="P665" s="25">
        <v>1</v>
      </c>
    </row>
    <row r="666" spans="1:16" x14ac:dyDescent="0.25">
      <c r="A666" s="26">
        <v>45560.406134259261</v>
      </c>
      <c r="B666" s="25" t="s">
        <v>16</v>
      </c>
      <c r="C666" s="25" t="s">
        <v>1364</v>
      </c>
      <c r="D666" s="25" t="s">
        <v>1365</v>
      </c>
      <c r="E666" s="25">
        <v>315</v>
      </c>
      <c r="F666" s="25" t="s">
        <v>19</v>
      </c>
      <c r="G666" s="25">
        <v>21.7</v>
      </c>
      <c r="H666" s="25">
        <v>54.9</v>
      </c>
      <c r="I666" s="25" t="s">
        <v>26</v>
      </c>
      <c r="J666" s="25">
        <v>51</v>
      </c>
      <c r="K666" s="25">
        <v>479</v>
      </c>
      <c r="L666" s="25">
        <v>7</v>
      </c>
      <c r="M666" s="25" t="s">
        <v>35</v>
      </c>
      <c r="N666" s="25">
        <v>83.7</v>
      </c>
      <c r="O666" s="25">
        <v>293</v>
      </c>
      <c r="P666" s="25">
        <v>1</v>
      </c>
    </row>
    <row r="667" spans="1:16" x14ac:dyDescent="0.25">
      <c r="A667" s="26">
        <v>45469.866423611114</v>
      </c>
      <c r="B667" s="25" t="s">
        <v>56</v>
      </c>
      <c r="C667" s="25" t="s">
        <v>1366</v>
      </c>
      <c r="D667" s="25" t="s">
        <v>1367</v>
      </c>
      <c r="E667" s="25">
        <v>233</v>
      </c>
      <c r="F667" s="25" t="s">
        <v>19</v>
      </c>
      <c r="G667" s="25">
        <v>25.3</v>
      </c>
      <c r="H667" s="25">
        <v>52.8</v>
      </c>
      <c r="I667" s="25" t="s">
        <v>20</v>
      </c>
      <c r="J667" s="25">
        <v>19</v>
      </c>
      <c r="K667" s="25">
        <v>123</v>
      </c>
      <c r="L667" s="25">
        <v>7</v>
      </c>
      <c r="M667" s="25" t="s">
        <v>27</v>
      </c>
      <c r="N667" s="25">
        <v>92.3</v>
      </c>
      <c r="O667" s="25">
        <v>192</v>
      </c>
      <c r="P667" s="25">
        <v>1</v>
      </c>
    </row>
    <row r="668" spans="1:16" ht="30" customHeight="1" x14ac:dyDescent="0.25">
      <c r="A668" s="26">
        <v>45346.308252314811</v>
      </c>
      <c r="B668" s="25" t="s">
        <v>41</v>
      </c>
      <c r="C668" s="25" t="s">
        <v>1368</v>
      </c>
      <c r="D668" s="25" t="s">
        <v>1369</v>
      </c>
      <c r="E668" s="25">
        <v>282</v>
      </c>
      <c r="F668" s="25" t="s">
        <v>34</v>
      </c>
      <c r="G668" s="25">
        <v>18.399999999999999</v>
      </c>
      <c r="H668" s="25">
        <v>68.8</v>
      </c>
      <c r="I668" s="25" t="s">
        <v>26</v>
      </c>
      <c r="J668" s="25">
        <v>16</v>
      </c>
      <c r="K668" s="25">
        <v>281</v>
      </c>
      <c r="L668" s="25">
        <v>4</v>
      </c>
      <c r="M668" s="25" t="s">
        <v>51</v>
      </c>
      <c r="N668" s="25">
        <v>78.8</v>
      </c>
      <c r="O668" s="25">
        <v>285</v>
      </c>
      <c r="P668" s="25">
        <v>1</v>
      </c>
    </row>
    <row r="669" spans="1:16" x14ac:dyDescent="0.25">
      <c r="A669" s="26">
        <v>45326.862013888887</v>
      </c>
      <c r="B669" s="25" t="s">
        <v>48</v>
      </c>
      <c r="C669" s="25" t="s">
        <v>1370</v>
      </c>
      <c r="D669" s="25" t="s">
        <v>1371</v>
      </c>
      <c r="E669" s="25">
        <v>117</v>
      </c>
      <c r="F669" s="25" t="s">
        <v>19</v>
      </c>
      <c r="G669" s="25">
        <v>28</v>
      </c>
      <c r="H669" s="25">
        <v>73.900000000000006</v>
      </c>
      <c r="I669" s="25" t="s">
        <v>26</v>
      </c>
      <c r="J669" s="25">
        <v>55</v>
      </c>
      <c r="K669" s="25">
        <v>156</v>
      </c>
      <c r="L669" s="25">
        <v>10</v>
      </c>
      <c r="M669" s="25" t="s">
        <v>27</v>
      </c>
      <c r="N669" s="25">
        <v>63.7</v>
      </c>
      <c r="O669" s="25">
        <v>277</v>
      </c>
      <c r="P669" s="25">
        <v>1</v>
      </c>
    </row>
    <row r="670" spans="1:16" x14ac:dyDescent="0.25">
      <c r="A670" s="26">
        <v>45350.759212962963</v>
      </c>
      <c r="B670" s="25" t="s">
        <v>95</v>
      </c>
      <c r="C670" s="25" t="s">
        <v>1372</v>
      </c>
      <c r="D670" s="25" t="s">
        <v>1373</v>
      </c>
      <c r="E670" s="25">
        <v>242</v>
      </c>
      <c r="F670" s="25" t="s">
        <v>25</v>
      </c>
      <c r="G670" s="25">
        <v>23.7</v>
      </c>
      <c r="H670" s="25">
        <v>56</v>
      </c>
      <c r="I670" s="25" t="s">
        <v>20</v>
      </c>
      <c r="J670" s="25">
        <v>41</v>
      </c>
      <c r="K670" s="25">
        <v>190</v>
      </c>
      <c r="L670" s="25">
        <v>5</v>
      </c>
      <c r="M670" s="25" t="s">
        <v>35</v>
      </c>
      <c r="N670" s="25">
        <v>61.8</v>
      </c>
      <c r="O670" s="25">
        <v>265</v>
      </c>
      <c r="P670" s="25">
        <v>0</v>
      </c>
    </row>
    <row r="671" spans="1:16" x14ac:dyDescent="0.25">
      <c r="A671" s="26">
        <v>45409.647962962961</v>
      </c>
      <c r="B671" s="25" t="s">
        <v>56</v>
      </c>
      <c r="C671" s="25" t="s">
        <v>1374</v>
      </c>
      <c r="D671" s="25" t="s">
        <v>1375</v>
      </c>
      <c r="E671" s="25">
        <v>497</v>
      </c>
      <c r="F671" s="25" t="s">
        <v>34</v>
      </c>
      <c r="G671" s="25">
        <v>24.1</v>
      </c>
      <c r="H671" s="25">
        <v>77.5</v>
      </c>
      <c r="I671" s="25" t="s">
        <v>38</v>
      </c>
      <c r="J671" s="25">
        <v>39</v>
      </c>
      <c r="K671" s="25">
        <v>319</v>
      </c>
      <c r="L671" s="25">
        <v>10</v>
      </c>
      <c r="M671" s="25" t="s">
        <v>35</v>
      </c>
      <c r="N671" s="25">
        <v>60</v>
      </c>
      <c r="O671" s="25">
        <v>224</v>
      </c>
      <c r="P671" s="25">
        <v>0</v>
      </c>
    </row>
    <row r="672" spans="1:16" ht="30" customHeight="1" x14ac:dyDescent="0.25">
      <c r="A672" s="26">
        <v>45592.025682870371</v>
      </c>
      <c r="B672" s="25" t="s">
        <v>28</v>
      </c>
      <c r="C672" s="25" t="s">
        <v>1376</v>
      </c>
      <c r="D672" s="25" t="s">
        <v>1377</v>
      </c>
      <c r="E672" s="25">
        <v>384</v>
      </c>
      <c r="F672" s="25" t="s">
        <v>19</v>
      </c>
      <c r="G672" s="25">
        <v>25.6</v>
      </c>
      <c r="H672" s="25">
        <v>78.8</v>
      </c>
      <c r="I672" s="25" t="s">
        <v>20</v>
      </c>
      <c r="J672" s="25">
        <v>52</v>
      </c>
      <c r="K672" s="25">
        <v>161</v>
      </c>
      <c r="L672" s="25">
        <v>10</v>
      </c>
      <c r="M672" s="25" t="s">
        <v>51</v>
      </c>
      <c r="N672" s="25">
        <v>83.6</v>
      </c>
      <c r="O672" s="25">
        <v>161</v>
      </c>
      <c r="P672" s="25">
        <v>1</v>
      </c>
    </row>
    <row r="673" spans="1:16" x14ac:dyDescent="0.25">
      <c r="A673" s="26">
        <v>45299.391342592593</v>
      </c>
      <c r="B673" s="25" t="s">
        <v>31</v>
      </c>
      <c r="C673" s="25" t="s">
        <v>1378</v>
      </c>
      <c r="D673" s="25" t="s">
        <v>1379</v>
      </c>
      <c r="E673" s="25">
        <v>258</v>
      </c>
      <c r="F673" s="25" t="s">
        <v>34</v>
      </c>
      <c r="G673" s="25">
        <v>26.8</v>
      </c>
      <c r="H673" s="25">
        <v>60.5</v>
      </c>
      <c r="I673" s="25" t="s">
        <v>38</v>
      </c>
      <c r="J673" s="25">
        <v>12</v>
      </c>
      <c r="K673" s="25">
        <v>413</v>
      </c>
      <c r="L673" s="25">
        <v>8</v>
      </c>
      <c r="M673" s="25" t="s">
        <v>27</v>
      </c>
      <c r="N673" s="25">
        <v>86.9</v>
      </c>
      <c r="O673" s="25">
        <v>207</v>
      </c>
      <c r="P673" s="25">
        <v>0</v>
      </c>
    </row>
    <row r="674" spans="1:16" ht="30" customHeight="1" x14ac:dyDescent="0.25">
      <c r="A674" s="26">
        <v>45383.774733796294</v>
      </c>
      <c r="B674" s="25" t="s">
        <v>41</v>
      </c>
      <c r="C674" s="25" t="s">
        <v>1380</v>
      </c>
      <c r="D674" s="25" t="s">
        <v>1381</v>
      </c>
      <c r="E674" s="25">
        <v>258</v>
      </c>
      <c r="F674" s="25" t="s">
        <v>34</v>
      </c>
      <c r="G674" s="25">
        <v>29.4</v>
      </c>
      <c r="H674" s="25">
        <v>66.099999999999994</v>
      </c>
      <c r="I674" s="25" t="s">
        <v>26</v>
      </c>
      <c r="J674" s="25">
        <v>54</v>
      </c>
      <c r="K674" s="25">
        <v>395</v>
      </c>
      <c r="L674" s="25">
        <v>2</v>
      </c>
      <c r="M674" s="25" t="s">
        <v>51</v>
      </c>
      <c r="N674" s="25">
        <v>71.400000000000006</v>
      </c>
      <c r="O674" s="25">
        <v>256</v>
      </c>
      <c r="P674" s="25">
        <v>1</v>
      </c>
    </row>
    <row r="675" spans="1:16" x14ac:dyDescent="0.25">
      <c r="A675" s="26">
        <v>45356.524629629632</v>
      </c>
      <c r="B675" s="25" t="s">
        <v>16</v>
      </c>
      <c r="C675" s="25" t="s">
        <v>1382</v>
      </c>
      <c r="D675" s="25" t="s">
        <v>1383</v>
      </c>
      <c r="E675" s="25">
        <v>291</v>
      </c>
      <c r="F675" s="25" t="s">
        <v>25</v>
      </c>
      <c r="G675" s="25">
        <v>26.9</v>
      </c>
      <c r="H675" s="25">
        <v>52.3</v>
      </c>
      <c r="I675" s="25" t="s">
        <v>26</v>
      </c>
      <c r="J675" s="25">
        <v>34</v>
      </c>
      <c r="K675" s="25">
        <v>253</v>
      </c>
      <c r="L675" s="25">
        <v>2</v>
      </c>
      <c r="M675" s="25" t="s">
        <v>35</v>
      </c>
      <c r="N675" s="25">
        <v>94.9</v>
      </c>
      <c r="O675" s="25">
        <v>228</v>
      </c>
      <c r="P675" s="25">
        <v>1</v>
      </c>
    </row>
    <row r="676" spans="1:16" ht="30" customHeight="1" x14ac:dyDescent="0.25">
      <c r="A676" s="26">
        <v>45526.276562500003</v>
      </c>
      <c r="B676" s="25" t="s">
        <v>31</v>
      </c>
      <c r="C676" s="25" t="s">
        <v>1384</v>
      </c>
      <c r="D676" s="25" t="s">
        <v>1385</v>
      </c>
      <c r="E676" s="25">
        <v>135</v>
      </c>
      <c r="F676" s="25" t="s">
        <v>19</v>
      </c>
      <c r="G676" s="25">
        <v>29</v>
      </c>
      <c r="H676" s="25">
        <v>62.2</v>
      </c>
      <c r="I676" s="25" t="s">
        <v>26</v>
      </c>
      <c r="J676" s="25">
        <v>24</v>
      </c>
      <c r="K676" s="25">
        <v>155</v>
      </c>
      <c r="L676" s="25">
        <v>3</v>
      </c>
      <c r="M676" s="25" t="s">
        <v>51</v>
      </c>
      <c r="N676" s="25">
        <v>69.400000000000006</v>
      </c>
      <c r="O676" s="25">
        <v>196</v>
      </c>
      <c r="P676" s="25">
        <v>1</v>
      </c>
    </row>
    <row r="677" spans="1:16" ht="30" customHeight="1" x14ac:dyDescent="0.25">
      <c r="A677" s="26">
        <v>45311.610358796293</v>
      </c>
      <c r="B677" s="25" t="s">
        <v>28</v>
      </c>
      <c r="C677" s="25" t="s">
        <v>1386</v>
      </c>
      <c r="D677" s="25" t="s">
        <v>1387</v>
      </c>
      <c r="E677" s="25">
        <v>437</v>
      </c>
      <c r="F677" s="25" t="s">
        <v>19</v>
      </c>
      <c r="G677" s="25">
        <v>23.3</v>
      </c>
      <c r="H677" s="25">
        <v>61.6</v>
      </c>
      <c r="I677" s="25" t="s">
        <v>26</v>
      </c>
      <c r="J677" s="25">
        <v>45</v>
      </c>
      <c r="K677" s="25">
        <v>177</v>
      </c>
      <c r="L677" s="25">
        <v>5</v>
      </c>
      <c r="M677" s="25" t="s">
        <v>51</v>
      </c>
      <c r="N677" s="25">
        <v>93.3</v>
      </c>
      <c r="O677" s="25">
        <v>106</v>
      </c>
      <c r="P677" s="25">
        <v>1</v>
      </c>
    </row>
    <row r="678" spans="1:16" x14ac:dyDescent="0.25">
      <c r="A678" s="26">
        <v>45479.753738425927</v>
      </c>
      <c r="B678" s="25" t="s">
        <v>31</v>
      </c>
      <c r="C678" s="25" t="s">
        <v>1388</v>
      </c>
      <c r="D678" s="25" t="s">
        <v>1389</v>
      </c>
      <c r="E678" s="25">
        <v>441</v>
      </c>
      <c r="F678" s="25" t="s">
        <v>19</v>
      </c>
      <c r="G678" s="25">
        <v>23.1</v>
      </c>
      <c r="H678" s="25">
        <v>57.1</v>
      </c>
      <c r="I678" s="25" t="s">
        <v>38</v>
      </c>
      <c r="J678" s="25">
        <v>55</v>
      </c>
      <c r="K678" s="25">
        <v>490</v>
      </c>
      <c r="L678" s="25">
        <v>10</v>
      </c>
      <c r="M678" s="25" t="s">
        <v>27</v>
      </c>
      <c r="N678" s="25">
        <v>65.099999999999994</v>
      </c>
      <c r="O678" s="25">
        <v>289</v>
      </c>
      <c r="P678" s="25">
        <v>1</v>
      </c>
    </row>
    <row r="679" spans="1:16" x14ac:dyDescent="0.25">
      <c r="A679" s="26">
        <v>45424.858483796299</v>
      </c>
      <c r="B679" s="25" t="s">
        <v>22</v>
      </c>
      <c r="C679" s="25" t="s">
        <v>1390</v>
      </c>
      <c r="D679" s="25" t="s">
        <v>1391</v>
      </c>
      <c r="E679" s="25">
        <v>268</v>
      </c>
      <c r="F679" s="25" t="s">
        <v>19</v>
      </c>
      <c r="G679" s="25">
        <v>20.3</v>
      </c>
      <c r="H679" s="25">
        <v>78.099999999999994</v>
      </c>
      <c r="I679" s="25" t="s">
        <v>20</v>
      </c>
      <c r="J679" s="25">
        <v>30</v>
      </c>
      <c r="K679" s="25">
        <v>102</v>
      </c>
      <c r="L679" s="25">
        <v>6</v>
      </c>
      <c r="M679" s="25" t="s">
        <v>27</v>
      </c>
      <c r="N679" s="25">
        <v>91.7</v>
      </c>
      <c r="O679" s="25">
        <v>132</v>
      </c>
      <c r="P679" s="25">
        <v>1</v>
      </c>
    </row>
    <row r="680" spans="1:16" x14ac:dyDescent="0.25">
      <c r="A680" s="26">
        <v>45616.644131944442</v>
      </c>
      <c r="B680" s="25" t="s">
        <v>48</v>
      </c>
      <c r="C680" s="25" t="s">
        <v>1392</v>
      </c>
      <c r="D680" s="25" t="s">
        <v>1393</v>
      </c>
      <c r="E680" s="25">
        <v>142</v>
      </c>
      <c r="F680" s="25" t="s">
        <v>19</v>
      </c>
      <c r="G680" s="25">
        <v>24</v>
      </c>
      <c r="H680" s="25">
        <v>51.6</v>
      </c>
      <c r="I680" s="25" t="s">
        <v>38</v>
      </c>
      <c r="J680" s="25">
        <v>40</v>
      </c>
      <c r="K680" s="25">
        <v>160</v>
      </c>
      <c r="L680" s="25">
        <v>7</v>
      </c>
      <c r="M680" s="25" t="s">
        <v>21</v>
      </c>
      <c r="N680" s="25">
        <v>70</v>
      </c>
      <c r="O680" s="25">
        <v>276</v>
      </c>
      <c r="P680" s="25">
        <v>1</v>
      </c>
    </row>
    <row r="681" spans="1:16" ht="30" customHeight="1" x14ac:dyDescent="0.25">
      <c r="A681" s="26">
        <v>45518.789421296293</v>
      </c>
      <c r="B681" s="25" t="s">
        <v>31</v>
      </c>
      <c r="C681" s="25" t="s">
        <v>1394</v>
      </c>
      <c r="D681" s="25" t="s">
        <v>1395</v>
      </c>
      <c r="E681" s="25">
        <v>264</v>
      </c>
      <c r="F681" s="25" t="s">
        <v>25</v>
      </c>
      <c r="G681" s="25">
        <v>25.3</v>
      </c>
      <c r="H681" s="25">
        <v>55.2</v>
      </c>
      <c r="I681" s="25" t="s">
        <v>38</v>
      </c>
      <c r="J681" s="25">
        <v>51</v>
      </c>
      <c r="K681" s="25">
        <v>213</v>
      </c>
      <c r="L681" s="25">
        <v>10</v>
      </c>
      <c r="M681" s="25" t="s">
        <v>51</v>
      </c>
      <c r="N681" s="25">
        <v>85.5</v>
      </c>
      <c r="O681" s="25">
        <v>173</v>
      </c>
      <c r="P681" s="25">
        <v>0</v>
      </c>
    </row>
    <row r="682" spans="1:16" x14ac:dyDescent="0.25">
      <c r="A682" s="26">
        <v>45567.425347222219</v>
      </c>
      <c r="B682" s="25" t="s">
        <v>61</v>
      </c>
      <c r="C682" s="25" t="s">
        <v>1396</v>
      </c>
      <c r="D682" s="25" t="s">
        <v>1397</v>
      </c>
      <c r="E682" s="25">
        <v>426</v>
      </c>
      <c r="F682" s="25" t="s">
        <v>19</v>
      </c>
      <c r="G682" s="25">
        <v>25.3</v>
      </c>
      <c r="H682" s="25">
        <v>56.8</v>
      </c>
      <c r="I682" s="25" t="s">
        <v>38</v>
      </c>
      <c r="J682" s="25">
        <v>15</v>
      </c>
      <c r="K682" s="25">
        <v>241</v>
      </c>
      <c r="L682" s="25">
        <v>5</v>
      </c>
      <c r="M682" s="25" t="s">
        <v>35</v>
      </c>
      <c r="N682" s="25">
        <v>83.5</v>
      </c>
      <c r="O682" s="25">
        <v>224</v>
      </c>
      <c r="P682" s="25">
        <v>1</v>
      </c>
    </row>
    <row r="683" spans="1:16" x14ac:dyDescent="0.25">
      <c r="A683" s="26">
        <v>45386.730613425927</v>
      </c>
      <c r="B683" s="25" t="s">
        <v>56</v>
      </c>
      <c r="C683" s="25" t="s">
        <v>1398</v>
      </c>
      <c r="D683" s="25" t="s">
        <v>1399</v>
      </c>
      <c r="E683" s="25">
        <v>214</v>
      </c>
      <c r="F683" s="25" t="s">
        <v>19</v>
      </c>
      <c r="G683" s="25">
        <v>24.3</v>
      </c>
      <c r="H683" s="25">
        <v>56.9</v>
      </c>
      <c r="I683" s="25" t="s">
        <v>38</v>
      </c>
      <c r="J683" s="25">
        <v>35</v>
      </c>
      <c r="K683" s="25">
        <v>497</v>
      </c>
      <c r="L683" s="25">
        <v>6</v>
      </c>
      <c r="M683" s="25" t="s">
        <v>27</v>
      </c>
      <c r="N683" s="25">
        <v>70.2</v>
      </c>
      <c r="O683" s="25">
        <v>111</v>
      </c>
      <c r="P683" s="25">
        <v>1</v>
      </c>
    </row>
    <row r="684" spans="1:16" x14ac:dyDescent="0.25">
      <c r="A684" s="26">
        <v>45299.886631944442</v>
      </c>
      <c r="B684" s="25" t="s">
        <v>64</v>
      </c>
      <c r="C684" s="25" t="s">
        <v>1400</v>
      </c>
      <c r="D684" s="25" t="s">
        <v>1401</v>
      </c>
      <c r="E684" s="25">
        <v>123</v>
      </c>
      <c r="F684" s="25" t="s">
        <v>34</v>
      </c>
      <c r="G684" s="25">
        <v>19.3</v>
      </c>
      <c r="H684" s="25">
        <v>63.4</v>
      </c>
      <c r="I684" s="25" t="s">
        <v>20</v>
      </c>
      <c r="J684" s="25">
        <v>35</v>
      </c>
      <c r="K684" s="25">
        <v>303</v>
      </c>
      <c r="L684" s="25">
        <v>3</v>
      </c>
      <c r="M684" s="25" t="s">
        <v>21</v>
      </c>
      <c r="N684" s="25">
        <v>64.900000000000006</v>
      </c>
      <c r="O684" s="25">
        <v>240</v>
      </c>
      <c r="P684" s="25">
        <v>0</v>
      </c>
    </row>
    <row r="685" spans="1:16" x14ac:dyDescent="0.25">
      <c r="A685" s="26">
        <v>45384.947534722225</v>
      </c>
      <c r="B685" s="25" t="s">
        <v>16</v>
      </c>
      <c r="C685" s="25" t="s">
        <v>1402</v>
      </c>
      <c r="D685" s="25" t="s">
        <v>1403</v>
      </c>
      <c r="E685" s="25">
        <v>295</v>
      </c>
      <c r="F685" s="25" t="s">
        <v>25</v>
      </c>
      <c r="G685" s="25">
        <v>22.2</v>
      </c>
      <c r="H685" s="25">
        <v>64.900000000000006</v>
      </c>
      <c r="I685" s="25" t="s">
        <v>26</v>
      </c>
      <c r="J685" s="25">
        <v>19</v>
      </c>
      <c r="K685" s="25">
        <v>385</v>
      </c>
      <c r="L685" s="25">
        <v>9</v>
      </c>
      <c r="M685" s="25" t="s">
        <v>27</v>
      </c>
      <c r="N685" s="25">
        <v>77.099999999999994</v>
      </c>
      <c r="O685" s="25">
        <v>235</v>
      </c>
      <c r="P685" s="25">
        <v>1</v>
      </c>
    </row>
    <row r="686" spans="1:16" ht="30" customHeight="1" x14ac:dyDescent="0.25">
      <c r="A686" s="26">
        <v>45391.925162037034</v>
      </c>
      <c r="B686" s="25" t="s">
        <v>64</v>
      </c>
      <c r="C686" s="25" t="s">
        <v>1404</v>
      </c>
      <c r="D686" s="25" t="s">
        <v>1405</v>
      </c>
      <c r="E686" s="25">
        <v>378</v>
      </c>
      <c r="F686" s="25" t="s">
        <v>25</v>
      </c>
      <c r="G686" s="25">
        <v>23.3</v>
      </c>
      <c r="H686" s="25">
        <v>78.7</v>
      </c>
      <c r="I686" s="25" t="s">
        <v>38</v>
      </c>
      <c r="J686" s="25">
        <v>17</v>
      </c>
      <c r="K686" s="25">
        <v>364</v>
      </c>
      <c r="L686" s="25">
        <v>8</v>
      </c>
      <c r="M686" s="25" t="s">
        <v>51</v>
      </c>
      <c r="N686" s="25">
        <v>96.1</v>
      </c>
      <c r="O686" s="25">
        <v>230</v>
      </c>
      <c r="P686" s="25">
        <v>0</v>
      </c>
    </row>
    <row r="687" spans="1:16" ht="30" customHeight="1" x14ac:dyDescent="0.25">
      <c r="A687" s="26">
        <v>45481.459293981483</v>
      </c>
      <c r="B687" s="25" t="s">
        <v>41</v>
      </c>
      <c r="C687" s="25" t="s">
        <v>1406</v>
      </c>
      <c r="D687" s="25" t="s">
        <v>1407</v>
      </c>
      <c r="E687" s="25">
        <v>209</v>
      </c>
      <c r="F687" s="25" t="s">
        <v>19</v>
      </c>
      <c r="G687" s="25">
        <v>19.3</v>
      </c>
      <c r="H687" s="25">
        <v>51</v>
      </c>
      <c r="I687" s="25" t="s">
        <v>20</v>
      </c>
      <c r="J687" s="25">
        <v>18</v>
      </c>
      <c r="K687" s="25">
        <v>443</v>
      </c>
      <c r="L687" s="25">
        <v>2</v>
      </c>
      <c r="M687" s="25" t="s">
        <v>51</v>
      </c>
      <c r="N687" s="25">
        <v>91.5</v>
      </c>
      <c r="O687" s="25">
        <v>213</v>
      </c>
      <c r="P687" s="25">
        <v>1</v>
      </c>
    </row>
    <row r="688" spans="1:16" x14ac:dyDescent="0.25">
      <c r="A688" s="26">
        <v>45372.451863425929</v>
      </c>
      <c r="B688" s="25" t="s">
        <v>22</v>
      </c>
      <c r="C688" s="25" t="s">
        <v>1408</v>
      </c>
      <c r="D688" s="25" t="s">
        <v>1409</v>
      </c>
      <c r="E688" s="25">
        <v>325</v>
      </c>
      <c r="F688" s="25" t="s">
        <v>19</v>
      </c>
      <c r="G688" s="25">
        <v>28.8</v>
      </c>
      <c r="H688" s="25">
        <v>55</v>
      </c>
      <c r="I688" s="25" t="s">
        <v>38</v>
      </c>
      <c r="J688" s="25">
        <v>56</v>
      </c>
      <c r="K688" s="25">
        <v>316</v>
      </c>
      <c r="L688" s="25">
        <v>4</v>
      </c>
      <c r="M688" s="25" t="s">
        <v>27</v>
      </c>
      <c r="N688" s="25">
        <v>77.8</v>
      </c>
      <c r="O688" s="25">
        <v>300</v>
      </c>
      <c r="P688" s="25">
        <v>1</v>
      </c>
    </row>
    <row r="689" spans="1:16" x14ac:dyDescent="0.25">
      <c r="A689" s="26">
        <v>45618.9296412037</v>
      </c>
      <c r="B689" s="25" t="s">
        <v>22</v>
      </c>
      <c r="C689" s="25" t="s">
        <v>1410</v>
      </c>
      <c r="D689" s="25" t="s">
        <v>1411</v>
      </c>
      <c r="E689" s="25">
        <v>362</v>
      </c>
      <c r="F689" s="25" t="s">
        <v>19</v>
      </c>
      <c r="G689" s="25">
        <v>21.7</v>
      </c>
      <c r="H689" s="25">
        <v>54.6</v>
      </c>
      <c r="I689" s="25" t="s">
        <v>26</v>
      </c>
      <c r="J689" s="25">
        <v>22</v>
      </c>
      <c r="K689" s="25">
        <v>441</v>
      </c>
      <c r="L689" s="25">
        <v>3</v>
      </c>
      <c r="M689" s="25" t="s">
        <v>21</v>
      </c>
      <c r="N689" s="25">
        <v>74.599999999999994</v>
      </c>
      <c r="O689" s="25">
        <v>194</v>
      </c>
      <c r="P689" s="25">
        <v>1</v>
      </c>
    </row>
    <row r="690" spans="1:16" x14ac:dyDescent="0.25">
      <c r="A690" s="26">
        <v>45406.00613425926</v>
      </c>
      <c r="B690" s="25" t="s">
        <v>41</v>
      </c>
      <c r="C690" s="25" t="s">
        <v>1412</v>
      </c>
      <c r="D690" s="25" t="s">
        <v>1413</v>
      </c>
      <c r="E690" s="25">
        <v>451</v>
      </c>
      <c r="F690" s="25" t="s">
        <v>34</v>
      </c>
      <c r="G690" s="25">
        <v>27.5</v>
      </c>
      <c r="H690" s="25">
        <v>56.7</v>
      </c>
      <c r="I690" s="25" t="s">
        <v>38</v>
      </c>
      <c r="J690" s="25">
        <v>23</v>
      </c>
      <c r="K690" s="25">
        <v>446</v>
      </c>
      <c r="L690" s="25">
        <v>6</v>
      </c>
      <c r="M690" s="25" t="s">
        <v>35</v>
      </c>
      <c r="N690" s="25">
        <v>62.1</v>
      </c>
      <c r="O690" s="25">
        <v>203</v>
      </c>
      <c r="P690" s="25">
        <v>0</v>
      </c>
    </row>
    <row r="691" spans="1:16" x14ac:dyDescent="0.25">
      <c r="A691" s="26">
        <v>45448.368784722225</v>
      </c>
      <c r="B691" s="25" t="s">
        <v>31</v>
      </c>
      <c r="C691" s="25" t="s">
        <v>1414</v>
      </c>
      <c r="D691" s="25" t="s">
        <v>1415</v>
      </c>
      <c r="E691" s="25">
        <v>201</v>
      </c>
      <c r="F691" s="25" t="s">
        <v>25</v>
      </c>
      <c r="G691" s="25">
        <v>27.5</v>
      </c>
      <c r="H691" s="25">
        <v>53.1</v>
      </c>
      <c r="I691" s="25" t="s">
        <v>38</v>
      </c>
      <c r="J691" s="25">
        <v>10</v>
      </c>
      <c r="K691" s="25">
        <v>169</v>
      </c>
      <c r="L691" s="25">
        <v>3</v>
      </c>
      <c r="M691" s="25" t="s">
        <v>21</v>
      </c>
      <c r="N691" s="25">
        <v>65.099999999999994</v>
      </c>
      <c r="O691" s="25">
        <v>242</v>
      </c>
      <c r="P691" s="25">
        <v>0</v>
      </c>
    </row>
    <row r="692" spans="1:16" x14ac:dyDescent="0.25">
      <c r="A692" s="26">
        <v>45352.423796296294</v>
      </c>
      <c r="B692" s="25" t="s">
        <v>61</v>
      </c>
      <c r="C692" s="25" t="s">
        <v>1416</v>
      </c>
      <c r="D692" s="25" t="s">
        <v>1417</v>
      </c>
      <c r="E692" s="25">
        <v>442</v>
      </c>
      <c r="F692" s="25" t="s">
        <v>19</v>
      </c>
      <c r="G692" s="25">
        <v>23.6</v>
      </c>
      <c r="H692" s="25">
        <v>58.1</v>
      </c>
      <c r="I692" s="25" t="s">
        <v>38</v>
      </c>
      <c r="J692" s="25">
        <v>47</v>
      </c>
      <c r="K692" s="25">
        <v>165</v>
      </c>
      <c r="L692" s="25">
        <v>1</v>
      </c>
      <c r="M692" s="25" t="s">
        <v>35</v>
      </c>
      <c r="N692" s="25">
        <v>93.3</v>
      </c>
      <c r="O692" s="25">
        <v>191</v>
      </c>
      <c r="P692" s="25">
        <v>1</v>
      </c>
    </row>
    <row r="693" spans="1:16" x14ac:dyDescent="0.25">
      <c r="A693" s="26">
        <v>45479.881562499999</v>
      </c>
      <c r="B693" s="25" t="s">
        <v>95</v>
      </c>
      <c r="C693" s="25" t="s">
        <v>1418</v>
      </c>
      <c r="D693" s="25" t="s">
        <v>1419</v>
      </c>
      <c r="E693" s="25">
        <v>274</v>
      </c>
      <c r="F693" s="25" t="s">
        <v>25</v>
      </c>
      <c r="G693" s="25">
        <v>19.3</v>
      </c>
      <c r="H693" s="25">
        <v>70.3</v>
      </c>
      <c r="I693" s="25" t="s">
        <v>20</v>
      </c>
      <c r="J693" s="25">
        <v>26</v>
      </c>
      <c r="K693" s="25">
        <v>404</v>
      </c>
      <c r="L693" s="25">
        <v>7</v>
      </c>
      <c r="M693" s="25" t="s">
        <v>27</v>
      </c>
      <c r="N693" s="25">
        <v>81</v>
      </c>
      <c r="O693" s="25">
        <v>141</v>
      </c>
      <c r="P693" s="25">
        <v>0</v>
      </c>
    </row>
    <row r="694" spans="1:16" x14ac:dyDescent="0.25">
      <c r="A694" s="26">
        <v>45624.67082175926</v>
      </c>
      <c r="B694" s="25" t="s">
        <v>64</v>
      </c>
      <c r="C694" s="25" t="s">
        <v>1420</v>
      </c>
      <c r="D694" s="25" t="s">
        <v>1421</v>
      </c>
      <c r="E694" s="25">
        <v>180</v>
      </c>
      <c r="F694" s="25" t="s">
        <v>25</v>
      </c>
      <c r="G694" s="25">
        <v>24.9</v>
      </c>
      <c r="H694" s="25">
        <v>68.900000000000006</v>
      </c>
      <c r="I694" s="25" t="s">
        <v>38</v>
      </c>
      <c r="J694" s="25">
        <v>14</v>
      </c>
      <c r="K694" s="25">
        <v>189</v>
      </c>
      <c r="L694" s="25">
        <v>3</v>
      </c>
      <c r="M694" s="25" t="s">
        <v>35</v>
      </c>
      <c r="N694" s="25">
        <v>89.4</v>
      </c>
      <c r="O694" s="25">
        <v>275</v>
      </c>
      <c r="P694" s="25">
        <v>0</v>
      </c>
    </row>
    <row r="695" spans="1:16" x14ac:dyDescent="0.25">
      <c r="A695" s="26">
        <v>45374.890636574077</v>
      </c>
      <c r="B695" s="25" t="s">
        <v>95</v>
      </c>
      <c r="C695" s="25" t="s">
        <v>1422</v>
      </c>
      <c r="D695" s="25" t="s">
        <v>1423</v>
      </c>
      <c r="E695" s="25">
        <v>213</v>
      </c>
      <c r="F695" s="25" t="s">
        <v>19</v>
      </c>
      <c r="G695" s="25">
        <v>22.8</v>
      </c>
      <c r="H695" s="25">
        <v>65</v>
      </c>
      <c r="I695" s="25" t="s">
        <v>20</v>
      </c>
      <c r="J695" s="25">
        <v>51</v>
      </c>
      <c r="K695" s="25">
        <v>361</v>
      </c>
      <c r="L695" s="25">
        <v>6</v>
      </c>
      <c r="M695" s="25" t="s">
        <v>21</v>
      </c>
      <c r="N695" s="25">
        <v>74.5</v>
      </c>
      <c r="O695" s="25">
        <v>274</v>
      </c>
      <c r="P695" s="25">
        <v>1</v>
      </c>
    </row>
    <row r="696" spans="1:16" x14ac:dyDescent="0.25">
      <c r="A696" s="26">
        <v>45406.238946759258</v>
      </c>
      <c r="B696" s="25" t="s">
        <v>28</v>
      </c>
      <c r="C696" s="25" t="s">
        <v>1424</v>
      </c>
      <c r="D696" s="25" t="s">
        <v>1425</v>
      </c>
      <c r="E696" s="25">
        <v>353</v>
      </c>
      <c r="F696" s="25" t="s">
        <v>25</v>
      </c>
      <c r="G696" s="25">
        <v>22</v>
      </c>
      <c r="H696" s="25">
        <v>66.8</v>
      </c>
      <c r="I696" s="25" t="s">
        <v>26</v>
      </c>
      <c r="J696" s="25">
        <v>27</v>
      </c>
      <c r="K696" s="25">
        <v>327</v>
      </c>
      <c r="L696" s="25">
        <v>9</v>
      </c>
      <c r="M696" s="25" t="s">
        <v>35</v>
      </c>
      <c r="N696" s="25">
        <v>71.2</v>
      </c>
      <c r="O696" s="25">
        <v>146</v>
      </c>
      <c r="P696" s="25">
        <v>1</v>
      </c>
    </row>
    <row r="697" spans="1:16" x14ac:dyDescent="0.25">
      <c r="A697" s="26">
        <v>45454.199386574073</v>
      </c>
      <c r="B697" s="25" t="s">
        <v>56</v>
      </c>
      <c r="C697" s="25" t="s">
        <v>1426</v>
      </c>
      <c r="D697" s="25" t="s">
        <v>1427</v>
      </c>
      <c r="E697" s="25">
        <v>495</v>
      </c>
      <c r="F697" s="25" t="s">
        <v>34</v>
      </c>
      <c r="G697" s="25">
        <v>20.6</v>
      </c>
      <c r="H697" s="25">
        <v>71.5</v>
      </c>
      <c r="I697" s="25" t="s">
        <v>26</v>
      </c>
      <c r="J697" s="25">
        <v>32</v>
      </c>
      <c r="K697" s="25">
        <v>166</v>
      </c>
      <c r="L697" s="25">
        <v>2</v>
      </c>
      <c r="M697" s="25" t="s">
        <v>27</v>
      </c>
      <c r="N697" s="25">
        <v>62.5</v>
      </c>
      <c r="O697" s="25">
        <v>282</v>
      </c>
      <c r="P697" s="25">
        <v>1</v>
      </c>
    </row>
    <row r="698" spans="1:16" x14ac:dyDescent="0.25">
      <c r="A698" s="26">
        <v>45516.037592592591</v>
      </c>
      <c r="B698" s="25" t="s">
        <v>95</v>
      </c>
      <c r="C698" s="25" t="s">
        <v>1428</v>
      </c>
      <c r="D698" s="25" t="s">
        <v>1429</v>
      </c>
      <c r="E698" s="25">
        <v>162</v>
      </c>
      <c r="F698" s="25" t="s">
        <v>19</v>
      </c>
      <c r="G698" s="25">
        <v>21.3</v>
      </c>
      <c r="H698" s="25">
        <v>76.8</v>
      </c>
      <c r="I698" s="25" t="s">
        <v>20</v>
      </c>
      <c r="J698" s="25">
        <v>53</v>
      </c>
      <c r="K698" s="25">
        <v>164</v>
      </c>
      <c r="L698" s="25">
        <v>3</v>
      </c>
      <c r="M698" s="25" t="s">
        <v>21</v>
      </c>
      <c r="N698" s="25">
        <v>61.6</v>
      </c>
      <c r="O698" s="25">
        <v>104</v>
      </c>
      <c r="P698" s="25">
        <v>1</v>
      </c>
    </row>
    <row r="699" spans="1:16" x14ac:dyDescent="0.25">
      <c r="A699" s="26">
        <v>45443.128842592596</v>
      </c>
      <c r="B699" s="25" t="s">
        <v>61</v>
      </c>
      <c r="C699" s="25" t="s">
        <v>1430</v>
      </c>
      <c r="D699" s="25" t="s">
        <v>1431</v>
      </c>
      <c r="E699" s="25">
        <v>252</v>
      </c>
      <c r="F699" s="25" t="s">
        <v>19</v>
      </c>
      <c r="G699" s="25">
        <v>28</v>
      </c>
      <c r="H699" s="25">
        <v>66.5</v>
      </c>
      <c r="I699" s="25" t="s">
        <v>20</v>
      </c>
      <c r="J699" s="25">
        <v>44</v>
      </c>
      <c r="K699" s="25">
        <v>298</v>
      </c>
      <c r="L699" s="25">
        <v>6</v>
      </c>
      <c r="M699" s="25" t="s">
        <v>35</v>
      </c>
      <c r="N699" s="25">
        <v>72.8</v>
      </c>
      <c r="O699" s="25">
        <v>150</v>
      </c>
      <c r="P699" s="25">
        <v>1</v>
      </c>
    </row>
    <row r="700" spans="1:16" x14ac:dyDescent="0.25">
      <c r="A700" s="26">
        <v>45387.435104166667</v>
      </c>
      <c r="B700" s="25" t="s">
        <v>48</v>
      </c>
      <c r="C700" s="25" t="s">
        <v>1432</v>
      </c>
      <c r="D700" s="25" t="s">
        <v>1433</v>
      </c>
      <c r="E700" s="25">
        <v>361</v>
      </c>
      <c r="F700" s="25" t="s">
        <v>34</v>
      </c>
      <c r="G700" s="25">
        <v>19.5</v>
      </c>
      <c r="H700" s="25">
        <v>78.599999999999994</v>
      </c>
      <c r="I700" s="25" t="s">
        <v>38</v>
      </c>
      <c r="J700" s="25">
        <v>21</v>
      </c>
      <c r="K700" s="25">
        <v>358</v>
      </c>
      <c r="L700" s="25">
        <v>9</v>
      </c>
      <c r="M700" s="25" t="s">
        <v>27</v>
      </c>
      <c r="N700" s="25">
        <v>93</v>
      </c>
      <c r="O700" s="25">
        <v>235</v>
      </c>
      <c r="P700" s="25">
        <v>0</v>
      </c>
    </row>
    <row r="701" spans="1:16" x14ac:dyDescent="0.25">
      <c r="A701" s="26">
        <v>45638.681296296294</v>
      </c>
      <c r="B701" s="25" t="s">
        <v>22</v>
      </c>
      <c r="C701" s="25" t="s">
        <v>1434</v>
      </c>
      <c r="D701" s="25" t="s">
        <v>1435</v>
      </c>
      <c r="E701" s="25">
        <v>115</v>
      </c>
      <c r="F701" s="25" t="s">
        <v>34</v>
      </c>
      <c r="G701" s="25">
        <v>29.3</v>
      </c>
      <c r="H701" s="25">
        <v>65.099999999999994</v>
      </c>
      <c r="I701" s="25" t="s">
        <v>26</v>
      </c>
      <c r="J701" s="25">
        <v>32</v>
      </c>
      <c r="K701" s="25">
        <v>445</v>
      </c>
      <c r="L701" s="25">
        <v>1</v>
      </c>
      <c r="M701" s="25" t="s">
        <v>27</v>
      </c>
      <c r="N701" s="25">
        <v>79.400000000000006</v>
      </c>
      <c r="O701" s="25">
        <v>123</v>
      </c>
      <c r="P701" s="25">
        <v>1</v>
      </c>
    </row>
    <row r="702" spans="1:16" x14ac:dyDescent="0.25">
      <c r="A702" s="26">
        <v>45333.345902777779</v>
      </c>
      <c r="B702" s="25" t="s">
        <v>61</v>
      </c>
      <c r="C702" s="25" t="s">
        <v>1436</v>
      </c>
      <c r="D702" s="25" t="s">
        <v>1437</v>
      </c>
      <c r="E702" s="25">
        <v>172</v>
      </c>
      <c r="F702" s="25" t="s">
        <v>34</v>
      </c>
      <c r="G702" s="25">
        <v>22.5</v>
      </c>
      <c r="H702" s="25">
        <v>69.7</v>
      </c>
      <c r="I702" s="25" t="s">
        <v>26</v>
      </c>
      <c r="J702" s="25">
        <v>55</v>
      </c>
      <c r="K702" s="25">
        <v>216</v>
      </c>
      <c r="L702" s="25">
        <v>9</v>
      </c>
      <c r="M702" s="25" t="s">
        <v>27</v>
      </c>
      <c r="N702" s="25">
        <v>72.099999999999994</v>
      </c>
      <c r="O702" s="25">
        <v>106</v>
      </c>
      <c r="P702" s="25">
        <v>1</v>
      </c>
    </row>
    <row r="703" spans="1:16" x14ac:dyDescent="0.25">
      <c r="A703" s="26">
        <v>45576.641516203701</v>
      </c>
      <c r="B703" s="25" t="s">
        <v>56</v>
      </c>
      <c r="C703" s="25" t="s">
        <v>1438</v>
      </c>
      <c r="D703" s="25" t="s">
        <v>1439</v>
      </c>
      <c r="E703" s="25">
        <v>403</v>
      </c>
      <c r="F703" s="25" t="s">
        <v>25</v>
      </c>
      <c r="G703" s="25">
        <v>28.2</v>
      </c>
      <c r="H703" s="25">
        <v>76.099999999999994</v>
      </c>
      <c r="I703" s="25" t="s">
        <v>26</v>
      </c>
      <c r="J703" s="25">
        <v>51</v>
      </c>
      <c r="K703" s="25">
        <v>457</v>
      </c>
      <c r="L703" s="25">
        <v>7</v>
      </c>
      <c r="M703" s="25" t="s">
        <v>35</v>
      </c>
      <c r="N703" s="25">
        <v>73.900000000000006</v>
      </c>
      <c r="O703" s="25">
        <v>229</v>
      </c>
      <c r="P703" s="25">
        <v>1</v>
      </c>
    </row>
    <row r="704" spans="1:16" x14ac:dyDescent="0.25">
      <c r="A704" s="26">
        <v>45470.685648148145</v>
      </c>
      <c r="B704" s="25" t="s">
        <v>48</v>
      </c>
      <c r="C704" s="25" t="s">
        <v>1440</v>
      </c>
      <c r="D704" s="25" t="s">
        <v>1441</v>
      </c>
      <c r="E704" s="25">
        <v>426</v>
      </c>
      <c r="F704" s="25" t="s">
        <v>25</v>
      </c>
      <c r="G704" s="25">
        <v>22</v>
      </c>
      <c r="H704" s="25">
        <v>73.099999999999994</v>
      </c>
      <c r="I704" s="25" t="s">
        <v>38</v>
      </c>
      <c r="J704" s="25">
        <v>29</v>
      </c>
      <c r="K704" s="25">
        <v>392</v>
      </c>
      <c r="L704" s="25">
        <v>5</v>
      </c>
      <c r="M704" s="25" t="s">
        <v>21</v>
      </c>
      <c r="N704" s="25">
        <v>94.6</v>
      </c>
      <c r="O704" s="25">
        <v>236</v>
      </c>
      <c r="P704" s="25">
        <v>0</v>
      </c>
    </row>
    <row r="705" spans="1:16" x14ac:dyDescent="0.25">
      <c r="A705" s="26">
        <v>45545.824594907404</v>
      </c>
      <c r="B705" s="25" t="s">
        <v>16</v>
      </c>
      <c r="C705" s="25" t="s">
        <v>1442</v>
      </c>
      <c r="D705" s="25" t="s">
        <v>1443</v>
      </c>
      <c r="E705" s="25">
        <v>368</v>
      </c>
      <c r="F705" s="25" t="s">
        <v>19</v>
      </c>
      <c r="G705" s="25">
        <v>26.6</v>
      </c>
      <c r="H705" s="25">
        <v>74.900000000000006</v>
      </c>
      <c r="I705" s="25" t="s">
        <v>20</v>
      </c>
      <c r="J705" s="25">
        <v>28</v>
      </c>
      <c r="K705" s="25">
        <v>341</v>
      </c>
      <c r="L705" s="25">
        <v>6</v>
      </c>
      <c r="M705" s="25" t="s">
        <v>21</v>
      </c>
      <c r="N705" s="25">
        <v>97.1</v>
      </c>
      <c r="O705" s="25">
        <v>217</v>
      </c>
      <c r="P705" s="25">
        <v>1</v>
      </c>
    </row>
    <row r="706" spans="1:16" ht="30" customHeight="1" x14ac:dyDescent="0.25">
      <c r="A706" s="26">
        <v>45475.546423611115</v>
      </c>
      <c r="B706" s="25" t="s">
        <v>31</v>
      </c>
      <c r="C706" s="25" t="s">
        <v>1444</v>
      </c>
      <c r="D706" s="25" t="s">
        <v>1445</v>
      </c>
      <c r="E706" s="25">
        <v>173</v>
      </c>
      <c r="F706" s="25" t="s">
        <v>19</v>
      </c>
      <c r="G706" s="25">
        <v>24.9</v>
      </c>
      <c r="H706" s="25">
        <v>58.1</v>
      </c>
      <c r="I706" s="25" t="s">
        <v>38</v>
      </c>
      <c r="J706" s="25">
        <v>34</v>
      </c>
      <c r="K706" s="25">
        <v>287</v>
      </c>
      <c r="L706" s="25">
        <v>9</v>
      </c>
      <c r="M706" s="25" t="s">
        <v>51</v>
      </c>
      <c r="N706" s="25">
        <v>96.8</v>
      </c>
      <c r="O706" s="25">
        <v>131</v>
      </c>
      <c r="P706" s="25">
        <v>1</v>
      </c>
    </row>
    <row r="707" spans="1:16" x14ac:dyDescent="0.25">
      <c r="A707" s="26">
        <v>45535.846493055556</v>
      </c>
      <c r="B707" s="25" t="s">
        <v>31</v>
      </c>
      <c r="C707" s="25" t="s">
        <v>1446</v>
      </c>
      <c r="D707" s="25" t="s">
        <v>1447</v>
      </c>
      <c r="E707" s="25">
        <v>371</v>
      </c>
      <c r="F707" s="25" t="s">
        <v>25</v>
      </c>
      <c r="G707" s="25">
        <v>22.9</v>
      </c>
      <c r="H707" s="25">
        <v>67.2</v>
      </c>
      <c r="I707" s="25" t="s">
        <v>26</v>
      </c>
      <c r="J707" s="25">
        <v>35</v>
      </c>
      <c r="K707" s="25">
        <v>121</v>
      </c>
      <c r="L707" s="25">
        <v>8</v>
      </c>
      <c r="M707" s="25" t="s">
        <v>27</v>
      </c>
      <c r="N707" s="25">
        <v>90.9</v>
      </c>
      <c r="O707" s="25">
        <v>213</v>
      </c>
      <c r="P707" s="25">
        <v>1</v>
      </c>
    </row>
    <row r="708" spans="1:16" ht="30" customHeight="1" x14ac:dyDescent="0.25">
      <c r="A708" s="26">
        <v>45486.016655092593</v>
      </c>
      <c r="B708" s="25" t="s">
        <v>41</v>
      </c>
      <c r="C708" s="25" t="s">
        <v>1448</v>
      </c>
      <c r="D708" s="25" t="s">
        <v>1449</v>
      </c>
      <c r="E708" s="25">
        <v>199</v>
      </c>
      <c r="F708" s="25" t="s">
        <v>19</v>
      </c>
      <c r="G708" s="25">
        <v>28.5</v>
      </c>
      <c r="H708" s="25">
        <v>68.8</v>
      </c>
      <c r="I708" s="25" t="s">
        <v>26</v>
      </c>
      <c r="J708" s="25">
        <v>18</v>
      </c>
      <c r="K708" s="25">
        <v>201</v>
      </c>
      <c r="L708" s="25">
        <v>2</v>
      </c>
      <c r="M708" s="25" t="s">
        <v>51</v>
      </c>
      <c r="N708" s="25">
        <v>71.2</v>
      </c>
      <c r="O708" s="25">
        <v>181</v>
      </c>
      <c r="P708" s="25">
        <v>1</v>
      </c>
    </row>
    <row r="709" spans="1:16" x14ac:dyDescent="0.25">
      <c r="A709" s="26">
        <v>45482.425486111111</v>
      </c>
      <c r="B709" s="25" t="s">
        <v>41</v>
      </c>
      <c r="C709" s="25" t="s">
        <v>1450</v>
      </c>
      <c r="D709" s="25" t="s">
        <v>1451</v>
      </c>
      <c r="E709" s="25">
        <v>319</v>
      </c>
      <c r="F709" s="25" t="s">
        <v>25</v>
      </c>
      <c r="G709" s="25">
        <v>22.3</v>
      </c>
      <c r="H709" s="25">
        <v>50.8</v>
      </c>
      <c r="I709" s="25" t="s">
        <v>38</v>
      </c>
      <c r="J709" s="25">
        <v>52</v>
      </c>
      <c r="K709" s="25">
        <v>188</v>
      </c>
      <c r="L709" s="25">
        <v>8</v>
      </c>
      <c r="M709" s="25" t="s">
        <v>35</v>
      </c>
      <c r="N709" s="25">
        <v>66.400000000000006</v>
      </c>
      <c r="O709" s="25">
        <v>153</v>
      </c>
      <c r="P709" s="25">
        <v>0</v>
      </c>
    </row>
    <row r="710" spans="1:16" x14ac:dyDescent="0.25">
      <c r="A710" s="26">
        <v>45418.998773148145</v>
      </c>
      <c r="B710" s="25" t="s">
        <v>41</v>
      </c>
      <c r="C710" s="25" t="s">
        <v>1452</v>
      </c>
      <c r="D710" s="25" t="s">
        <v>1453</v>
      </c>
      <c r="E710" s="25">
        <v>437</v>
      </c>
      <c r="F710" s="25" t="s">
        <v>25</v>
      </c>
      <c r="G710" s="25">
        <v>29.1</v>
      </c>
      <c r="H710" s="25">
        <v>76.5</v>
      </c>
      <c r="I710" s="25" t="s">
        <v>38</v>
      </c>
      <c r="J710" s="25">
        <v>46</v>
      </c>
      <c r="K710" s="25">
        <v>122</v>
      </c>
      <c r="L710" s="25">
        <v>10</v>
      </c>
      <c r="M710" s="25" t="s">
        <v>21</v>
      </c>
      <c r="N710" s="25">
        <v>73.599999999999994</v>
      </c>
      <c r="O710" s="25">
        <v>111</v>
      </c>
      <c r="P710" s="25">
        <v>0</v>
      </c>
    </row>
    <row r="711" spans="1:16" ht="30" customHeight="1" x14ac:dyDescent="0.25">
      <c r="A711" s="26">
        <v>45298.625439814816</v>
      </c>
      <c r="B711" s="25" t="s">
        <v>31</v>
      </c>
      <c r="C711" s="25" t="s">
        <v>1454</v>
      </c>
      <c r="D711" s="25" t="s">
        <v>1455</v>
      </c>
      <c r="E711" s="25">
        <v>203</v>
      </c>
      <c r="F711" s="25" t="s">
        <v>19</v>
      </c>
      <c r="G711" s="25">
        <v>19.2</v>
      </c>
      <c r="H711" s="25">
        <v>63.6</v>
      </c>
      <c r="I711" s="25" t="s">
        <v>26</v>
      </c>
      <c r="J711" s="25">
        <v>31</v>
      </c>
      <c r="K711" s="25">
        <v>123</v>
      </c>
      <c r="L711" s="25">
        <v>9</v>
      </c>
      <c r="M711" s="25" t="s">
        <v>51</v>
      </c>
      <c r="N711" s="25">
        <v>84.1</v>
      </c>
      <c r="O711" s="25">
        <v>270</v>
      </c>
      <c r="P711" s="25">
        <v>1</v>
      </c>
    </row>
    <row r="712" spans="1:16" x14ac:dyDescent="0.25">
      <c r="A712" s="26">
        <v>45359.751921296294</v>
      </c>
      <c r="B712" s="25" t="s">
        <v>56</v>
      </c>
      <c r="C712" s="25" t="s">
        <v>1456</v>
      </c>
      <c r="D712" s="25" t="s">
        <v>1457</v>
      </c>
      <c r="E712" s="25">
        <v>466</v>
      </c>
      <c r="F712" s="25" t="s">
        <v>25</v>
      </c>
      <c r="G712" s="25">
        <v>26.3</v>
      </c>
      <c r="H712" s="25">
        <v>70.400000000000006</v>
      </c>
      <c r="I712" s="25" t="s">
        <v>26</v>
      </c>
      <c r="J712" s="25">
        <v>53</v>
      </c>
      <c r="K712" s="25">
        <v>291</v>
      </c>
      <c r="L712" s="25">
        <v>8</v>
      </c>
      <c r="M712" s="25" t="s">
        <v>27</v>
      </c>
      <c r="N712" s="25">
        <v>62.1</v>
      </c>
      <c r="O712" s="25">
        <v>287</v>
      </c>
      <c r="P712" s="25">
        <v>1</v>
      </c>
    </row>
    <row r="713" spans="1:16" x14ac:dyDescent="0.25">
      <c r="A713" s="26">
        <v>45355.393275462964</v>
      </c>
      <c r="B713" s="25" t="s">
        <v>56</v>
      </c>
      <c r="C713" s="25" t="s">
        <v>1458</v>
      </c>
      <c r="D713" s="25" t="s">
        <v>1459</v>
      </c>
      <c r="E713" s="25">
        <v>418</v>
      </c>
      <c r="F713" s="25" t="s">
        <v>25</v>
      </c>
      <c r="G713" s="25">
        <v>22.9</v>
      </c>
      <c r="H713" s="25">
        <v>62</v>
      </c>
      <c r="I713" s="25" t="s">
        <v>20</v>
      </c>
      <c r="J713" s="25">
        <v>26</v>
      </c>
      <c r="K713" s="25">
        <v>405</v>
      </c>
      <c r="L713" s="25">
        <v>1</v>
      </c>
      <c r="M713" s="25" t="s">
        <v>21</v>
      </c>
      <c r="N713" s="25">
        <v>62.3</v>
      </c>
      <c r="O713" s="25">
        <v>124</v>
      </c>
      <c r="P713" s="25">
        <v>0</v>
      </c>
    </row>
    <row r="714" spans="1:16" ht="30" customHeight="1" x14ac:dyDescent="0.25">
      <c r="A714" s="26">
        <v>45577.296620370369</v>
      </c>
      <c r="B714" s="25" t="s">
        <v>16</v>
      </c>
      <c r="C714" s="25" t="s">
        <v>1460</v>
      </c>
      <c r="D714" s="25" t="s">
        <v>1461</v>
      </c>
      <c r="E714" s="25">
        <v>124</v>
      </c>
      <c r="F714" s="25" t="s">
        <v>19</v>
      </c>
      <c r="G714" s="25">
        <v>26.7</v>
      </c>
      <c r="H714" s="25">
        <v>50.1</v>
      </c>
      <c r="I714" s="25" t="s">
        <v>38</v>
      </c>
      <c r="J714" s="25">
        <v>10</v>
      </c>
      <c r="K714" s="25">
        <v>460</v>
      </c>
      <c r="L714" s="25">
        <v>5</v>
      </c>
      <c r="M714" s="25" t="s">
        <v>51</v>
      </c>
      <c r="N714" s="25">
        <v>69.400000000000006</v>
      </c>
      <c r="O714" s="25">
        <v>130</v>
      </c>
      <c r="P714" s="25">
        <v>1</v>
      </c>
    </row>
    <row r="715" spans="1:16" x14ac:dyDescent="0.25">
      <c r="A715" s="26">
        <v>45511.220231481479</v>
      </c>
      <c r="B715" s="25" t="s">
        <v>95</v>
      </c>
      <c r="C715" s="25" t="s">
        <v>1462</v>
      </c>
      <c r="D715" s="25" t="s">
        <v>1463</v>
      </c>
      <c r="E715" s="25">
        <v>322</v>
      </c>
      <c r="F715" s="25" t="s">
        <v>19</v>
      </c>
      <c r="G715" s="25">
        <v>25</v>
      </c>
      <c r="H715" s="25">
        <v>57.7</v>
      </c>
      <c r="I715" s="25" t="s">
        <v>38</v>
      </c>
      <c r="J715" s="25">
        <v>15</v>
      </c>
      <c r="K715" s="25">
        <v>190</v>
      </c>
      <c r="L715" s="25">
        <v>4</v>
      </c>
      <c r="M715" s="25" t="s">
        <v>35</v>
      </c>
      <c r="N715" s="25">
        <v>86.8</v>
      </c>
      <c r="O715" s="25">
        <v>159</v>
      </c>
      <c r="P715" s="25">
        <v>1</v>
      </c>
    </row>
    <row r="716" spans="1:16" x14ac:dyDescent="0.25">
      <c r="A716" s="26">
        <v>45378.875509259262</v>
      </c>
      <c r="B716" s="25" t="s">
        <v>56</v>
      </c>
      <c r="C716" s="25" t="s">
        <v>1464</v>
      </c>
      <c r="D716" s="25" t="s">
        <v>1465</v>
      </c>
      <c r="E716" s="25">
        <v>351</v>
      </c>
      <c r="F716" s="25" t="s">
        <v>34</v>
      </c>
      <c r="G716" s="25">
        <v>25.1</v>
      </c>
      <c r="H716" s="25">
        <v>74.2</v>
      </c>
      <c r="I716" s="25" t="s">
        <v>26</v>
      </c>
      <c r="J716" s="25">
        <v>54</v>
      </c>
      <c r="K716" s="25">
        <v>223</v>
      </c>
      <c r="L716" s="25">
        <v>9</v>
      </c>
      <c r="M716" s="25" t="s">
        <v>35</v>
      </c>
      <c r="N716" s="25">
        <v>62.2</v>
      </c>
      <c r="O716" s="25">
        <v>267</v>
      </c>
      <c r="P716" s="25">
        <v>1</v>
      </c>
    </row>
    <row r="717" spans="1:16" ht="30" customHeight="1" x14ac:dyDescent="0.25">
      <c r="A717" s="26">
        <v>45568.31890046296</v>
      </c>
      <c r="B717" s="25" t="s">
        <v>41</v>
      </c>
      <c r="C717" s="25" t="s">
        <v>1466</v>
      </c>
      <c r="D717" s="25" t="s">
        <v>1467</v>
      </c>
      <c r="E717" s="25">
        <v>350</v>
      </c>
      <c r="F717" s="25" t="s">
        <v>25</v>
      </c>
      <c r="G717" s="25">
        <v>27</v>
      </c>
      <c r="H717" s="25">
        <v>66.7</v>
      </c>
      <c r="I717" s="25" t="s">
        <v>20</v>
      </c>
      <c r="J717" s="25">
        <v>56</v>
      </c>
      <c r="K717" s="25">
        <v>207</v>
      </c>
      <c r="L717" s="25">
        <v>2</v>
      </c>
      <c r="M717" s="25" t="s">
        <v>51</v>
      </c>
      <c r="N717" s="25">
        <v>64</v>
      </c>
      <c r="O717" s="25">
        <v>248</v>
      </c>
      <c r="P717" s="25">
        <v>0</v>
      </c>
    </row>
    <row r="718" spans="1:16" ht="30" customHeight="1" x14ac:dyDescent="0.25">
      <c r="A718" s="26">
        <v>45467.05914351852</v>
      </c>
      <c r="B718" s="25" t="s">
        <v>16</v>
      </c>
      <c r="C718" s="25" t="s">
        <v>1468</v>
      </c>
      <c r="D718" s="25" t="s">
        <v>1469</v>
      </c>
      <c r="E718" s="25">
        <v>179</v>
      </c>
      <c r="F718" s="25" t="s">
        <v>34</v>
      </c>
      <c r="G718" s="25">
        <v>20.6</v>
      </c>
      <c r="H718" s="25">
        <v>53.6</v>
      </c>
      <c r="I718" s="25" t="s">
        <v>26</v>
      </c>
      <c r="J718" s="25">
        <v>36</v>
      </c>
      <c r="K718" s="25">
        <v>480</v>
      </c>
      <c r="L718" s="25">
        <v>7</v>
      </c>
      <c r="M718" s="25" t="s">
        <v>51</v>
      </c>
      <c r="N718" s="25">
        <v>72.099999999999994</v>
      </c>
      <c r="O718" s="25">
        <v>246</v>
      </c>
      <c r="P718" s="25">
        <v>1</v>
      </c>
    </row>
    <row r="719" spans="1:16" x14ac:dyDescent="0.25">
      <c r="A719" s="26">
        <v>45321.356168981481</v>
      </c>
      <c r="B719" s="25" t="s">
        <v>22</v>
      </c>
      <c r="C719" s="25" t="s">
        <v>1470</v>
      </c>
      <c r="D719" s="25" t="s">
        <v>1471</v>
      </c>
      <c r="E719" s="25">
        <v>338</v>
      </c>
      <c r="F719" s="25" t="s">
        <v>34</v>
      </c>
      <c r="G719" s="25">
        <v>27.3</v>
      </c>
      <c r="H719" s="25">
        <v>70.099999999999994</v>
      </c>
      <c r="I719" s="25" t="s">
        <v>26</v>
      </c>
      <c r="J719" s="25">
        <v>29</v>
      </c>
      <c r="K719" s="25">
        <v>129</v>
      </c>
      <c r="L719" s="25">
        <v>1</v>
      </c>
      <c r="M719" s="25" t="s">
        <v>21</v>
      </c>
      <c r="N719" s="25">
        <v>82.4</v>
      </c>
      <c r="O719" s="25">
        <v>281</v>
      </c>
      <c r="P719" s="25">
        <v>1</v>
      </c>
    </row>
    <row r="720" spans="1:16" x14ac:dyDescent="0.25">
      <c r="A720" s="26">
        <v>45306.325439814813</v>
      </c>
      <c r="B720" s="25" t="s">
        <v>28</v>
      </c>
      <c r="C720" s="25" t="s">
        <v>1472</v>
      </c>
      <c r="D720" s="25" t="s">
        <v>1473</v>
      </c>
      <c r="E720" s="25">
        <v>334</v>
      </c>
      <c r="F720" s="25" t="s">
        <v>34</v>
      </c>
      <c r="G720" s="25">
        <v>28.9</v>
      </c>
      <c r="H720" s="25">
        <v>62.8</v>
      </c>
      <c r="I720" s="25" t="s">
        <v>38</v>
      </c>
      <c r="J720" s="25">
        <v>15</v>
      </c>
      <c r="K720" s="25">
        <v>106</v>
      </c>
      <c r="L720" s="25">
        <v>5</v>
      </c>
      <c r="M720" s="25" t="s">
        <v>27</v>
      </c>
      <c r="N720" s="25">
        <v>97.2</v>
      </c>
      <c r="O720" s="25">
        <v>127</v>
      </c>
      <c r="P720" s="25">
        <v>0</v>
      </c>
    </row>
    <row r="721" spans="1:16" x14ac:dyDescent="0.25">
      <c r="A721" s="26">
        <v>45656.344282407408</v>
      </c>
      <c r="B721" s="25" t="s">
        <v>28</v>
      </c>
      <c r="C721" s="25" t="s">
        <v>1474</v>
      </c>
      <c r="D721" s="25" t="s">
        <v>1475</v>
      </c>
      <c r="E721" s="25">
        <v>411</v>
      </c>
      <c r="F721" s="25" t="s">
        <v>25</v>
      </c>
      <c r="G721" s="25">
        <v>19</v>
      </c>
      <c r="H721" s="25">
        <v>55.4</v>
      </c>
      <c r="I721" s="25" t="s">
        <v>38</v>
      </c>
      <c r="J721" s="25">
        <v>14</v>
      </c>
      <c r="K721" s="25">
        <v>409</v>
      </c>
      <c r="L721" s="25">
        <v>7</v>
      </c>
      <c r="M721" s="25" t="s">
        <v>21</v>
      </c>
      <c r="N721" s="25">
        <v>94.5</v>
      </c>
      <c r="O721" s="25">
        <v>192</v>
      </c>
      <c r="P721" s="25">
        <v>0</v>
      </c>
    </row>
    <row r="722" spans="1:16" x14ac:dyDescent="0.25">
      <c r="A722" s="26">
        <v>45505.904722222222</v>
      </c>
      <c r="B722" s="25" t="s">
        <v>16</v>
      </c>
      <c r="C722" s="25" t="s">
        <v>1476</v>
      </c>
      <c r="D722" s="25" t="s">
        <v>1477</v>
      </c>
      <c r="E722" s="25">
        <v>481</v>
      </c>
      <c r="F722" s="25" t="s">
        <v>19</v>
      </c>
      <c r="G722" s="25">
        <v>22.8</v>
      </c>
      <c r="H722" s="25">
        <v>74.7</v>
      </c>
      <c r="I722" s="25" t="s">
        <v>20</v>
      </c>
      <c r="J722" s="25">
        <v>42</v>
      </c>
      <c r="K722" s="25">
        <v>157</v>
      </c>
      <c r="L722" s="25">
        <v>1</v>
      </c>
      <c r="M722" s="25" t="s">
        <v>27</v>
      </c>
      <c r="N722" s="25">
        <v>65.2</v>
      </c>
      <c r="O722" s="25">
        <v>259</v>
      </c>
      <c r="P722" s="25">
        <v>1</v>
      </c>
    </row>
    <row r="723" spans="1:16" ht="30" customHeight="1" x14ac:dyDescent="0.25">
      <c r="A723" s="26">
        <v>45429.828819444447</v>
      </c>
      <c r="B723" s="25" t="s">
        <v>48</v>
      </c>
      <c r="C723" s="25" t="s">
        <v>1478</v>
      </c>
      <c r="D723" s="25" t="s">
        <v>1479</v>
      </c>
      <c r="E723" s="25">
        <v>224</v>
      </c>
      <c r="F723" s="25" t="s">
        <v>19</v>
      </c>
      <c r="G723" s="25">
        <v>26.4</v>
      </c>
      <c r="H723" s="25">
        <v>75.400000000000006</v>
      </c>
      <c r="I723" s="25" t="s">
        <v>20</v>
      </c>
      <c r="J723" s="25">
        <v>23</v>
      </c>
      <c r="K723" s="25">
        <v>234</v>
      </c>
      <c r="L723" s="25">
        <v>4</v>
      </c>
      <c r="M723" s="25" t="s">
        <v>51</v>
      </c>
      <c r="N723" s="25">
        <v>86.6</v>
      </c>
      <c r="O723" s="25">
        <v>131</v>
      </c>
      <c r="P723" s="25">
        <v>1</v>
      </c>
    </row>
    <row r="724" spans="1:16" x14ac:dyDescent="0.25">
      <c r="A724" s="26">
        <v>45326.226805555554</v>
      </c>
      <c r="B724" s="25" t="s">
        <v>56</v>
      </c>
      <c r="C724" s="25" t="s">
        <v>1480</v>
      </c>
      <c r="D724" s="25" t="s">
        <v>1481</v>
      </c>
      <c r="E724" s="25">
        <v>377</v>
      </c>
      <c r="F724" s="25" t="s">
        <v>19</v>
      </c>
      <c r="G724" s="25">
        <v>19.5</v>
      </c>
      <c r="H724" s="25">
        <v>51</v>
      </c>
      <c r="I724" s="25" t="s">
        <v>20</v>
      </c>
      <c r="J724" s="25">
        <v>11</v>
      </c>
      <c r="K724" s="25">
        <v>226</v>
      </c>
      <c r="L724" s="25">
        <v>8</v>
      </c>
      <c r="M724" s="25" t="s">
        <v>27</v>
      </c>
      <c r="N724" s="25">
        <v>64.099999999999994</v>
      </c>
      <c r="O724" s="25">
        <v>266</v>
      </c>
      <c r="P724" s="25">
        <v>1</v>
      </c>
    </row>
    <row r="725" spans="1:16" x14ac:dyDescent="0.25">
      <c r="A725" s="26">
        <v>45491.550532407404</v>
      </c>
      <c r="B725" s="25" t="s">
        <v>16</v>
      </c>
      <c r="C725" s="25" t="s">
        <v>1482</v>
      </c>
      <c r="D725" s="25" t="s">
        <v>1483</v>
      </c>
      <c r="E725" s="25">
        <v>283</v>
      </c>
      <c r="F725" s="25" t="s">
        <v>19</v>
      </c>
      <c r="G725" s="25">
        <v>19.600000000000001</v>
      </c>
      <c r="H725" s="25">
        <v>75.5</v>
      </c>
      <c r="I725" s="25" t="s">
        <v>26</v>
      </c>
      <c r="J725" s="25">
        <v>49</v>
      </c>
      <c r="K725" s="25">
        <v>496</v>
      </c>
      <c r="L725" s="25">
        <v>6</v>
      </c>
      <c r="M725" s="25" t="s">
        <v>27</v>
      </c>
      <c r="N725" s="25">
        <v>78.900000000000006</v>
      </c>
      <c r="O725" s="25">
        <v>130</v>
      </c>
      <c r="P725" s="25">
        <v>1</v>
      </c>
    </row>
    <row r="726" spans="1:16" x14ac:dyDescent="0.25">
      <c r="A726" s="26">
        <v>45292.732499999998</v>
      </c>
      <c r="B726" s="25" t="s">
        <v>28</v>
      </c>
      <c r="C726" s="25" t="s">
        <v>1484</v>
      </c>
      <c r="D726" s="25" t="s">
        <v>1485</v>
      </c>
      <c r="E726" s="25">
        <v>174</v>
      </c>
      <c r="F726" s="25" t="s">
        <v>19</v>
      </c>
      <c r="G726" s="25">
        <v>20.2</v>
      </c>
      <c r="H726" s="25">
        <v>74.2</v>
      </c>
      <c r="I726" s="25" t="s">
        <v>20</v>
      </c>
      <c r="J726" s="25">
        <v>49</v>
      </c>
      <c r="K726" s="25">
        <v>403</v>
      </c>
      <c r="L726" s="25">
        <v>5</v>
      </c>
      <c r="M726" s="25" t="s">
        <v>21</v>
      </c>
      <c r="N726" s="25">
        <v>83.5</v>
      </c>
      <c r="O726" s="25">
        <v>227</v>
      </c>
      <c r="P726" s="25">
        <v>1</v>
      </c>
    </row>
    <row r="727" spans="1:16" x14ac:dyDescent="0.25">
      <c r="A727" s="26">
        <v>45543.603668981479</v>
      </c>
      <c r="B727" s="25" t="s">
        <v>41</v>
      </c>
      <c r="C727" s="25" t="s">
        <v>1486</v>
      </c>
      <c r="D727" s="25" t="s">
        <v>1487</v>
      </c>
      <c r="E727" s="25">
        <v>440</v>
      </c>
      <c r="F727" s="25" t="s">
        <v>34</v>
      </c>
      <c r="G727" s="25">
        <v>20.399999999999999</v>
      </c>
      <c r="H727" s="25">
        <v>62.4</v>
      </c>
      <c r="I727" s="25" t="s">
        <v>38</v>
      </c>
      <c r="J727" s="25">
        <v>35</v>
      </c>
      <c r="K727" s="25">
        <v>199</v>
      </c>
      <c r="L727" s="25">
        <v>10</v>
      </c>
      <c r="M727" s="25" t="s">
        <v>21</v>
      </c>
      <c r="N727" s="25">
        <v>80.3</v>
      </c>
      <c r="O727" s="25">
        <v>269</v>
      </c>
      <c r="P727" s="25">
        <v>0</v>
      </c>
    </row>
    <row r="728" spans="1:16" x14ac:dyDescent="0.25">
      <c r="A728" s="26">
        <v>45348.142789351848</v>
      </c>
      <c r="B728" s="25" t="s">
        <v>48</v>
      </c>
      <c r="C728" s="25" t="s">
        <v>1488</v>
      </c>
      <c r="D728" s="25" t="s">
        <v>1489</v>
      </c>
      <c r="E728" s="25">
        <v>497</v>
      </c>
      <c r="F728" s="25" t="s">
        <v>19</v>
      </c>
      <c r="G728" s="25">
        <v>21.8</v>
      </c>
      <c r="H728" s="25">
        <v>71.3</v>
      </c>
      <c r="I728" s="25" t="s">
        <v>26</v>
      </c>
      <c r="J728" s="25">
        <v>22</v>
      </c>
      <c r="K728" s="25">
        <v>424</v>
      </c>
      <c r="L728" s="25">
        <v>2</v>
      </c>
      <c r="M728" s="25" t="s">
        <v>27</v>
      </c>
      <c r="N728" s="25">
        <v>79.8</v>
      </c>
      <c r="O728" s="25">
        <v>168</v>
      </c>
      <c r="P728" s="25">
        <v>1</v>
      </c>
    </row>
    <row r="729" spans="1:16" x14ac:dyDescent="0.25">
      <c r="A729" s="26">
        <v>45398.19263888889</v>
      </c>
      <c r="B729" s="25" t="s">
        <v>16</v>
      </c>
      <c r="C729" s="25" t="s">
        <v>1490</v>
      </c>
      <c r="D729" s="25" t="s">
        <v>1491</v>
      </c>
      <c r="E729" s="25">
        <v>337</v>
      </c>
      <c r="F729" s="25" t="s">
        <v>34</v>
      </c>
      <c r="G729" s="25">
        <v>21.1</v>
      </c>
      <c r="H729" s="25">
        <v>64.400000000000006</v>
      </c>
      <c r="I729" s="25" t="s">
        <v>20</v>
      </c>
      <c r="J729" s="25">
        <v>49</v>
      </c>
      <c r="K729" s="25">
        <v>226</v>
      </c>
      <c r="L729" s="25">
        <v>2</v>
      </c>
      <c r="M729" s="25" t="s">
        <v>35</v>
      </c>
      <c r="N729" s="25">
        <v>89.6</v>
      </c>
      <c r="O729" s="25">
        <v>298</v>
      </c>
      <c r="P729" s="25">
        <v>0</v>
      </c>
    </row>
    <row r="730" spans="1:16" x14ac:dyDescent="0.25">
      <c r="A730" s="26">
        <v>45637.736006944448</v>
      </c>
      <c r="B730" s="25" t="s">
        <v>28</v>
      </c>
      <c r="C730" s="25" t="s">
        <v>1492</v>
      </c>
      <c r="D730" s="25" t="s">
        <v>1493</v>
      </c>
      <c r="E730" s="25">
        <v>315</v>
      </c>
      <c r="F730" s="25" t="s">
        <v>34</v>
      </c>
      <c r="G730" s="25">
        <v>21.4</v>
      </c>
      <c r="H730" s="25">
        <v>62.6</v>
      </c>
      <c r="I730" s="25" t="s">
        <v>26</v>
      </c>
      <c r="J730" s="25">
        <v>27</v>
      </c>
      <c r="K730" s="25">
        <v>482</v>
      </c>
      <c r="L730" s="25">
        <v>9</v>
      </c>
      <c r="M730" s="25" t="s">
        <v>35</v>
      </c>
      <c r="N730" s="25">
        <v>77.2</v>
      </c>
      <c r="O730" s="25">
        <v>153</v>
      </c>
      <c r="P730" s="25">
        <v>1</v>
      </c>
    </row>
    <row r="731" spans="1:16" x14ac:dyDescent="0.25">
      <c r="A731" s="26">
        <v>45551.532094907408</v>
      </c>
      <c r="B731" s="25" t="s">
        <v>16</v>
      </c>
      <c r="C731" s="25" t="s">
        <v>1494</v>
      </c>
      <c r="D731" s="25" t="s">
        <v>1495</v>
      </c>
      <c r="E731" s="25">
        <v>219</v>
      </c>
      <c r="F731" s="25" t="s">
        <v>34</v>
      </c>
      <c r="G731" s="25">
        <v>18.100000000000001</v>
      </c>
      <c r="H731" s="25">
        <v>64.599999999999994</v>
      </c>
      <c r="I731" s="25" t="s">
        <v>38</v>
      </c>
      <c r="J731" s="25">
        <v>24</v>
      </c>
      <c r="K731" s="25">
        <v>179</v>
      </c>
      <c r="L731" s="25">
        <v>8</v>
      </c>
      <c r="M731" s="25" t="s">
        <v>27</v>
      </c>
      <c r="N731" s="25">
        <v>83.3</v>
      </c>
      <c r="O731" s="25">
        <v>202</v>
      </c>
      <c r="P731" s="25">
        <v>0</v>
      </c>
    </row>
    <row r="732" spans="1:16" ht="30" customHeight="1" x14ac:dyDescent="0.25">
      <c r="A732" s="26">
        <v>45314.786759259259</v>
      </c>
      <c r="B732" s="25" t="s">
        <v>56</v>
      </c>
      <c r="C732" s="25" t="s">
        <v>1496</v>
      </c>
      <c r="D732" s="25" t="s">
        <v>1497</v>
      </c>
      <c r="E732" s="25">
        <v>247</v>
      </c>
      <c r="F732" s="25" t="s">
        <v>19</v>
      </c>
      <c r="G732" s="25">
        <v>28.3</v>
      </c>
      <c r="H732" s="25">
        <v>76.2</v>
      </c>
      <c r="I732" s="25" t="s">
        <v>38</v>
      </c>
      <c r="J732" s="25">
        <v>53</v>
      </c>
      <c r="K732" s="25">
        <v>190</v>
      </c>
      <c r="L732" s="25">
        <v>10</v>
      </c>
      <c r="M732" s="25" t="s">
        <v>51</v>
      </c>
      <c r="N732" s="25">
        <v>93.6</v>
      </c>
      <c r="O732" s="25">
        <v>111</v>
      </c>
      <c r="P732" s="25">
        <v>1</v>
      </c>
    </row>
    <row r="733" spans="1:16" ht="30" customHeight="1" x14ac:dyDescent="0.25">
      <c r="A733" s="26">
        <v>45379.306585648148</v>
      </c>
      <c r="B733" s="25" t="s">
        <v>31</v>
      </c>
      <c r="C733" s="25" t="s">
        <v>1498</v>
      </c>
      <c r="D733" s="25" t="s">
        <v>1499</v>
      </c>
      <c r="E733" s="25">
        <v>148</v>
      </c>
      <c r="F733" s="25" t="s">
        <v>19</v>
      </c>
      <c r="G733" s="25">
        <v>19</v>
      </c>
      <c r="H733" s="25">
        <v>50.3</v>
      </c>
      <c r="I733" s="25" t="s">
        <v>20</v>
      </c>
      <c r="J733" s="25">
        <v>50</v>
      </c>
      <c r="K733" s="25">
        <v>481</v>
      </c>
      <c r="L733" s="25">
        <v>2</v>
      </c>
      <c r="M733" s="25" t="s">
        <v>51</v>
      </c>
      <c r="N733" s="25">
        <v>87.3</v>
      </c>
      <c r="O733" s="25">
        <v>243</v>
      </c>
      <c r="P733" s="25">
        <v>1</v>
      </c>
    </row>
    <row r="734" spans="1:16" x14ac:dyDescent="0.25">
      <c r="A734" s="26">
        <v>45410.150150462963</v>
      </c>
      <c r="B734" s="25" t="s">
        <v>22</v>
      </c>
      <c r="C734" s="25" t="s">
        <v>1500</v>
      </c>
      <c r="D734" s="25" t="s">
        <v>1501</v>
      </c>
      <c r="E734" s="25">
        <v>205</v>
      </c>
      <c r="F734" s="25" t="s">
        <v>25</v>
      </c>
      <c r="G734" s="25">
        <v>23.4</v>
      </c>
      <c r="H734" s="25">
        <v>61.4</v>
      </c>
      <c r="I734" s="25" t="s">
        <v>38</v>
      </c>
      <c r="J734" s="25">
        <v>31</v>
      </c>
      <c r="K734" s="25">
        <v>279</v>
      </c>
      <c r="L734" s="25">
        <v>2</v>
      </c>
      <c r="M734" s="25" t="s">
        <v>35</v>
      </c>
      <c r="N734" s="25">
        <v>79.099999999999994</v>
      </c>
      <c r="O734" s="25">
        <v>118</v>
      </c>
      <c r="P734" s="25">
        <v>0</v>
      </c>
    </row>
    <row r="735" spans="1:16" x14ac:dyDescent="0.25">
      <c r="A735" s="26">
        <v>45394.823217592595</v>
      </c>
      <c r="B735" s="25" t="s">
        <v>48</v>
      </c>
      <c r="C735" s="25" t="s">
        <v>1502</v>
      </c>
      <c r="D735" s="25" t="s">
        <v>1503</v>
      </c>
      <c r="E735" s="25">
        <v>243</v>
      </c>
      <c r="F735" s="25" t="s">
        <v>25</v>
      </c>
      <c r="G735" s="25">
        <v>28.9</v>
      </c>
      <c r="H735" s="25">
        <v>57.8</v>
      </c>
      <c r="I735" s="25" t="s">
        <v>38</v>
      </c>
      <c r="J735" s="25">
        <v>33</v>
      </c>
      <c r="K735" s="25">
        <v>277</v>
      </c>
      <c r="L735" s="25">
        <v>10</v>
      </c>
      <c r="M735" s="25" t="s">
        <v>35</v>
      </c>
      <c r="N735" s="25">
        <v>84.4</v>
      </c>
      <c r="O735" s="25">
        <v>151</v>
      </c>
      <c r="P735" s="25">
        <v>0</v>
      </c>
    </row>
    <row r="736" spans="1:16" x14ac:dyDescent="0.25">
      <c r="A736" s="26">
        <v>45656.105219907404</v>
      </c>
      <c r="B736" s="25" t="s">
        <v>56</v>
      </c>
      <c r="C736" s="25" t="s">
        <v>1504</v>
      </c>
      <c r="D736" s="25" t="s">
        <v>1505</v>
      </c>
      <c r="E736" s="25">
        <v>226</v>
      </c>
      <c r="F736" s="25" t="s">
        <v>19</v>
      </c>
      <c r="G736" s="25">
        <v>21</v>
      </c>
      <c r="H736" s="25">
        <v>69.400000000000006</v>
      </c>
      <c r="I736" s="25" t="s">
        <v>20</v>
      </c>
      <c r="J736" s="25">
        <v>27</v>
      </c>
      <c r="K736" s="25">
        <v>406</v>
      </c>
      <c r="L736" s="25">
        <v>5</v>
      </c>
      <c r="M736" s="25" t="s">
        <v>21</v>
      </c>
      <c r="N736" s="25">
        <v>99.9</v>
      </c>
      <c r="O736" s="25">
        <v>285</v>
      </c>
      <c r="P736" s="25">
        <v>1</v>
      </c>
    </row>
    <row r="737" spans="1:16" x14ac:dyDescent="0.25">
      <c r="A737" s="26">
        <v>45504.716192129628</v>
      </c>
      <c r="B737" s="25" t="s">
        <v>48</v>
      </c>
      <c r="C737" s="25" t="s">
        <v>1506</v>
      </c>
      <c r="D737" s="25" t="s">
        <v>1507</v>
      </c>
      <c r="E737" s="25">
        <v>350</v>
      </c>
      <c r="F737" s="25" t="s">
        <v>34</v>
      </c>
      <c r="G737" s="25">
        <v>23.7</v>
      </c>
      <c r="H737" s="25">
        <v>59.8</v>
      </c>
      <c r="I737" s="25" t="s">
        <v>20</v>
      </c>
      <c r="J737" s="25">
        <v>42</v>
      </c>
      <c r="K737" s="25">
        <v>188</v>
      </c>
      <c r="L737" s="25">
        <v>10</v>
      </c>
      <c r="M737" s="25" t="s">
        <v>21</v>
      </c>
      <c r="N737" s="25">
        <v>98.6</v>
      </c>
      <c r="O737" s="25">
        <v>248</v>
      </c>
      <c r="P737" s="25">
        <v>0</v>
      </c>
    </row>
    <row r="738" spans="1:16" ht="30" customHeight="1" x14ac:dyDescent="0.25">
      <c r="A738" s="26">
        <v>45295.832118055558</v>
      </c>
      <c r="B738" s="25" t="s">
        <v>41</v>
      </c>
      <c r="C738" s="25" t="s">
        <v>1508</v>
      </c>
      <c r="D738" s="25" t="s">
        <v>1509</v>
      </c>
      <c r="E738" s="25">
        <v>272</v>
      </c>
      <c r="F738" s="25" t="s">
        <v>19</v>
      </c>
      <c r="G738" s="25">
        <v>23.4</v>
      </c>
      <c r="H738" s="25">
        <v>57.2</v>
      </c>
      <c r="I738" s="25" t="s">
        <v>38</v>
      </c>
      <c r="J738" s="25">
        <v>51</v>
      </c>
      <c r="K738" s="25">
        <v>419</v>
      </c>
      <c r="L738" s="25">
        <v>6</v>
      </c>
      <c r="M738" s="25" t="s">
        <v>51</v>
      </c>
      <c r="N738" s="25">
        <v>63.1</v>
      </c>
      <c r="O738" s="25">
        <v>159</v>
      </c>
      <c r="P738" s="25">
        <v>1</v>
      </c>
    </row>
    <row r="739" spans="1:16" x14ac:dyDescent="0.25">
      <c r="A739" s="26">
        <v>45327.033541666664</v>
      </c>
      <c r="B739" s="25" t="s">
        <v>48</v>
      </c>
      <c r="C739" s="25" t="s">
        <v>1510</v>
      </c>
      <c r="D739" s="25" t="s">
        <v>1511</v>
      </c>
      <c r="E739" s="25">
        <v>378</v>
      </c>
      <c r="F739" s="25" t="s">
        <v>25</v>
      </c>
      <c r="G739" s="25">
        <v>21</v>
      </c>
      <c r="H739" s="25">
        <v>60.8</v>
      </c>
      <c r="I739" s="25" t="s">
        <v>26</v>
      </c>
      <c r="J739" s="25">
        <v>30</v>
      </c>
      <c r="K739" s="25">
        <v>318</v>
      </c>
      <c r="L739" s="25">
        <v>3</v>
      </c>
      <c r="M739" s="25" t="s">
        <v>27</v>
      </c>
      <c r="N739" s="25">
        <v>84.8</v>
      </c>
      <c r="O739" s="25">
        <v>181</v>
      </c>
      <c r="P739" s="25">
        <v>1</v>
      </c>
    </row>
    <row r="740" spans="1:16" x14ac:dyDescent="0.25">
      <c r="A740" s="26">
        <v>45562.723703703705</v>
      </c>
      <c r="B740" s="25" t="s">
        <v>28</v>
      </c>
      <c r="C740" s="25" t="s">
        <v>1512</v>
      </c>
      <c r="D740" s="25" t="s">
        <v>1513</v>
      </c>
      <c r="E740" s="25">
        <v>127</v>
      </c>
      <c r="F740" s="25" t="s">
        <v>19</v>
      </c>
      <c r="G740" s="25">
        <v>23.7</v>
      </c>
      <c r="H740" s="25">
        <v>51.2</v>
      </c>
      <c r="I740" s="25" t="s">
        <v>26</v>
      </c>
      <c r="J740" s="25">
        <v>38</v>
      </c>
      <c r="K740" s="25">
        <v>463</v>
      </c>
      <c r="L740" s="25">
        <v>1</v>
      </c>
      <c r="M740" s="25" t="s">
        <v>35</v>
      </c>
      <c r="N740" s="25">
        <v>78.900000000000006</v>
      </c>
      <c r="O740" s="25">
        <v>272</v>
      </c>
      <c r="P740" s="25">
        <v>1</v>
      </c>
    </row>
    <row r="741" spans="1:16" ht="30" customHeight="1" x14ac:dyDescent="0.25">
      <c r="A741" s="26">
        <v>45572.601435185185</v>
      </c>
      <c r="B741" s="25" t="s">
        <v>41</v>
      </c>
      <c r="C741" s="25" t="s">
        <v>1514</v>
      </c>
      <c r="D741" s="25" t="s">
        <v>1515</v>
      </c>
      <c r="E741" s="25">
        <v>275</v>
      </c>
      <c r="F741" s="25" t="s">
        <v>25</v>
      </c>
      <c r="G741" s="25">
        <v>23</v>
      </c>
      <c r="H741" s="25">
        <v>55.7</v>
      </c>
      <c r="I741" s="25" t="s">
        <v>38</v>
      </c>
      <c r="J741" s="25">
        <v>39</v>
      </c>
      <c r="K741" s="25">
        <v>264</v>
      </c>
      <c r="L741" s="25">
        <v>1</v>
      </c>
      <c r="M741" s="25" t="s">
        <v>51</v>
      </c>
      <c r="N741" s="25">
        <v>64.400000000000006</v>
      </c>
      <c r="O741" s="25">
        <v>281</v>
      </c>
      <c r="P741" s="25">
        <v>0</v>
      </c>
    </row>
    <row r="742" spans="1:16" x14ac:dyDescent="0.25">
      <c r="A742" s="26">
        <v>45300.97111111111</v>
      </c>
      <c r="B742" s="25" t="s">
        <v>16</v>
      </c>
      <c r="C742" s="25" t="s">
        <v>1516</v>
      </c>
      <c r="D742" s="25" t="s">
        <v>1517</v>
      </c>
      <c r="E742" s="25">
        <v>483</v>
      </c>
      <c r="F742" s="25" t="s">
        <v>19</v>
      </c>
      <c r="G742" s="25">
        <v>28.6</v>
      </c>
      <c r="H742" s="25">
        <v>72.400000000000006</v>
      </c>
      <c r="I742" s="25" t="s">
        <v>38</v>
      </c>
      <c r="J742" s="25">
        <v>51</v>
      </c>
      <c r="K742" s="25">
        <v>243</v>
      </c>
      <c r="L742" s="25">
        <v>1</v>
      </c>
      <c r="M742" s="25" t="s">
        <v>35</v>
      </c>
      <c r="N742" s="25">
        <v>73.7</v>
      </c>
      <c r="O742" s="25">
        <v>167</v>
      </c>
      <c r="P742" s="25">
        <v>1</v>
      </c>
    </row>
    <row r="743" spans="1:16" x14ac:dyDescent="0.25">
      <c r="A743" s="26">
        <v>45292.770335648151</v>
      </c>
      <c r="B743" s="25" t="s">
        <v>61</v>
      </c>
      <c r="C743" s="25" t="s">
        <v>1518</v>
      </c>
      <c r="D743" s="25" t="s">
        <v>1519</v>
      </c>
      <c r="E743" s="25">
        <v>179</v>
      </c>
      <c r="F743" s="25" t="s">
        <v>19</v>
      </c>
      <c r="G743" s="25">
        <v>25.5</v>
      </c>
      <c r="H743" s="25">
        <v>70.900000000000006</v>
      </c>
      <c r="I743" s="25" t="s">
        <v>20</v>
      </c>
      <c r="J743" s="25">
        <v>12</v>
      </c>
      <c r="K743" s="25">
        <v>427</v>
      </c>
      <c r="L743" s="25">
        <v>9</v>
      </c>
      <c r="M743" s="25" t="s">
        <v>21</v>
      </c>
      <c r="N743" s="25">
        <v>60.3</v>
      </c>
      <c r="O743" s="25">
        <v>157</v>
      </c>
      <c r="P743" s="25">
        <v>1</v>
      </c>
    </row>
    <row r="744" spans="1:16" x14ac:dyDescent="0.25">
      <c r="A744" s="26">
        <v>45644.350648148145</v>
      </c>
      <c r="B744" s="25" t="s">
        <v>61</v>
      </c>
      <c r="C744" s="25" t="s">
        <v>1520</v>
      </c>
      <c r="D744" s="25" t="s">
        <v>1521</v>
      </c>
      <c r="E744" s="25">
        <v>325</v>
      </c>
      <c r="F744" s="25" t="s">
        <v>34</v>
      </c>
      <c r="G744" s="25">
        <v>26.4</v>
      </c>
      <c r="H744" s="25">
        <v>53.7</v>
      </c>
      <c r="I744" s="25" t="s">
        <v>20</v>
      </c>
      <c r="J744" s="25">
        <v>49</v>
      </c>
      <c r="K744" s="25">
        <v>495</v>
      </c>
      <c r="L744" s="25">
        <v>3</v>
      </c>
      <c r="M744" s="25" t="s">
        <v>27</v>
      </c>
      <c r="N744" s="25">
        <v>79.5</v>
      </c>
      <c r="O744" s="25">
        <v>145</v>
      </c>
      <c r="P744" s="25">
        <v>0</v>
      </c>
    </row>
    <row r="745" spans="1:16" x14ac:dyDescent="0.25">
      <c r="A745" s="26">
        <v>45307.407731481479</v>
      </c>
      <c r="B745" s="25" t="s">
        <v>28</v>
      </c>
      <c r="C745" s="25" t="s">
        <v>1522</v>
      </c>
      <c r="D745" s="25" t="s">
        <v>1523</v>
      </c>
      <c r="E745" s="25">
        <v>256</v>
      </c>
      <c r="F745" s="25" t="s">
        <v>34</v>
      </c>
      <c r="G745" s="25">
        <v>22.3</v>
      </c>
      <c r="H745" s="25">
        <v>66.3</v>
      </c>
      <c r="I745" s="25" t="s">
        <v>26</v>
      </c>
      <c r="J745" s="25">
        <v>10</v>
      </c>
      <c r="K745" s="25">
        <v>462</v>
      </c>
      <c r="L745" s="25">
        <v>1</v>
      </c>
      <c r="M745" s="25" t="s">
        <v>27</v>
      </c>
      <c r="N745" s="25">
        <v>95.5</v>
      </c>
      <c r="O745" s="25">
        <v>276</v>
      </c>
      <c r="P745" s="25">
        <v>1</v>
      </c>
    </row>
    <row r="746" spans="1:16" x14ac:dyDescent="0.25">
      <c r="A746" s="26">
        <v>45547.135000000002</v>
      </c>
      <c r="B746" s="25" t="s">
        <v>41</v>
      </c>
      <c r="C746" s="25" t="s">
        <v>1524</v>
      </c>
      <c r="D746" s="25" t="s">
        <v>1525</v>
      </c>
      <c r="E746" s="25">
        <v>405</v>
      </c>
      <c r="F746" s="25" t="s">
        <v>25</v>
      </c>
      <c r="G746" s="25">
        <v>20.5</v>
      </c>
      <c r="H746" s="25">
        <v>55.6</v>
      </c>
      <c r="I746" s="25" t="s">
        <v>26</v>
      </c>
      <c r="J746" s="25">
        <v>25</v>
      </c>
      <c r="K746" s="25">
        <v>442</v>
      </c>
      <c r="L746" s="25">
        <v>4</v>
      </c>
      <c r="M746" s="25" t="s">
        <v>35</v>
      </c>
      <c r="N746" s="25">
        <v>70.5</v>
      </c>
      <c r="O746" s="25">
        <v>269</v>
      </c>
      <c r="P746" s="25">
        <v>1</v>
      </c>
    </row>
    <row r="747" spans="1:16" x14ac:dyDescent="0.25">
      <c r="A747" s="26">
        <v>45612.074664351851</v>
      </c>
      <c r="B747" s="25" t="s">
        <v>64</v>
      </c>
      <c r="C747" s="25" t="s">
        <v>1526</v>
      </c>
      <c r="D747" s="25" t="s">
        <v>1527</v>
      </c>
      <c r="E747" s="25">
        <v>428</v>
      </c>
      <c r="F747" s="25" t="s">
        <v>19</v>
      </c>
      <c r="G747" s="25">
        <v>23.5</v>
      </c>
      <c r="H747" s="25">
        <v>67.3</v>
      </c>
      <c r="I747" s="25" t="s">
        <v>26</v>
      </c>
      <c r="J747" s="25">
        <v>33</v>
      </c>
      <c r="K747" s="25">
        <v>152</v>
      </c>
      <c r="L747" s="25">
        <v>8</v>
      </c>
      <c r="M747" s="25" t="s">
        <v>21</v>
      </c>
      <c r="N747" s="25">
        <v>71.3</v>
      </c>
      <c r="O747" s="25">
        <v>300</v>
      </c>
      <c r="P747" s="25">
        <v>1</v>
      </c>
    </row>
    <row r="748" spans="1:16" x14ac:dyDescent="0.25">
      <c r="A748" s="26">
        <v>45434.201550925929</v>
      </c>
      <c r="B748" s="25" t="s">
        <v>95</v>
      </c>
      <c r="C748" s="25" t="s">
        <v>1528</v>
      </c>
      <c r="D748" s="25" t="s">
        <v>1529</v>
      </c>
      <c r="E748" s="25">
        <v>247</v>
      </c>
      <c r="F748" s="25" t="s">
        <v>19</v>
      </c>
      <c r="G748" s="25">
        <v>18.3</v>
      </c>
      <c r="H748" s="25">
        <v>56.7</v>
      </c>
      <c r="I748" s="25" t="s">
        <v>26</v>
      </c>
      <c r="J748" s="25">
        <v>60</v>
      </c>
      <c r="K748" s="25">
        <v>194</v>
      </c>
      <c r="L748" s="25">
        <v>6</v>
      </c>
      <c r="M748" s="25" t="s">
        <v>21</v>
      </c>
      <c r="N748" s="25">
        <v>66.8</v>
      </c>
      <c r="O748" s="25">
        <v>192</v>
      </c>
      <c r="P748" s="25">
        <v>1</v>
      </c>
    </row>
    <row r="749" spans="1:16" x14ac:dyDescent="0.25">
      <c r="A749" s="26">
        <v>45446.845567129632</v>
      </c>
      <c r="B749" s="25" t="s">
        <v>56</v>
      </c>
      <c r="C749" s="25" t="s">
        <v>1530</v>
      </c>
      <c r="D749" s="25" t="s">
        <v>1531</v>
      </c>
      <c r="E749" s="25">
        <v>276</v>
      </c>
      <c r="F749" s="25" t="s">
        <v>34</v>
      </c>
      <c r="G749" s="25">
        <v>19.600000000000001</v>
      </c>
      <c r="H749" s="25">
        <v>53.4</v>
      </c>
      <c r="I749" s="25" t="s">
        <v>26</v>
      </c>
      <c r="J749" s="25">
        <v>38</v>
      </c>
      <c r="K749" s="25">
        <v>408</v>
      </c>
      <c r="L749" s="25">
        <v>2</v>
      </c>
      <c r="M749" s="25" t="s">
        <v>35</v>
      </c>
      <c r="N749" s="25">
        <v>89.2</v>
      </c>
      <c r="O749" s="25">
        <v>118</v>
      </c>
      <c r="P749" s="25">
        <v>1</v>
      </c>
    </row>
    <row r="750" spans="1:16" x14ac:dyDescent="0.25">
      <c r="A750" s="26">
        <v>45368.012974537036</v>
      </c>
      <c r="B750" s="25" t="s">
        <v>56</v>
      </c>
      <c r="C750" s="25" t="s">
        <v>1532</v>
      </c>
      <c r="D750" s="25" t="s">
        <v>1533</v>
      </c>
      <c r="E750" s="25">
        <v>410</v>
      </c>
      <c r="F750" s="25" t="s">
        <v>34</v>
      </c>
      <c r="G750" s="25">
        <v>25</v>
      </c>
      <c r="H750" s="25">
        <v>72.900000000000006</v>
      </c>
      <c r="I750" s="25" t="s">
        <v>38</v>
      </c>
      <c r="J750" s="25">
        <v>21</v>
      </c>
      <c r="K750" s="25">
        <v>306</v>
      </c>
      <c r="L750" s="25">
        <v>2</v>
      </c>
      <c r="M750" s="25" t="s">
        <v>35</v>
      </c>
      <c r="N750" s="25">
        <v>71.2</v>
      </c>
      <c r="O750" s="25">
        <v>132</v>
      </c>
      <c r="P750" s="25">
        <v>0</v>
      </c>
    </row>
    <row r="751" spans="1:16" x14ac:dyDescent="0.25">
      <c r="A751" s="26">
        <v>45494.405474537038</v>
      </c>
      <c r="B751" s="25" t="s">
        <v>95</v>
      </c>
      <c r="C751" s="25" t="s">
        <v>1534</v>
      </c>
      <c r="D751" s="25" t="s">
        <v>1535</v>
      </c>
      <c r="E751" s="25">
        <v>449</v>
      </c>
      <c r="F751" s="25" t="s">
        <v>34</v>
      </c>
      <c r="G751" s="25">
        <v>28.8</v>
      </c>
      <c r="H751" s="25">
        <v>76.2</v>
      </c>
      <c r="I751" s="25" t="s">
        <v>38</v>
      </c>
      <c r="J751" s="25">
        <v>31</v>
      </c>
      <c r="K751" s="25">
        <v>234</v>
      </c>
      <c r="L751" s="25">
        <v>8</v>
      </c>
      <c r="M751" s="25" t="s">
        <v>35</v>
      </c>
      <c r="N751" s="25">
        <v>91.7</v>
      </c>
      <c r="O751" s="25">
        <v>129</v>
      </c>
      <c r="P751" s="25">
        <v>0</v>
      </c>
    </row>
    <row r="752" spans="1:16" ht="30" customHeight="1" x14ac:dyDescent="0.25">
      <c r="A752" s="26">
        <v>45387.281157407408</v>
      </c>
      <c r="B752" s="25" t="s">
        <v>22</v>
      </c>
      <c r="C752" s="25" t="s">
        <v>1536</v>
      </c>
      <c r="D752" s="25" t="s">
        <v>1537</v>
      </c>
      <c r="E752" s="25">
        <v>403</v>
      </c>
      <c r="F752" s="25" t="s">
        <v>34</v>
      </c>
      <c r="G752" s="25">
        <v>19.399999999999999</v>
      </c>
      <c r="H752" s="25">
        <v>70.3</v>
      </c>
      <c r="I752" s="25" t="s">
        <v>38</v>
      </c>
      <c r="J752" s="25">
        <v>43</v>
      </c>
      <c r="K752" s="25">
        <v>238</v>
      </c>
      <c r="L752" s="25">
        <v>5</v>
      </c>
      <c r="M752" s="25" t="s">
        <v>51</v>
      </c>
      <c r="N752" s="25">
        <v>79.7</v>
      </c>
      <c r="O752" s="25">
        <v>202</v>
      </c>
      <c r="P752" s="25">
        <v>0</v>
      </c>
    </row>
    <row r="753" spans="1:16" ht="30" customHeight="1" x14ac:dyDescent="0.25">
      <c r="A753" s="26">
        <v>45307.728414351855</v>
      </c>
      <c r="B753" s="25" t="s">
        <v>16</v>
      </c>
      <c r="C753" s="25" t="s">
        <v>1538</v>
      </c>
      <c r="D753" s="25" t="s">
        <v>1539</v>
      </c>
      <c r="E753" s="25">
        <v>380</v>
      </c>
      <c r="F753" s="25" t="s">
        <v>19</v>
      </c>
      <c r="G753" s="25">
        <v>27.1</v>
      </c>
      <c r="H753" s="25">
        <v>71.5</v>
      </c>
      <c r="I753" s="25" t="s">
        <v>38</v>
      </c>
      <c r="J753" s="25">
        <v>23</v>
      </c>
      <c r="K753" s="25">
        <v>373</v>
      </c>
      <c r="L753" s="25">
        <v>3</v>
      </c>
      <c r="M753" s="25" t="s">
        <v>51</v>
      </c>
      <c r="N753" s="25">
        <v>97.1</v>
      </c>
      <c r="O753" s="25">
        <v>286</v>
      </c>
      <c r="P753" s="25">
        <v>1</v>
      </c>
    </row>
    <row r="754" spans="1:16" x14ac:dyDescent="0.25">
      <c r="A754" s="26">
        <v>45644.058263888888</v>
      </c>
      <c r="B754" s="25" t="s">
        <v>64</v>
      </c>
      <c r="C754" s="25" t="s">
        <v>1540</v>
      </c>
      <c r="D754" s="25" t="s">
        <v>1541</v>
      </c>
      <c r="E754" s="25">
        <v>417</v>
      </c>
      <c r="F754" s="25" t="s">
        <v>25</v>
      </c>
      <c r="G754" s="25">
        <v>27</v>
      </c>
      <c r="H754" s="25">
        <v>62.8</v>
      </c>
      <c r="I754" s="25" t="s">
        <v>26</v>
      </c>
      <c r="J754" s="25">
        <v>33</v>
      </c>
      <c r="K754" s="25">
        <v>373</v>
      </c>
      <c r="L754" s="25">
        <v>1</v>
      </c>
      <c r="M754" s="25" t="s">
        <v>27</v>
      </c>
      <c r="N754" s="25">
        <v>74.099999999999994</v>
      </c>
      <c r="O754" s="25">
        <v>122</v>
      </c>
      <c r="P754" s="25">
        <v>1</v>
      </c>
    </row>
    <row r="755" spans="1:16" x14ac:dyDescent="0.25">
      <c r="A755" s="26">
        <v>45644.611215277779</v>
      </c>
      <c r="B755" s="25" t="s">
        <v>95</v>
      </c>
      <c r="C755" s="25" t="s">
        <v>1542</v>
      </c>
      <c r="D755" s="25" t="s">
        <v>1543</v>
      </c>
      <c r="E755" s="25">
        <v>169</v>
      </c>
      <c r="F755" s="25" t="s">
        <v>19</v>
      </c>
      <c r="G755" s="25">
        <v>28.4</v>
      </c>
      <c r="H755" s="25">
        <v>74.400000000000006</v>
      </c>
      <c r="I755" s="25" t="s">
        <v>26</v>
      </c>
      <c r="J755" s="25">
        <v>53</v>
      </c>
      <c r="K755" s="25">
        <v>342</v>
      </c>
      <c r="L755" s="25">
        <v>6</v>
      </c>
      <c r="M755" s="25" t="s">
        <v>35</v>
      </c>
      <c r="N755" s="25">
        <v>98.1</v>
      </c>
      <c r="O755" s="25">
        <v>179</v>
      </c>
      <c r="P755" s="25">
        <v>1</v>
      </c>
    </row>
    <row r="756" spans="1:16" x14ac:dyDescent="0.25">
      <c r="A756" s="26">
        <v>45355.378217592595</v>
      </c>
      <c r="B756" s="25" t="s">
        <v>16</v>
      </c>
      <c r="C756" s="25" t="s">
        <v>1544</v>
      </c>
      <c r="D756" s="25" t="s">
        <v>1545</v>
      </c>
      <c r="E756" s="25">
        <v>382</v>
      </c>
      <c r="F756" s="25" t="s">
        <v>19</v>
      </c>
      <c r="G756" s="25">
        <v>22.2</v>
      </c>
      <c r="H756" s="25">
        <v>63.2</v>
      </c>
      <c r="I756" s="25" t="s">
        <v>38</v>
      </c>
      <c r="J756" s="25">
        <v>12</v>
      </c>
      <c r="K756" s="25">
        <v>467</v>
      </c>
      <c r="L756" s="25">
        <v>6</v>
      </c>
      <c r="M756" s="25" t="s">
        <v>21</v>
      </c>
      <c r="N756" s="25">
        <v>80.599999999999994</v>
      </c>
      <c r="O756" s="25">
        <v>210</v>
      </c>
      <c r="P756" s="25">
        <v>1</v>
      </c>
    </row>
    <row r="757" spans="1:16" x14ac:dyDescent="0.25">
      <c r="A757" s="26">
        <v>45604.089143518519</v>
      </c>
      <c r="B757" s="25" t="s">
        <v>22</v>
      </c>
      <c r="C757" s="25" t="s">
        <v>1546</v>
      </c>
      <c r="D757" s="25" t="s">
        <v>1547</v>
      </c>
      <c r="E757" s="25">
        <v>404</v>
      </c>
      <c r="F757" s="25" t="s">
        <v>19</v>
      </c>
      <c r="G757" s="25">
        <v>18.8</v>
      </c>
      <c r="H757" s="25">
        <v>69.3</v>
      </c>
      <c r="I757" s="25" t="s">
        <v>20</v>
      </c>
      <c r="J757" s="25">
        <v>59</v>
      </c>
      <c r="K757" s="25">
        <v>307</v>
      </c>
      <c r="L757" s="25">
        <v>10</v>
      </c>
      <c r="M757" s="25" t="s">
        <v>27</v>
      </c>
      <c r="N757" s="25">
        <v>67.7</v>
      </c>
      <c r="O757" s="25">
        <v>223</v>
      </c>
      <c r="P757" s="25">
        <v>1</v>
      </c>
    </row>
    <row r="758" spans="1:16" ht="30" customHeight="1" x14ac:dyDescent="0.25">
      <c r="A758" s="26">
        <v>45434.147349537037</v>
      </c>
      <c r="B758" s="25" t="s">
        <v>56</v>
      </c>
      <c r="C758" s="25" t="s">
        <v>1548</v>
      </c>
      <c r="D758" s="25" t="s">
        <v>1549</v>
      </c>
      <c r="E758" s="25">
        <v>399</v>
      </c>
      <c r="F758" s="25" t="s">
        <v>19</v>
      </c>
      <c r="G758" s="25">
        <v>20.100000000000001</v>
      </c>
      <c r="H758" s="25">
        <v>74.2</v>
      </c>
      <c r="I758" s="25" t="s">
        <v>20</v>
      </c>
      <c r="J758" s="25">
        <v>54</v>
      </c>
      <c r="K758" s="25">
        <v>317</v>
      </c>
      <c r="L758" s="25">
        <v>8</v>
      </c>
      <c r="M758" s="25" t="s">
        <v>51</v>
      </c>
      <c r="N758" s="25">
        <v>88.2</v>
      </c>
      <c r="O758" s="25">
        <v>143</v>
      </c>
      <c r="P758" s="25">
        <v>1</v>
      </c>
    </row>
    <row r="759" spans="1:16" x14ac:dyDescent="0.25">
      <c r="A759" s="26">
        <v>45489.102870370371</v>
      </c>
      <c r="B759" s="25" t="s">
        <v>95</v>
      </c>
      <c r="C759" s="25" t="s">
        <v>1550</v>
      </c>
      <c r="D759" s="25" t="s">
        <v>1551</v>
      </c>
      <c r="E759" s="25">
        <v>271</v>
      </c>
      <c r="F759" s="25" t="s">
        <v>34</v>
      </c>
      <c r="G759" s="25">
        <v>24.6</v>
      </c>
      <c r="H759" s="25">
        <v>73</v>
      </c>
      <c r="I759" s="25" t="s">
        <v>20</v>
      </c>
      <c r="J759" s="25">
        <v>53</v>
      </c>
      <c r="K759" s="25">
        <v>382</v>
      </c>
      <c r="L759" s="25">
        <v>3</v>
      </c>
      <c r="M759" s="25" t="s">
        <v>21</v>
      </c>
      <c r="N759" s="25">
        <v>94.1</v>
      </c>
      <c r="O759" s="25">
        <v>166</v>
      </c>
      <c r="P759" s="25">
        <v>0</v>
      </c>
    </row>
    <row r="760" spans="1:16" x14ac:dyDescent="0.25">
      <c r="A760" s="26">
        <v>45311.879224537035</v>
      </c>
      <c r="B760" s="25" t="s">
        <v>95</v>
      </c>
      <c r="C760" s="25" t="s">
        <v>1552</v>
      </c>
      <c r="D760" s="25" t="s">
        <v>1553</v>
      </c>
      <c r="E760" s="25">
        <v>332</v>
      </c>
      <c r="F760" s="25" t="s">
        <v>19</v>
      </c>
      <c r="G760" s="25">
        <v>18.8</v>
      </c>
      <c r="H760" s="25">
        <v>74.7</v>
      </c>
      <c r="I760" s="25" t="s">
        <v>26</v>
      </c>
      <c r="J760" s="25">
        <v>16</v>
      </c>
      <c r="K760" s="25">
        <v>279</v>
      </c>
      <c r="L760" s="25">
        <v>2</v>
      </c>
      <c r="M760" s="25" t="s">
        <v>21</v>
      </c>
      <c r="N760" s="25">
        <v>61.8</v>
      </c>
      <c r="O760" s="25">
        <v>289</v>
      </c>
      <c r="P760" s="25">
        <v>1</v>
      </c>
    </row>
    <row r="761" spans="1:16" x14ac:dyDescent="0.25">
      <c r="A761" s="26">
        <v>45398.127175925925</v>
      </c>
      <c r="B761" s="25" t="s">
        <v>64</v>
      </c>
      <c r="C761" s="25" t="s">
        <v>1554</v>
      </c>
      <c r="D761" s="25" t="s">
        <v>1555</v>
      </c>
      <c r="E761" s="25">
        <v>445</v>
      </c>
      <c r="F761" s="25" t="s">
        <v>34</v>
      </c>
      <c r="G761" s="25">
        <v>25.7</v>
      </c>
      <c r="H761" s="25">
        <v>50.8</v>
      </c>
      <c r="I761" s="25" t="s">
        <v>26</v>
      </c>
      <c r="J761" s="25">
        <v>28</v>
      </c>
      <c r="K761" s="25">
        <v>414</v>
      </c>
      <c r="L761" s="25">
        <v>2</v>
      </c>
      <c r="M761" s="25" t="s">
        <v>27</v>
      </c>
      <c r="N761" s="25">
        <v>75.5</v>
      </c>
      <c r="O761" s="25">
        <v>140</v>
      </c>
      <c r="P761" s="25">
        <v>1</v>
      </c>
    </row>
    <row r="762" spans="1:16" x14ac:dyDescent="0.25">
      <c r="A762" s="26">
        <v>45329.203020833331</v>
      </c>
      <c r="B762" s="25" t="s">
        <v>22</v>
      </c>
      <c r="C762" s="25" t="s">
        <v>1556</v>
      </c>
      <c r="D762" s="25" t="s">
        <v>1557</v>
      </c>
      <c r="E762" s="25">
        <v>426</v>
      </c>
      <c r="F762" s="25" t="s">
        <v>25</v>
      </c>
      <c r="G762" s="25">
        <v>23.6</v>
      </c>
      <c r="H762" s="25">
        <v>58</v>
      </c>
      <c r="I762" s="25" t="s">
        <v>26</v>
      </c>
      <c r="J762" s="25">
        <v>47</v>
      </c>
      <c r="K762" s="25">
        <v>263</v>
      </c>
      <c r="L762" s="25">
        <v>1</v>
      </c>
      <c r="M762" s="25" t="s">
        <v>35</v>
      </c>
      <c r="N762" s="25">
        <v>92.9</v>
      </c>
      <c r="O762" s="25">
        <v>136</v>
      </c>
      <c r="P762" s="25">
        <v>1</v>
      </c>
    </row>
    <row r="763" spans="1:16" x14ac:dyDescent="0.25">
      <c r="A763" s="26">
        <v>45307.173773148148</v>
      </c>
      <c r="B763" s="25" t="s">
        <v>22</v>
      </c>
      <c r="C763" s="25" t="s">
        <v>1558</v>
      </c>
      <c r="D763" s="25" t="s">
        <v>1559</v>
      </c>
      <c r="E763" s="25">
        <v>419</v>
      </c>
      <c r="F763" s="25" t="s">
        <v>25</v>
      </c>
      <c r="G763" s="25">
        <v>27</v>
      </c>
      <c r="H763" s="25">
        <v>56.7</v>
      </c>
      <c r="I763" s="25" t="s">
        <v>20</v>
      </c>
      <c r="J763" s="25">
        <v>25</v>
      </c>
      <c r="K763" s="25">
        <v>378</v>
      </c>
      <c r="L763" s="25">
        <v>2</v>
      </c>
      <c r="M763" s="25" t="s">
        <v>21</v>
      </c>
      <c r="N763" s="25">
        <v>74.3</v>
      </c>
      <c r="O763" s="25">
        <v>212</v>
      </c>
      <c r="P763" s="25">
        <v>0</v>
      </c>
    </row>
    <row r="764" spans="1:16" x14ac:dyDescent="0.25">
      <c r="A764" s="26">
        <v>45303.097673611112</v>
      </c>
      <c r="B764" s="25" t="s">
        <v>41</v>
      </c>
      <c r="C764" s="25" t="s">
        <v>1560</v>
      </c>
      <c r="D764" s="25" t="s">
        <v>1561</v>
      </c>
      <c r="E764" s="25">
        <v>128</v>
      </c>
      <c r="F764" s="25" t="s">
        <v>19</v>
      </c>
      <c r="G764" s="25">
        <v>29</v>
      </c>
      <c r="H764" s="25">
        <v>71</v>
      </c>
      <c r="I764" s="25" t="s">
        <v>20</v>
      </c>
      <c r="J764" s="25">
        <v>12</v>
      </c>
      <c r="K764" s="25">
        <v>404</v>
      </c>
      <c r="L764" s="25">
        <v>8</v>
      </c>
      <c r="M764" s="25" t="s">
        <v>35</v>
      </c>
      <c r="N764" s="25">
        <v>81.3</v>
      </c>
      <c r="O764" s="25">
        <v>272</v>
      </c>
      <c r="P764" s="25">
        <v>1</v>
      </c>
    </row>
    <row r="765" spans="1:16" x14ac:dyDescent="0.25">
      <c r="A765" s="26">
        <v>45581.864849537036</v>
      </c>
      <c r="B765" s="25" t="s">
        <v>31</v>
      </c>
      <c r="C765" s="25" t="s">
        <v>1562</v>
      </c>
      <c r="D765" s="25" t="s">
        <v>1563</v>
      </c>
      <c r="E765" s="25">
        <v>200</v>
      </c>
      <c r="F765" s="25" t="s">
        <v>25</v>
      </c>
      <c r="G765" s="25">
        <v>19.2</v>
      </c>
      <c r="H765" s="25">
        <v>67.7</v>
      </c>
      <c r="I765" s="25" t="s">
        <v>26</v>
      </c>
      <c r="J765" s="25">
        <v>11</v>
      </c>
      <c r="K765" s="25">
        <v>349</v>
      </c>
      <c r="L765" s="25">
        <v>6</v>
      </c>
      <c r="M765" s="25" t="s">
        <v>21</v>
      </c>
      <c r="N765" s="25">
        <v>73.599999999999994</v>
      </c>
      <c r="O765" s="25">
        <v>299</v>
      </c>
      <c r="P765" s="25">
        <v>1</v>
      </c>
    </row>
    <row r="766" spans="1:16" x14ac:dyDescent="0.25">
      <c r="A766" s="26">
        <v>45505.386296296296</v>
      </c>
      <c r="B766" s="25" t="s">
        <v>56</v>
      </c>
      <c r="C766" s="25" t="s">
        <v>1564</v>
      </c>
      <c r="D766" s="25" t="s">
        <v>1565</v>
      </c>
      <c r="E766" s="25">
        <v>434</v>
      </c>
      <c r="F766" s="25" t="s">
        <v>34</v>
      </c>
      <c r="G766" s="25">
        <v>29.4</v>
      </c>
      <c r="H766" s="25">
        <v>76.3</v>
      </c>
      <c r="I766" s="25" t="s">
        <v>26</v>
      </c>
      <c r="J766" s="25">
        <v>30</v>
      </c>
      <c r="K766" s="25">
        <v>166</v>
      </c>
      <c r="L766" s="25">
        <v>1</v>
      </c>
      <c r="M766" s="25" t="s">
        <v>21</v>
      </c>
      <c r="N766" s="25">
        <v>94.6</v>
      </c>
      <c r="O766" s="25">
        <v>220</v>
      </c>
      <c r="P766" s="25">
        <v>1</v>
      </c>
    </row>
    <row r="767" spans="1:16" x14ac:dyDescent="0.25">
      <c r="A767" s="26">
        <v>45304.880312499998</v>
      </c>
      <c r="B767" s="25" t="s">
        <v>95</v>
      </c>
      <c r="C767" s="25" t="s">
        <v>1566</v>
      </c>
      <c r="D767" s="25" t="s">
        <v>1567</v>
      </c>
      <c r="E767" s="25">
        <v>339</v>
      </c>
      <c r="F767" s="25" t="s">
        <v>19</v>
      </c>
      <c r="G767" s="25">
        <v>26.4</v>
      </c>
      <c r="H767" s="25">
        <v>73.8</v>
      </c>
      <c r="I767" s="25" t="s">
        <v>38</v>
      </c>
      <c r="J767" s="25">
        <v>58</v>
      </c>
      <c r="K767" s="25">
        <v>488</v>
      </c>
      <c r="L767" s="25">
        <v>3</v>
      </c>
      <c r="M767" s="25" t="s">
        <v>21</v>
      </c>
      <c r="N767" s="25">
        <v>89.3</v>
      </c>
      <c r="O767" s="25">
        <v>299</v>
      </c>
      <c r="P767" s="25">
        <v>1</v>
      </c>
    </row>
    <row r="768" spans="1:16" x14ac:dyDescent="0.25">
      <c r="A768" s="26">
        <v>45378.190254629626</v>
      </c>
      <c r="B768" s="25" t="s">
        <v>28</v>
      </c>
      <c r="C768" s="25" t="s">
        <v>1568</v>
      </c>
      <c r="D768" s="25" t="s">
        <v>1569</v>
      </c>
      <c r="E768" s="25">
        <v>224</v>
      </c>
      <c r="F768" s="25" t="s">
        <v>34</v>
      </c>
      <c r="G768" s="25">
        <v>19</v>
      </c>
      <c r="H768" s="25">
        <v>79.900000000000006</v>
      </c>
      <c r="I768" s="25" t="s">
        <v>26</v>
      </c>
      <c r="J768" s="25">
        <v>17</v>
      </c>
      <c r="K768" s="25">
        <v>139</v>
      </c>
      <c r="L768" s="25">
        <v>4</v>
      </c>
      <c r="M768" s="25" t="s">
        <v>27</v>
      </c>
      <c r="N768" s="25">
        <v>96.1</v>
      </c>
      <c r="O768" s="25">
        <v>279</v>
      </c>
      <c r="P768" s="25">
        <v>1</v>
      </c>
    </row>
    <row r="769" spans="1:16" x14ac:dyDescent="0.25">
      <c r="A769" s="26">
        <v>45366.617199074077</v>
      </c>
      <c r="B769" s="25" t="s">
        <v>28</v>
      </c>
      <c r="C769" s="25" t="s">
        <v>1570</v>
      </c>
      <c r="D769" s="25" t="s">
        <v>1571</v>
      </c>
      <c r="E769" s="25">
        <v>387</v>
      </c>
      <c r="F769" s="25" t="s">
        <v>19</v>
      </c>
      <c r="G769" s="25">
        <v>18.399999999999999</v>
      </c>
      <c r="H769" s="25">
        <v>79.5</v>
      </c>
      <c r="I769" s="25" t="s">
        <v>38</v>
      </c>
      <c r="J769" s="25">
        <v>17</v>
      </c>
      <c r="K769" s="25">
        <v>456</v>
      </c>
      <c r="L769" s="25">
        <v>2</v>
      </c>
      <c r="M769" s="25" t="s">
        <v>27</v>
      </c>
      <c r="N769" s="25">
        <v>65.900000000000006</v>
      </c>
      <c r="O769" s="25">
        <v>155</v>
      </c>
      <c r="P769" s="25">
        <v>1</v>
      </c>
    </row>
    <row r="770" spans="1:16" ht="30" customHeight="1" x14ac:dyDescent="0.25">
      <c r="A770" s="26">
        <v>45407.421631944446</v>
      </c>
      <c r="B770" s="25" t="s">
        <v>56</v>
      </c>
      <c r="C770" s="25" t="s">
        <v>1572</v>
      </c>
      <c r="D770" s="25" t="s">
        <v>1573</v>
      </c>
      <c r="E770" s="25">
        <v>146</v>
      </c>
      <c r="F770" s="25" t="s">
        <v>19</v>
      </c>
      <c r="G770" s="25">
        <v>26</v>
      </c>
      <c r="H770" s="25">
        <v>57.2</v>
      </c>
      <c r="I770" s="25" t="s">
        <v>38</v>
      </c>
      <c r="J770" s="25">
        <v>47</v>
      </c>
      <c r="K770" s="25">
        <v>188</v>
      </c>
      <c r="L770" s="25">
        <v>4</v>
      </c>
      <c r="M770" s="25" t="s">
        <v>51</v>
      </c>
      <c r="N770" s="25">
        <v>76</v>
      </c>
      <c r="O770" s="25">
        <v>131</v>
      </c>
      <c r="P770" s="25">
        <v>1</v>
      </c>
    </row>
    <row r="771" spans="1:16" x14ac:dyDescent="0.25">
      <c r="A771" s="26">
        <v>45524.061203703706</v>
      </c>
      <c r="B771" s="25" t="s">
        <v>41</v>
      </c>
      <c r="C771" s="25" t="s">
        <v>1574</v>
      </c>
      <c r="D771" s="25" t="s">
        <v>1575</v>
      </c>
      <c r="E771" s="25">
        <v>177</v>
      </c>
      <c r="F771" s="25" t="s">
        <v>25</v>
      </c>
      <c r="G771" s="25">
        <v>18.600000000000001</v>
      </c>
      <c r="H771" s="25">
        <v>74.5</v>
      </c>
      <c r="I771" s="25" t="s">
        <v>26</v>
      </c>
      <c r="J771" s="25">
        <v>16</v>
      </c>
      <c r="K771" s="25">
        <v>429</v>
      </c>
      <c r="L771" s="25">
        <v>1</v>
      </c>
      <c r="M771" s="25" t="s">
        <v>35</v>
      </c>
      <c r="N771" s="25">
        <v>72.400000000000006</v>
      </c>
      <c r="O771" s="25">
        <v>132</v>
      </c>
      <c r="P771" s="25">
        <v>1</v>
      </c>
    </row>
    <row r="772" spans="1:16" x14ac:dyDescent="0.25">
      <c r="A772" s="26">
        <v>45475.576608796298</v>
      </c>
      <c r="B772" s="25" t="s">
        <v>95</v>
      </c>
      <c r="C772" s="25" t="s">
        <v>1576</v>
      </c>
      <c r="D772" s="25" t="s">
        <v>1577</v>
      </c>
      <c r="E772" s="25">
        <v>316</v>
      </c>
      <c r="F772" s="25" t="s">
        <v>19</v>
      </c>
      <c r="G772" s="25">
        <v>26.4</v>
      </c>
      <c r="H772" s="25">
        <v>60</v>
      </c>
      <c r="I772" s="25" t="s">
        <v>20</v>
      </c>
      <c r="J772" s="25">
        <v>36</v>
      </c>
      <c r="K772" s="25">
        <v>274</v>
      </c>
      <c r="L772" s="25">
        <v>1</v>
      </c>
      <c r="M772" s="25" t="s">
        <v>27</v>
      </c>
      <c r="N772" s="25">
        <v>68.2</v>
      </c>
      <c r="O772" s="25">
        <v>218</v>
      </c>
      <c r="P772" s="25">
        <v>1</v>
      </c>
    </row>
    <row r="773" spans="1:16" x14ac:dyDescent="0.25">
      <c r="A773" s="26">
        <v>45479.545636574076</v>
      </c>
      <c r="B773" s="25" t="s">
        <v>31</v>
      </c>
      <c r="C773" s="25" t="s">
        <v>1578</v>
      </c>
      <c r="D773" s="25" t="s">
        <v>1579</v>
      </c>
      <c r="E773" s="25">
        <v>458</v>
      </c>
      <c r="F773" s="25" t="s">
        <v>25</v>
      </c>
      <c r="G773" s="25">
        <v>25</v>
      </c>
      <c r="H773" s="25">
        <v>79.599999999999994</v>
      </c>
      <c r="I773" s="25" t="s">
        <v>26</v>
      </c>
      <c r="J773" s="25">
        <v>56</v>
      </c>
      <c r="K773" s="25">
        <v>303</v>
      </c>
      <c r="L773" s="25">
        <v>1</v>
      </c>
      <c r="M773" s="25" t="s">
        <v>21</v>
      </c>
      <c r="N773" s="25">
        <v>73.8</v>
      </c>
      <c r="O773" s="25">
        <v>206</v>
      </c>
      <c r="P773" s="25">
        <v>1</v>
      </c>
    </row>
    <row r="774" spans="1:16" ht="30" customHeight="1" x14ac:dyDescent="0.25">
      <c r="A774" s="26">
        <v>45459.4841087963</v>
      </c>
      <c r="B774" s="25" t="s">
        <v>41</v>
      </c>
      <c r="C774" s="25" t="s">
        <v>1580</v>
      </c>
      <c r="D774" s="25" t="s">
        <v>1581</v>
      </c>
      <c r="E774" s="25">
        <v>481</v>
      </c>
      <c r="F774" s="25" t="s">
        <v>34</v>
      </c>
      <c r="G774" s="25">
        <v>24</v>
      </c>
      <c r="H774" s="25">
        <v>72.5</v>
      </c>
      <c r="I774" s="25" t="s">
        <v>20</v>
      </c>
      <c r="J774" s="25">
        <v>34</v>
      </c>
      <c r="K774" s="25">
        <v>152</v>
      </c>
      <c r="L774" s="25">
        <v>4</v>
      </c>
      <c r="M774" s="25" t="s">
        <v>51</v>
      </c>
      <c r="N774" s="25">
        <v>79.8</v>
      </c>
      <c r="O774" s="25">
        <v>299</v>
      </c>
      <c r="P774" s="25">
        <v>0</v>
      </c>
    </row>
    <row r="775" spans="1:16" ht="30" customHeight="1" x14ac:dyDescent="0.25">
      <c r="A775" s="26">
        <v>45455.405960648146</v>
      </c>
      <c r="B775" s="25" t="s">
        <v>64</v>
      </c>
      <c r="C775" s="25" t="s">
        <v>1582</v>
      </c>
      <c r="D775" s="25" t="s">
        <v>1583</v>
      </c>
      <c r="E775" s="25">
        <v>231</v>
      </c>
      <c r="F775" s="25" t="s">
        <v>34</v>
      </c>
      <c r="G775" s="25">
        <v>19.399999999999999</v>
      </c>
      <c r="H775" s="25">
        <v>66.599999999999994</v>
      </c>
      <c r="I775" s="25" t="s">
        <v>26</v>
      </c>
      <c r="J775" s="25">
        <v>32</v>
      </c>
      <c r="K775" s="25">
        <v>289</v>
      </c>
      <c r="L775" s="25">
        <v>8</v>
      </c>
      <c r="M775" s="25" t="s">
        <v>51</v>
      </c>
      <c r="N775" s="25">
        <v>77.599999999999994</v>
      </c>
      <c r="O775" s="25">
        <v>240</v>
      </c>
      <c r="P775" s="25">
        <v>1</v>
      </c>
    </row>
    <row r="776" spans="1:16" x14ac:dyDescent="0.25">
      <c r="A776" s="26">
        <v>45493.835868055554</v>
      </c>
      <c r="B776" s="25" t="s">
        <v>64</v>
      </c>
      <c r="C776" s="25" t="s">
        <v>1584</v>
      </c>
      <c r="D776" s="25" t="s">
        <v>1585</v>
      </c>
      <c r="E776" s="25">
        <v>129</v>
      </c>
      <c r="F776" s="25" t="s">
        <v>34</v>
      </c>
      <c r="G776" s="25">
        <v>19.2</v>
      </c>
      <c r="H776" s="25">
        <v>77.900000000000006</v>
      </c>
      <c r="I776" s="25" t="s">
        <v>20</v>
      </c>
      <c r="J776" s="25">
        <v>11</v>
      </c>
      <c r="K776" s="25">
        <v>448</v>
      </c>
      <c r="L776" s="25">
        <v>4</v>
      </c>
      <c r="M776" s="25" t="s">
        <v>21</v>
      </c>
      <c r="N776" s="25">
        <v>68.900000000000006</v>
      </c>
      <c r="O776" s="25">
        <v>132</v>
      </c>
      <c r="P776" s="25">
        <v>0</v>
      </c>
    </row>
    <row r="777" spans="1:16" x14ac:dyDescent="0.25">
      <c r="A777" s="26">
        <v>45581.611898148149</v>
      </c>
      <c r="B777" s="25" t="s">
        <v>95</v>
      </c>
      <c r="C777" s="25" t="s">
        <v>1586</v>
      </c>
      <c r="D777" s="25" t="s">
        <v>1587</v>
      </c>
      <c r="E777" s="25">
        <v>398</v>
      </c>
      <c r="F777" s="25" t="s">
        <v>34</v>
      </c>
      <c r="G777" s="25">
        <v>29.1</v>
      </c>
      <c r="H777" s="25">
        <v>75.3</v>
      </c>
      <c r="I777" s="25" t="s">
        <v>20</v>
      </c>
      <c r="J777" s="25">
        <v>58</v>
      </c>
      <c r="K777" s="25">
        <v>172</v>
      </c>
      <c r="L777" s="25">
        <v>1</v>
      </c>
      <c r="M777" s="25" t="s">
        <v>35</v>
      </c>
      <c r="N777" s="25">
        <v>99.3</v>
      </c>
      <c r="O777" s="25">
        <v>194</v>
      </c>
      <c r="P777" s="25">
        <v>0</v>
      </c>
    </row>
    <row r="778" spans="1:16" ht="30" customHeight="1" x14ac:dyDescent="0.25">
      <c r="A778" s="26">
        <v>45537.137025462966</v>
      </c>
      <c r="B778" s="25" t="s">
        <v>64</v>
      </c>
      <c r="C778" s="25" t="s">
        <v>1588</v>
      </c>
      <c r="D778" s="25" t="s">
        <v>1589</v>
      </c>
      <c r="E778" s="25">
        <v>149</v>
      </c>
      <c r="F778" s="25" t="s">
        <v>19</v>
      </c>
      <c r="G778" s="25">
        <v>19.8</v>
      </c>
      <c r="H778" s="25">
        <v>51.3</v>
      </c>
      <c r="I778" s="25" t="s">
        <v>26</v>
      </c>
      <c r="J778" s="25">
        <v>24</v>
      </c>
      <c r="K778" s="25">
        <v>386</v>
      </c>
      <c r="L778" s="25">
        <v>6</v>
      </c>
      <c r="M778" s="25" t="s">
        <v>51</v>
      </c>
      <c r="N778" s="25">
        <v>87.2</v>
      </c>
      <c r="O778" s="25">
        <v>208</v>
      </c>
      <c r="P778" s="25">
        <v>1</v>
      </c>
    </row>
    <row r="779" spans="1:16" ht="30" customHeight="1" x14ac:dyDescent="0.25">
      <c r="A779" s="26">
        <v>45493.684918981482</v>
      </c>
      <c r="B779" s="25" t="s">
        <v>64</v>
      </c>
      <c r="C779" s="25" t="s">
        <v>1590</v>
      </c>
      <c r="D779" s="25" t="s">
        <v>1591</v>
      </c>
      <c r="E779" s="25">
        <v>338</v>
      </c>
      <c r="F779" s="25" t="s">
        <v>25</v>
      </c>
      <c r="G779" s="25">
        <v>20.6</v>
      </c>
      <c r="H779" s="25">
        <v>65</v>
      </c>
      <c r="I779" s="25" t="s">
        <v>20</v>
      </c>
      <c r="J779" s="25">
        <v>56</v>
      </c>
      <c r="K779" s="25">
        <v>421</v>
      </c>
      <c r="L779" s="25">
        <v>2</v>
      </c>
      <c r="M779" s="25" t="s">
        <v>51</v>
      </c>
      <c r="N779" s="25">
        <v>86.9</v>
      </c>
      <c r="O779" s="25">
        <v>142</v>
      </c>
      <c r="P779" s="25">
        <v>0</v>
      </c>
    </row>
    <row r="780" spans="1:16" x14ac:dyDescent="0.25">
      <c r="A780" s="26">
        <v>45523.003611111111</v>
      </c>
      <c r="B780" s="25" t="s">
        <v>16</v>
      </c>
      <c r="C780" s="25" t="s">
        <v>1592</v>
      </c>
      <c r="D780" s="25" t="s">
        <v>1593</v>
      </c>
      <c r="E780" s="25">
        <v>252</v>
      </c>
      <c r="F780" s="25" t="s">
        <v>25</v>
      </c>
      <c r="G780" s="25">
        <v>27.1</v>
      </c>
      <c r="H780" s="25">
        <v>59.8</v>
      </c>
      <c r="I780" s="25" t="s">
        <v>20</v>
      </c>
      <c r="J780" s="25">
        <v>53</v>
      </c>
      <c r="K780" s="25">
        <v>457</v>
      </c>
      <c r="L780" s="25">
        <v>8</v>
      </c>
      <c r="M780" s="25" t="s">
        <v>35</v>
      </c>
      <c r="N780" s="25">
        <v>95.4</v>
      </c>
      <c r="O780" s="25">
        <v>273</v>
      </c>
      <c r="P780" s="25">
        <v>0</v>
      </c>
    </row>
    <row r="781" spans="1:16" x14ac:dyDescent="0.25">
      <c r="A781" s="26">
        <v>45355.430451388886</v>
      </c>
      <c r="B781" s="25" t="s">
        <v>64</v>
      </c>
      <c r="C781" s="25" t="s">
        <v>1594</v>
      </c>
      <c r="D781" s="25" t="s">
        <v>1595</v>
      </c>
      <c r="E781" s="25">
        <v>330</v>
      </c>
      <c r="F781" s="25" t="s">
        <v>34</v>
      </c>
      <c r="G781" s="25">
        <v>26.5</v>
      </c>
      <c r="H781" s="25">
        <v>59.2</v>
      </c>
      <c r="I781" s="25" t="s">
        <v>38</v>
      </c>
      <c r="J781" s="25">
        <v>51</v>
      </c>
      <c r="K781" s="25">
        <v>274</v>
      </c>
      <c r="L781" s="25">
        <v>3</v>
      </c>
      <c r="M781" s="25" t="s">
        <v>35</v>
      </c>
      <c r="N781" s="25">
        <v>69.099999999999994</v>
      </c>
      <c r="O781" s="25">
        <v>139</v>
      </c>
      <c r="P781" s="25">
        <v>0</v>
      </c>
    </row>
    <row r="782" spans="1:16" x14ac:dyDescent="0.25">
      <c r="A782" s="26">
        <v>45566.321493055555</v>
      </c>
      <c r="B782" s="25" t="s">
        <v>64</v>
      </c>
      <c r="C782" s="25" t="s">
        <v>1596</v>
      </c>
      <c r="D782" s="25" t="s">
        <v>1597</v>
      </c>
      <c r="E782" s="25">
        <v>464</v>
      </c>
      <c r="F782" s="25" t="s">
        <v>19</v>
      </c>
      <c r="G782" s="25">
        <v>28.2</v>
      </c>
      <c r="H782" s="25">
        <v>61.4</v>
      </c>
      <c r="I782" s="25" t="s">
        <v>26</v>
      </c>
      <c r="J782" s="25">
        <v>20</v>
      </c>
      <c r="K782" s="25">
        <v>177</v>
      </c>
      <c r="L782" s="25">
        <v>3</v>
      </c>
      <c r="M782" s="25" t="s">
        <v>27</v>
      </c>
      <c r="N782" s="25">
        <v>60.3</v>
      </c>
      <c r="O782" s="25">
        <v>279</v>
      </c>
      <c r="P782" s="25">
        <v>1</v>
      </c>
    </row>
    <row r="783" spans="1:16" ht="30" customHeight="1" x14ac:dyDescent="0.25">
      <c r="A783" s="26">
        <v>45324.535891203705</v>
      </c>
      <c r="B783" s="25" t="s">
        <v>56</v>
      </c>
      <c r="C783" s="25" t="s">
        <v>1598</v>
      </c>
      <c r="D783" s="25" t="s">
        <v>1599</v>
      </c>
      <c r="E783" s="25">
        <v>141</v>
      </c>
      <c r="F783" s="25" t="s">
        <v>19</v>
      </c>
      <c r="G783" s="25">
        <v>27.7</v>
      </c>
      <c r="H783" s="25">
        <v>55</v>
      </c>
      <c r="I783" s="25" t="s">
        <v>38</v>
      </c>
      <c r="J783" s="25">
        <v>12</v>
      </c>
      <c r="K783" s="25">
        <v>432</v>
      </c>
      <c r="L783" s="25">
        <v>10</v>
      </c>
      <c r="M783" s="25" t="s">
        <v>51</v>
      </c>
      <c r="N783" s="25">
        <v>87.5</v>
      </c>
      <c r="O783" s="25">
        <v>278</v>
      </c>
      <c r="P783" s="25">
        <v>1</v>
      </c>
    </row>
    <row r="784" spans="1:16" x14ac:dyDescent="0.25">
      <c r="A784" s="26">
        <v>45596.266979166663</v>
      </c>
      <c r="B784" s="25" t="s">
        <v>64</v>
      </c>
      <c r="C784" s="25" t="s">
        <v>1600</v>
      </c>
      <c r="D784" s="25" t="s">
        <v>1601</v>
      </c>
      <c r="E784" s="25">
        <v>463</v>
      </c>
      <c r="F784" s="25" t="s">
        <v>25</v>
      </c>
      <c r="G784" s="25">
        <v>19.5</v>
      </c>
      <c r="H784" s="25">
        <v>64.400000000000006</v>
      </c>
      <c r="I784" s="25" t="s">
        <v>20</v>
      </c>
      <c r="J784" s="25">
        <v>32</v>
      </c>
      <c r="K784" s="25">
        <v>244</v>
      </c>
      <c r="L784" s="25">
        <v>1</v>
      </c>
      <c r="M784" s="25" t="s">
        <v>35</v>
      </c>
      <c r="N784" s="25">
        <v>69.8</v>
      </c>
      <c r="O784" s="25">
        <v>294</v>
      </c>
      <c r="P784" s="25">
        <v>0</v>
      </c>
    </row>
    <row r="785" spans="1:16" ht="30" customHeight="1" x14ac:dyDescent="0.25">
      <c r="A785" s="26">
        <v>45627.195231481484</v>
      </c>
      <c r="B785" s="25" t="s">
        <v>56</v>
      </c>
      <c r="C785" s="25" t="s">
        <v>1602</v>
      </c>
      <c r="D785" s="25" t="s">
        <v>1603</v>
      </c>
      <c r="E785" s="25">
        <v>223</v>
      </c>
      <c r="F785" s="25" t="s">
        <v>25</v>
      </c>
      <c r="G785" s="25">
        <v>25.2</v>
      </c>
      <c r="H785" s="25">
        <v>54.1</v>
      </c>
      <c r="I785" s="25" t="s">
        <v>20</v>
      </c>
      <c r="J785" s="25">
        <v>45</v>
      </c>
      <c r="K785" s="25">
        <v>121</v>
      </c>
      <c r="L785" s="25">
        <v>1</v>
      </c>
      <c r="M785" s="25" t="s">
        <v>51</v>
      </c>
      <c r="N785" s="25">
        <v>85.9</v>
      </c>
      <c r="O785" s="25">
        <v>153</v>
      </c>
      <c r="P785" s="25">
        <v>0</v>
      </c>
    </row>
    <row r="786" spans="1:16" x14ac:dyDescent="0.25">
      <c r="A786" s="26">
        <v>45366.09578703704</v>
      </c>
      <c r="B786" s="25" t="s">
        <v>28</v>
      </c>
      <c r="C786" s="25" t="s">
        <v>1604</v>
      </c>
      <c r="D786" s="25" t="s">
        <v>1605</v>
      </c>
      <c r="E786" s="25">
        <v>301</v>
      </c>
      <c r="F786" s="25" t="s">
        <v>25</v>
      </c>
      <c r="G786" s="25">
        <v>18.5</v>
      </c>
      <c r="H786" s="25">
        <v>75.3</v>
      </c>
      <c r="I786" s="25" t="s">
        <v>38</v>
      </c>
      <c r="J786" s="25">
        <v>39</v>
      </c>
      <c r="K786" s="25">
        <v>140</v>
      </c>
      <c r="L786" s="25">
        <v>6</v>
      </c>
      <c r="M786" s="25" t="s">
        <v>27</v>
      </c>
      <c r="N786" s="25">
        <v>78.5</v>
      </c>
      <c r="O786" s="25">
        <v>208</v>
      </c>
      <c r="P786" s="25">
        <v>0</v>
      </c>
    </row>
    <row r="787" spans="1:16" x14ac:dyDescent="0.25">
      <c r="A787" s="26">
        <v>45356.953055555554</v>
      </c>
      <c r="B787" s="25" t="s">
        <v>28</v>
      </c>
      <c r="C787" s="25" t="s">
        <v>1606</v>
      </c>
      <c r="D787" s="25" t="s">
        <v>1607</v>
      </c>
      <c r="E787" s="25">
        <v>195</v>
      </c>
      <c r="F787" s="25" t="s">
        <v>34</v>
      </c>
      <c r="G787" s="25">
        <v>26.9</v>
      </c>
      <c r="H787" s="25">
        <v>79.8</v>
      </c>
      <c r="I787" s="25" t="s">
        <v>38</v>
      </c>
      <c r="J787" s="25">
        <v>57</v>
      </c>
      <c r="K787" s="25">
        <v>190</v>
      </c>
      <c r="L787" s="25">
        <v>2</v>
      </c>
      <c r="M787" s="25" t="s">
        <v>35</v>
      </c>
      <c r="N787" s="25">
        <v>60.6</v>
      </c>
      <c r="O787" s="25">
        <v>235</v>
      </c>
      <c r="P787" s="25">
        <v>0</v>
      </c>
    </row>
    <row r="788" spans="1:16" ht="30" customHeight="1" x14ac:dyDescent="0.25">
      <c r="A788" s="26">
        <v>45591.990960648145</v>
      </c>
      <c r="B788" s="25" t="s">
        <v>16</v>
      </c>
      <c r="C788" s="25" t="s">
        <v>1608</v>
      </c>
      <c r="D788" s="25" t="s">
        <v>1609</v>
      </c>
      <c r="E788" s="25">
        <v>310</v>
      </c>
      <c r="F788" s="25" t="s">
        <v>34</v>
      </c>
      <c r="G788" s="25">
        <v>23.8</v>
      </c>
      <c r="H788" s="25">
        <v>72.400000000000006</v>
      </c>
      <c r="I788" s="25" t="s">
        <v>38</v>
      </c>
      <c r="J788" s="25">
        <v>53</v>
      </c>
      <c r="K788" s="25">
        <v>277</v>
      </c>
      <c r="L788" s="25">
        <v>4</v>
      </c>
      <c r="M788" s="25" t="s">
        <v>51</v>
      </c>
      <c r="N788" s="25">
        <v>91.3</v>
      </c>
      <c r="O788" s="25">
        <v>122</v>
      </c>
      <c r="P788" s="25">
        <v>0</v>
      </c>
    </row>
    <row r="789" spans="1:16" ht="30" customHeight="1" x14ac:dyDescent="0.25">
      <c r="A789" s="26">
        <v>45368.716307870367</v>
      </c>
      <c r="B789" s="25" t="s">
        <v>48</v>
      </c>
      <c r="C789" s="25" t="s">
        <v>1610</v>
      </c>
      <c r="D789" s="25" t="s">
        <v>1611</v>
      </c>
      <c r="E789" s="25">
        <v>100</v>
      </c>
      <c r="F789" s="25" t="s">
        <v>25</v>
      </c>
      <c r="G789" s="25">
        <v>23.6</v>
      </c>
      <c r="H789" s="25">
        <v>64.3</v>
      </c>
      <c r="I789" s="25" t="s">
        <v>20</v>
      </c>
      <c r="J789" s="25">
        <v>29</v>
      </c>
      <c r="K789" s="25">
        <v>276</v>
      </c>
      <c r="L789" s="25">
        <v>5</v>
      </c>
      <c r="M789" s="25" t="s">
        <v>51</v>
      </c>
      <c r="N789" s="25">
        <v>89.1</v>
      </c>
      <c r="O789" s="25">
        <v>198</v>
      </c>
      <c r="P789" s="25">
        <v>0</v>
      </c>
    </row>
    <row r="790" spans="1:16" x14ac:dyDescent="0.25">
      <c r="A790" s="26">
        <v>45304.660729166666</v>
      </c>
      <c r="B790" s="25" t="s">
        <v>95</v>
      </c>
      <c r="C790" s="25" t="s">
        <v>1612</v>
      </c>
      <c r="D790" s="25" t="s">
        <v>1613</v>
      </c>
      <c r="E790" s="25">
        <v>147</v>
      </c>
      <c r="F790" s="25" t="s">
        <v>25</v>
      </c>
      <c r="G790" s="25">
        <v>18.7</v>
      </c>
      <c r="H790" s="25">
        <v>68.5</v>
      </c>
      <c r="I790" s="25" t="s">
        <v>26</v>
      </c>
      <c r="J790" s="25">
        <v>25</v>
      </c>
      <c r="K790" s="25">
        <v>439</v>
      </c>
      <c r="L790" s="25">
        <v>9</v>
      </c>
      <c r="M790" s="25" t="s">
        <v>21</v>
      </c>
      <c r="N790" s="25">
        <v>75.2</v>
      </c>
      <c r="O790" s="25">
        <v>266</v>
      </c>
      <c r="P790" s="25">
        <v>1</v>
      </c>
    </row>
    <row r="791" spans="1:16" ht="30" customHeight="1" x14ac:dyDescent="0.25">
      <c r="A791" s="26">
        <v>45442.959016203706</v>
      </c>
      <c r="B791" s="25" t="s">
        <v>31</v>
      </c>
      <c r="C791" s="25" t="s">
        <v>1614</v>
      </c>
      <c r="D791" s="25" t="s">
        <v>1615</v>
      </c>
      <c r="E791" s="25">
        <v>251</v>
      </c>
      <c r="F791" s="25" t="s">
        <v>19</v>
      </c>
      <c r="G791" s="25">
        <v>22.8</v>
      </c>
      <c r="H791" s="25">
        <v>62.9</v>
      </c>
      <c r="I791" s="25" t="s">
        <v>26</v>
      </c>
      <c r="J791" s="25">
        <v>52</v>
      </c>
      <c r="K791" s="25">
        <v>173</v>
      </c>
      <c r="L791" s="25">
        <v>3</v>
      </c>
      <c r="M791" s="25" t="s">
        <v>51</v>
      </c>
      <c r="N791" s="25">
        <v>72.900000000000006</v>
      </c>
      <c r="O791" s="25">
        <v>268</v>
      </c>
      <c r="P791" s="25">
        <v>1</v>
      </c>
    </row>
    <row r="792" spans="1:16" x14ac:dyDescent="0.25">
      <c r="A792" s="26">
        <v>45504.95648148148</v>
      </c>
      <c r="B792" s="25" t="s">
        <v>16</v>
      </c>
      <c r="C792" s="25" t="s">
        <v>1616</v>
      </c>
      <c r="D792" s="25" t="s">
        <v>1617</v>
      </c>
      <c r="E792" s="25">
        <v>108</v>
      </c>
      <c r="F792" s="25" t="s">
        <v>34</v>
      </c>
      <c r="G792" s="25">
        <v>26.6</v>
      </c>
      <c r="H792" s="25">
        <v>61.7</v>
      </c>
      <c r="I792" s="25" t="s">
        <v>20</v>
      </c>
      <c r="J792" s="25">
        <v>47</v>
      </c>
      <c r="K792" s="25">
        <v>122</v>
      </c>
      <c r="L792" s="25">
        <v>7</v>
      </c>
      <c r="M792" s="25" t="s">
        <v>27</v>
      </c>
      <c r="N792" s="25">
        <v>64.599999999999994</v>
      </c>
      <c r="O792" s="25">
        <v>116</v>
      </c>
      <c r="P792" s="25">
        <v>0</v>
      </c>
    </row>
    <row r="793" spans="1:16" x14ac:dyDescent="0.25">
      <c r="A793" s="26">
        <v>45456.199317129627</v>
      </c>
      <c r="B793" s="25" t="s">
        <v>22</v>
      </c>
      <c r="C793" s="25" t="s">
        <v>1618</v>
      </c>
      <c r="D793" s="25" t="s">
        <v>1619</v>
      </c>
      <c r="E793" s="25">
        <v>340</v>
      </c>
      <c r="F793" s="25" t="s">
        <v>25</v>
      </c>
      <c r="G793" s="25">
        <v>27.9</v>
      </c>
      <c r="H793" s="25">
        <v>69.099999999999994</v>
      </c>
      <c r="I793" s="25" t="s">
        <v>38</v>
      </c>
      <c r="J793" s="25">
        <v>32</v>
      </c>
      <c r="K793" s="25">
        <v>162</v>
      </c>
      <c r="L793" s="25">
        <v>2</v>
      </c>
      <c r="M793" s="25" t="s">
        <v>27</v>
      </c>
      <c r="N793" s="25">
        <v>90.9</v>
      </c>
      <c r="O793" s="25">
        <v>300</v>
      </c>
      <c r="P793" s="25">
        <v>0</v>
      </c>
    </row>
    <row r="794" spans="1:16" x14ac:dyDescent="0.25">
      <c r="A794" s="26">
        <v>45479.666226851848</v>
      </c>
      <c r="B794" s="25" t="s">
        <v>61</v>
      </c>
      <c r="C794" s="25" t="s">
        <v>1620</v>
      </c>
      <c r="D794" s="25" t="s">
        <v>1621</v>
      </c>
      <c r="E794" s="25">
        <v>167</v>
      </c>
      <c r="F794" s="25" t="s">
        <v>19</v>
      </c>
      <c r="G794" s="25">
        <v>21.6</v>
      </c>
      <c r="H794" s="25">
        <v>54.6</v>
      </c>
      <c r="I794" s="25" t="s">
        <v>38</v>
      </c>
      <c r="J794" s="25">
        <v>46</v>
      </c>
      <c r="K794" s="25">
        <v>240</v>
      </c>
      <c r="L794" s="25">
        <v>10</v>
      </c>
      <c r="M794" s="25" t="s">
        <v>27</v>
      </c>
      <c r="N794" s="25">
        <v>60.5</v>
      </c>
      <c r="O794" s="25">
        <v>278</v>
      </c>
      <c r="P794" s="25">
        <v>1</v>
      </c>
    </row>
    <row r="795" spans="1:16" x14ac:dyDescent="0.25">
      <c r="A795" s="26">
        <v>45350.521273148152</v>
      </c>
      <c r="B795" s="25" t="s">
        <v>61</v>
      </c>
      <c r="C795" s="25" t="s">
        <v>1622</v>
      </c>
      <c r="D795" s="25" t="s">
        <v>1623</v>
      </c>
      <c r="E795" s="25">
        <v>488</v>
      </c>
      <c r="F795" s="25" t="s">
        <v>34</v>
      </c>
      <c r="G795" s="25">
        <v>24.9</v>
      </c>
      <c r="H795" s="25">
        <v>79.2</v>
      </c>
      <c r="I795" s="25" t="s">
        <v>26</v>
      </c>
      <c r="J795" s="25">
        <v>52</v>
      </c>
      <c r="K795" s="25">
        <v>290</v>
      </c>
      <c r="L795" s="25">
        <v>10</v>
      </c>
      <c r="M795" s="25" t="s">
        <v>35</v>
      </c>
      <c r="N795" s="25">
        <v>82.5</v>
      </c>
      <c r="O795" s="25">
        <v>248</v>
      </c>
      <c r="P795" s="25">
        <v>1</v>
      </c>
    </row>
    <row r="796" spans="1:16" x14ac:dyDescent="0.25">
      <c r="A796" s="26">
        <v>45373.281574074077</v>
      </c>
      <c r="B796" s="25" t="s">
        <v>56</v>
      </c>
      <c r="C796" s="25" t="s">
        <v>1624</v>
      </c>
      <c r="D796" s="25" t="s">
        <v>1625</v>
      </c>
      <c r="E796" s="25">
        <v>330</v>
      </c>
      <c r="F796" s="25" t="s">
        <v>34</v>
      </c>
      <c r="G796" s="25">
        <v>24.4</v>
      </c>
      <c r="H796" s="25">
        <v>79.5</v>
      </c>
      <c r="I796" s="25" t="s">
        <v>38</v>
      </c>
      <c r="J796" s="25">
        <v>19</v>
      </c>
      <c r="K796" s="25">
        <v>110</v>
      </c>
      <c r="L796" s="25">
        <v>7</v>
      </c>
      <c r="M796" s="25" t="s">
        <v>21</v>
      </c>
      <c r="N796" s="25">
        <v>66.3</v>
      </c>
      <c r="O796" s="25">
        <v>109</v>
      </c>
      <c r="P796" s="25">
        <v>0</v>
      </c>
    </row>
    <row r="797" spans="1:16" ht="30" customHeight="1" x14ac:dyDescent="0.25">
      <c r="A797" s="26">
        <v>45320.807372685187</v>
      </c>
      <c r="B797" s="25" t="s">
        <v>31</v>
      </c>
      <c r="C797" s="25" t="s">
        <v>1626</v>
      </c>
      <c r="D797" s="25" t="s">
        <v>1627</v>
      </c>
      <c r="E797" s="25">
        <v>177</v>
      </c>
      <c r="F797" s="25" t="s">
        <v>34</v>
      </c>
      <c r="G797" s="25">
        <v>25.6</v>
      </c>
      <c r="H797" s="25">
        <v>71.900000000000006</v>
      </c>
      <c r="I797" s="25" t="s">
        <v>20</v>
      </c>
      <c r="J797" s="25">
        <v>20</v>
      </c>
      <c r="K797" s="25">
        <v>193</v>
      </c>
      <c r="L797" s="25">
        <v>6</v>
      </c>
      <c r="M797" s="25" t="s">
        <v>51</v>
      </c>
      <c r="N797" s="25">
        <v>95.5</v>
      </c>
      <c r="O797" s="25">
        <v>182</v>
      </c>
      <c r="P797" s="25">
        <v>0</v>
      </c>
    </row>
    <row r="798" spans="1:16" ht="30" customHeight="1" x14ac:dyDescent="0.25">
      <c r="A798" s="26">
        <v>45482.09103009259</v>
      </c>
      <c r="B798" s="25" t="s">
        <v>41</v>
      </c>
      <c r="C798" s="25" t="s">
        <v>1628</v>
      </c>
      <c r="D798" s="25" t="s">
        <v>1629</v>
      </c>
      <c r="E798" s="25">
        <v>132</v>
      </c>
      <c r="F798" s="25" t="s">
        <v>34</v>
      </c>
      <c r="G798" s="25">
        <v>22.9</v>
      </c>
      <c r="H798" s="25">
        <v>66.5</v>
      </c>
      <c r="I798" s="25" t="s">
        <v>38</v>
      </c>
      <c r="J798" s="25">
        <v>35</v>
      </c>
      <c r="K798" s="25">
        <v>209</v>
      </c>
      <c r="L798" s="25">
        <v>6</v>
      </c>
      <c r="M798" s="25" t="s">
        <v>51</v>
      </c>
      <c r="N798" s="25">
        <v>94.3</v>
      </c>
      <c r="O798" s="25">
        <v>122</v>
      </c>
      <c r="P798" s="25">
        <v>0</v>
      </c>
    </row>
    <row r="799" spans="1:16" x14ac:dyDescent="0.25">
      <c r="A799" s="26">
        <v>45463.562604166669</v>
      </c>
      <c r="B799" s="25" t="s">
        <v>22</v>
      </c>
      <c r="C799" s="25" t="s">
        <v>1630</v>
      </c>
      <c r="D799" s="25" t="s">
        <v>1631</v>
      </c>
      <c r="E799" s="25">
        <v>208</v>
      </c>
      <c r="F799" s="25" t="s">
        <v>19</v>
      </c>
      <c r="G799" s="25">
        <v>22.5</v>
      </c>
      <c r="H799" s="25">
        <v>65.900000000000006</v>
      </c>
      <c r="I799" s="25" t="s">
        <v>26</v>
      </c>
      <c r="J799" s="25">
        <v>38</v>
      </c>
      <c r="K799" s="25">
        <v>462</v>
      </c>
      <c r="L799" s="25">
        <v>7</v>
      </c>
      <c r="M799" s="25" t="s">
        <v>27</v>
      </c>
      <c r="N799" s="25">
        <v>83.1</v>
      </c>
      <c r="O799" s="25">
        <v>193</v>
      </c>
      <c r="P799" s="25">
        <v>1</v>
      </c>
    </row>
    <row r="800" spans="1:16" x14ac:dyDescent="0.25">
      <c r="A800" s="26">
        <v>45444.029120370367</v>
      </c>
      <c r="B800" s="25" t="s">
        <v>22</v>
      </c>
      <c r="C800" s="25" t="s">
        <v>1632</v>
      </c>
      <c r="D800" s="25" t="s">
        <v>1633</v>
      </c>
      <c r="E800" s="25">
        <v>348</v>
      </c>
      <c r="F800" s="25" t="s">
        <v>19</v>
      </c>
      <c r="G800" s="25">
        <v>25.8</v>
      </c>
      <c r="H800" s="25">
        <v>62.9</v>
      </c>
      <c r="I800" s="25" t="s">
        <v>20</v>
      </c>
      <c r="J800" s="25">
        <v>24</v>
      </c>
      <c r="K800" s="25">
        <v>352</v>
      </c>
      <c r="L800" s="25">
        <v>6</v>
      </c>
      <c r="M800" s="25" t="s">
        <v>27</v>
      </c>
      <c r="N800" s="25">
        <v>96.5</v>
      </c>
      <c r="O800" s="25">
        <v>164</v>
      </c>
      <c r="P800" s="25">
        <v>1</v>
      </c>
    </row>
    <row r="801" spans="1:16" x14ac:dyDescent="0.25">
      <c r="A801" s="26">
        <v>45374.852430555555</v>
      </c>
      <c r="B801" s="25" t="s">
        <v>41</v>
      </c>
      <c r="C801" s="25" t="s">
        <v>1634</v>
      </c>
      <c r="D801" s="25" t="s">
        <v>1635</v>
      </c>
      <c r="E801" s="25">
        <v>156</v>
      </c>
      <c r="F801" s="25" t="s">
        <v>25</v>
      </c>
      <c r="G801" s="25">
        <v>19.399999999999999</v>
      </c>
      <c r="H801" s="25">
        <v>75.2</v>
      </c>
      <c r="I801" s="25" t="s">
        <v>26</v>
      </c>
      <c r="J801" s="25">
        <v>44</v>
      </c>
      <c r="K801" s="25">
        <v>135</v>
      </c>
      <c r="L801" s="25">
        <v>1</v>
      </c>
      <c r="M801" s="25" t="s">
        <v>27</v>
      </c>
      <c r="N801" s="25">
        <v>66.599999999999994</v>
      </c>
      <c r="O801" s="25">
        <v>108</v>
      </c>
      <c r="P801" s="25">
        <v>1</v>
      </c>
    </row>
    <row r="802" spans="1:16" x14ac:dyDescent="0.25">
      <c r="A802" s="26">
        <v>45400.201539351852</v>
      </c>
      <c r="B802" s="25" t="s">
        <v>64</v>
      </c>
      <c r="C802" s="25" t="s">
        <v>1636</v>
      </c>
      <c r="D802" s="25" t="s">
        <v>1637</v>
      </c>
      <c r="E802" s="25">
        <v>468</v>
      </c>
      <c r="F802" s="25" t="s">
        <v>34</v>
      </c>
      <c r="G802" s="25">
        <v>26.6</v>
      </c>
      <c r="H802" s="25">
        <v>59</v>
      </c>
      <c r="I802" s="25" t="s">
        <v>26</v>
      </c>
      <c r="J802" s="25">
        <v>16</v>
      </c>
      <c r="K802" s="25">
        <v>144</v>
      </c>
      <c r="L802" s="25">
        <v>4</v>
      </c>
      <c r="M802" s="25" t="s">
        <v>27</v>
      </c>
      <c r="N802" s="25">
        <v>86.8</v>
      </c>
      <c r="O802" s="25">
        <v>276</v>
      </c>
      <c r="P802" s="25">
        <v>1</v>
      </c>
    </row>
    <row r="803" spans="1:16" x14ac:dyDescent="0.25">
      <c r="A803" s="26">
        <v>45469.392893518518</v>
      </c>
      <c r="B803" s="25" t="s">
        <v>16</v>
      </c>
      <c r="C803" s="25" t="s">
        <v>1638</v>
      </c>
      <c r="D803" s="25" t="s">
        <v>1639</v>
      </c>
      <c r="E803" s="25">
        <v>142</v>
      </c>
      <c r="F803" s="25" t="s">
        <v>19</v>
      </c>
      <c r="G803" s="25">
        <v>28.4</v>
      </c>
      <c r="H803" s="25">
        <v>67.3</v>
      </c>
      <c r="I803" s="25" t="s">
        <v>20</v>
      </c>
      <c r="J803" s="25">
        <v>30</v>
      </c>
      <c r="K803" s="25">
        <v>181</v>
      </c>
      <c r="L803" s="25">
        <v>6</v>
      </c>
      <c r="M803" s="25" t="s">
        <v>27</v>
      </c>
      <c r="N803" s="25">
        <v>84.3</v>
      </c>
      <c r="O803" s="25">
        <v>104</v>
      </c>
      <c r="P803" s="25">
        <v>1</v>
      </c>
    </row>
    <row r="804" spans="1:16" x14ac:dyDescent="0.25">
      <c r="A804" s="26">
        <v>45326.047523148147</v>
      </c>
      <c r="B804" s="25" t="s">
        <v>28</v>
      </c>
      <c r="C804" s="25" t="s">
        <v>1640</v>
      </c>
      <c r="D804" s="25" t="s">
        <v>1641</v>
      </c>
      <c r="E804" s="25">
        <v>349</v>
      </c>
      <c r="F804" s="25" t="s">
        <v>25</v>
      </c>
      <c r="G804" s="25">
        <v>21.1</v>
      </c>
      <c r="H804" s="25">
        <v>55.1</v>
      </c>
      <c r="I804" s="25" t="s">
        <v>26</v>
      </c>
      <c r="J804" s="25">
        <v>13</v>
      </c>
      <c r="K804" s="25">
        <v>453</v>
      </c>
      <c r="L804" s="25">
        <v>10</v>
      </c>
      <c r="M804" s="25" t="s">
        <v>27</v>
      </c>
      <c r="N804" s="25">
        <v>65.099999999999994</v>
      </c>
      <c r="O804" s="25">
        <v>111</v>
      </c>
      <c r="P804" s="25">
        <v>1</v>
      </c>
    </row>
    <row r="805" spans="1:16" ht="30" customHeight="1" x14ac:dyDescent="0.25">
      <c r="A805" s="26">
        <v>45383.685555555552</v>
      </c>
      <c r="B805" s="25" t="s">
        <v>41</v>
      </c>
      <c r="C805" s="25" t="s">
        <v>1642</v>
      </c>
      <c r="D805" s="25" t="s">
        <v>1643</v>
      </c>
      <c r="E805" s="25">
        <v>226</v>
      </c>
      <c r="F805" s="25" t="s">
        <v>34</v>
      </c>
      <c r="G805" s="25">
        <v>23.9</v>
      </c>
      <c r="H805" s="25">
        <v>61.2</v>
      </c>
      <c r="I805" s="25" t="s">
        <v>26</v>
      </c>
      <c r="J805" s="25">
        <v>13</v>
      </c>
      <c r="K805" s="25">
        <v>211</v>
      </c>
      <c r="L805" s="25">
        <v>2</v>
      </c>
      <c r="M805" s="25" t="s">
        <v>51</v>
      </c>
      <c r="N805" s="25">
        <v>67.5</v>
      </c>
      <c r="O805" s="25">
        <v>232</v>
      </c>
      <c r="P805" s="25">
        <v>1</v>
      </c>
    </row>
    <row r="806" spans="1:16" x14ac:dyDescent="0.25">
      <c r="A806" s="26">
        <v>45518.89502314815</v>
      </c>
      <c r="B806" s="25" t="s">
        <v>48</v>
      </c>
      <c r="C806" s="25" t="s">
        <v>1644</v>
      </c>
      <c r="D806" s="25" t="s">
        <v>1645</v>
      </c>
      <c r="E806" s="25">
        <v>481</v>
      </c>
      <c r="F806" s="25" t="s">
        <v>25</v>
      </c>
      <c r="G806" s="25">
        <v>22.4</v>
      </c>
      <c r="H806" s="25">
        <v>77.900000000000006</v>
      </c>
      <c r="I806" s="25" t="s">
        <v>20</v>
      </c>
      <c r="J806" s="25">
        <v>25</v>
      </c>
      <c r="K806" s="25">
        <v>143</v>
      </c>
      <c r="L806" s="25">
        <v>8</v>
      </c>
      <c r="M806" s="25" t="s">
        <v>35</v>
      </c>
      <c r="N806" s="25">
        <v>71.400000000000006</v>
      </c>
      <c r="O806" s="25">
        <v>124</v>
      </c>
      <c r="P806" s="25">
        <v>0</v>
      </c>
    </row>
    <row r="807" spans="1:16" ht="30" customHeight="1" x14ac:dyDescent="0.25">
      <c r="A807" s="26">
        <v>45568.765185185184</v>
      </c>
      <c r="B807" s="25" t="s">
        <v>64</v>
      </c>
      <c r="C807" s="25" t="s">
        <v>1646</v>
      </c>
      <c r="D807" s="25" t="s">
        <v>1647</v>
      </c>
      <c r="E807" s="25">
        <v>448</v>
      </c>
      <c r="F807" s="25" t="s">
        <v>34</v>
      </c>
      <c r="G807" s="25">
        <v>20.100000000000001</v>
      </c>
      <c r="H807" s="25">
        <v>65.7</v>
      </c>
      <c r="I807" s="25" t="s">
        <v>38</v>
      </c>
      <c r="J807" s="25">
        <v>20</v>
      </c>
      <c r="K807" s="25">
        <v>180</v>
      </c>
      <c r="L807" s="25">
        <v>7</v>
      </c>
      <c r="M807" s="25" t="s">
        <v>51</v>
      </c>
      <c r="N807" s="25">
        <v>61.7</v>
      </c>
      <c r="O807" s="25">
        <v>253</v>
      </c>
      <c r="P807" s="25">
        <v>0</v>
      </c>
    </row>
    <row r="808" spans="1:16" ht="30" customHeight="1" x14ac:dyDescent="0.25">
      <c r="A808" s="26">
        <v>45376.515393518515</v>
      </c>
      <c r="B808" s="25" t="s">
        <v>64</v>
      </c>
      <c r="C808" s="25" t="s">
        <v>1648</v>
      </c>
      <c r="D808" s="25" t="s">
        <v>1649</v>
      </c>
      <c r="E808" s="25">
        <v>441</v>
      </c>
      <c r="F808" s="25" t="s">
        <v>19</v>
      </c>
      <c r="G808" s="25">
        <v>18.899999999999999</v>
      </c>
      <c r="H808" s="25">
        <v>67</v>
      </c>
      <c r="I808" s="25" t="s">
        <v>20</v>
      </c>
      <c r="J808" s="25">
        <v>48</v>
      </c>
      <c r="K808" s="25">
        <v>359</v>
      </c>
      <c r="L808" s="25">
        <v>8</v>
      </c>
      <c r="M808" s="25" t="s">
        <v>51</v>
      </c>
      <c r="N808" s="25">
        <v>76</v>
      </c>
      <c r="O808" s="25">
        <v>300</v>
      </c>
      <c r="P808" s="25">
        <v>1</v>
      </c>
    </row>
    <row r="809" spans="1:16" ht="30" customHeight="1" x14ac:dyDescent="0.25">
      <c r="A809" s="26">
        <v>45547.949155092596</v>
      </c>
      <c r="B809" s="25" t="s">
        <v>28</v>
      </c>
      <c r="C809" s="25" t="s">
        <v>1650</v>
      </c>
      <c r="D809" s="25" t="s">
        <v>1651</v>
      </c>
      <c r="E809" s="25">
        <v>470</v>
      </c>
      <c r="F809" s="25" t="s">
        <v>34</v>
      </c>
      <c r="G809" s="25">
        <v>25.1</v>
      </c>
      <c r="H809" s="25">
        <v>70.3</v>
      </c>
      <c r="I809" s="25" t="s">
        <v>26</v>
      </c>
      <c r="J809" s="25">
        <v>11</v>
      </c>
      <c r="K809" s="25">
        <v>417</v>
      </c>
      <c r="L809" s="25">
        <v>3</v>
      </c>
      <c r="M809" s="25" t="s">
        <v>51</v>
      </c>
      <c r="N809" s="25">
        <v>76.5</v>
      </c>
      <c r="O809" s="25">
        <v>126</v>
      </c>
      <c r="P809" s="25">
        <v>1</v>
      </c>
    </row>
    <row r="810" spans="1:16" x14ac:dyDescent="0.25">
      <c r="A810" s="26">
        <v>45415.933946759258</v>
      </c>
      <c r="B810" s="25" t="s">
        <v>28</v>
      </c>
      <c r="C810" s="25" t="s">
        <v>1652</v>
      </c>
      <c r="D810" s="25" t="s">
        <v>1653</v>
      </c>
      <c r="E810" s="25">
        <v>459</v>
      </c>
      <c r="F810" s="25" t="s">
        <v>25</v>
      </c>
      <c r="G810" s="25">
        <v>26.4</v>
      </c>
      <c r="H810" s="25">
        <v>50.6</v>
      </c>
      <c r="I810" s="25" t="s">
        <v>26</v>
      </c>
      <c r="J810" s="25">
        <v>17</v>
      </c>
      <c r="K810" s="25">
        <v>222</v>
      </c>
      <c r="L810" s="25">
        <v>9</v>
      </c>
      <c r="M810" s="25" t="s">
        <v>35</v>
      </c>
      <c r="N810" s="25">
        <v>94.9</v>
      </c>
      <c r="O810" s="25">
        <v>265</v>
      </c>
      <c r="P810" s="25">
        <v>1</v>
      </c>
    </row>
    <row r="811" spans="1:16" x14ac:dyDescent="0.25">
      <c r="A811" s="26">
        <v>45439.414282407408</v>
      </c>
      <c r="B811" s="25" t="s">
        <v>22</v>
      </c>
      <c r="C811" s="25" t="s">
        <v>1654</v>
      </c>
      <c r="D811" s="25" t="s">
        <v>1655</v>
      </c>
      <c r="E811" s="25">
        <v>324</v>
      </c>
      <c r="F811" s="25" t="s">
        <v>25</v>
      </c>
      <c r="G811" s="25">
        <v>27.7</v>
      </c>
      <c r="H811" s="25">
        <v>54.8</v>
      </c>
      <c r="I811" s="25" t="s">
        <v>38</v>
      </c>
      <c r="J811" s="25">
        <v>46</v>
      </c>
      <c r="K811" s="25">
        <v>344</v>
      </c>
      <c r="L811" s="25">
        <v>10</v>
      </c>
      <c r="M811" s="25" t="s">
        <v>35</v>
      </c>
      <c r="N811" s="25">
        <v>70.7</v>
      </c>
      <c r="O811" s="25">
        <v>105</v>
      </c>
      <c r="P811" s="25">
        <v>0</v>
      </c>
    </row>
    <row r="812" spans="1:16" x14ac:dyDescent="0.25">
      <c r="A812" s="26">
        <v>45437.358055555553</v>
      </c>
      <c r="B812" s="25" t="s">
        <v>56</v>
      </c>
      <c r="C812" s="25" t="s">
        <v>1656</v>
      </c>
      <c r="D812" s="25" t="s">
        <v>1657</v>
      </c>
      <c r="E812" s="25">
        <v>194</v>
      </c>
      <c r="F812" s="25" t="s">
        <v>19</v>
      </c>
      <c r="G812" s="25">
        <v>24.9</v>
      </c>
      <c r="H812" s="25">
        <v>57.9</v>
      </c>
      <c r="I812" s="25" t="s">
        <v>20</v>
      </c>
      <c r="J812" s="25">
        <v>10</v>
      </c>
      <c r="K812" s="25">
        <v>220</v>
      </c>
      <c r="L812" s="25">
        <v>3</v>
      </c>
      <c r="M812" s="25" t="s">
        <v>21</v>
      </c>
      <c r="N812" s="25">
        <v>77.3</v>
      </c>
      <c r="O812" s="25">
        <v>172</v>
      </c>
      <c r="P812" s="25">
        <v>1</v>
      </c>
    </row>
    <row r="813" spans="1:16" x14ac:dyDescent="0.25">
      <c r="A813" s="26">
        <v>45371.372002314813</v>
      </c>
      <c r="B813" s="25" t="s">
        <v>31</v>
      </c>
      <c r="C813" s="25" t="s">
        <v>1658</v>
      </c>
      <c r="D813" s="25" t="s">
        <v>1659</v>
      </c>
      <c r="E813" s="25">
        <v>334</v>
      </c>
      <c r="F813" s="25" t="s">
        <v>34</v>
      </c>
      <c r="G813" s="25">
        <v>22.8</v>
      </c>
      <c r="H813" s="25">
        <v>61.1</v>
      </c>
      <c r="I813" s="25" t="s">
        <v>38</v>
      </c>
      <c r="J813" s="25">
        <v>52</v>
      </c>
      <c r="K813" s="25">
        <v>389</v>
      </c>
      <c r="L813" s="25">
        <v>2</v>
      </c>
      <c r="M813" s="25" t="s">
        <v>35</v>
      </c>
      <c r="N813" s="25">
        <v>88</v>
      </c>
      <c r="O813" s="25">
        <v>123</v>
      </c>
      <c r="P813" s="25">
        <v>0</v>
      </c>
    </row>
    <row r="814" spans="1:16" x14ac:dyDescent="0.25">
      <c r="A814" s="26">
        <v>45435.648333333331</v>
      </c>
      <c r="B814" s="25" t="s">
        <v>48</v>
      </c>
      <c r="C814" s="25" t="s">
        <v>1660</v>
      </c>
      <c r="D814" s="25" t="s">
        <v>1661</v>
      </c>
      <c r="E814" s="25">
        <v>179</v>
      </c>
      <c r="F814" s="25" t="s">
        <v>34</v>
      </c>
      <c r="G814" s="25">
        <v>25.5</v>
      </c>
      <c r="H814" s="25">
        <v>75.8</v>
      </c>
      <c r="I814" s="25" t="s">
        <v>38</v>
      </c>
      <c r="J814" s="25">
        <v>19</v>
      </c>
      <c r="K814" s="25">
        <v>139</v>
      </c>
      <c r="L814" s="25">
        <v>9</v>
      </c>
      <c r="M814" s="25" t="s">
        <v>35</v>
      </c>
      <c r="N814" s="25">
        <v>83.5</v>
      </c>
      <c r="O814" s="25">
        <v>282</v>
      </c>
      <c r="P814" s="25">
        <v>0</v>
      </c>
    </row>
    <row r="815" spans="1:16" x14ac:dyDescent="0.25">
      <c r="A815" s="26">
        <v>45584.998668981483</v>
      </c>
      <c r="B815" s="25" t="s">
        <v>56</v>
      </c>
      <c r="C815" s="25" t="s">
        <v>1662</v>
      </c>
      <c r="D815" s="25" t="s">
        <v>1663</v>
      </c>
      <c r="E815" s="25">
        <v>401</v>
      </c>
      <c r="F815" s="25" t="s">
        <v>19</v>
      </c>
      <c r="G815" s="25">
        <v>27.1</v>
      </c>
      <c r="H815" s="25">
        <v>67.2</v>
      </c>
      <c r="I815" s="25" t="s">
        <v>20</v>
      </c>
      <c r="J815" s="25">
        <v>51</v>
      </c>
      <c r="K815" s="25">
        <v>487</v>
      </c>
      <c r="L815" s="25">
        <v>3</v>
      </c>
      <c r="M815" s="25" t="s">
        <v>27</v>
      </c>
      <c r="N815" s="25">
        <v>86.3</v>
      </c>
      <c r="O815" s="25">
        <v>238</v>
      </c>
      <c r="P815" s="25">
        <v>1</v>
      </c>
    </row>
    <row r="816" spans="1:16" x14ac:dyDescent="0.25">
      <c r="A816" s="26">
        <v>45393.193935185183</v>
      </c>
      <c r="B816" s="25" t="s">
        <v>28</v>
      </c>
      <c r="C816" s="25" t="s">
        <v>1664</v>
      </c>
      <c r="D816" s="25" t="s">
        <v>1665</v>
      </c>
      <c r="E816" s="25">
        <v>384</v>
      </c>
      <c r="F816" s="25" t="s">
        <v>25</v>
      </c>
      <c r="G816" s="25">
        <v>24.2</v>
      </c>
      <c r="H816" s="25">
        <v>72.5</v>
      </c>
      <c r="I816" s="25" t="s">
        <v>26</v>
      </c>
      <c r="J816" s="25">
        <v>50</v>
      </c>
      <c r="K816" s="25">
        <v>131</v>
      </c>
      <c r="L816" s="25">
        <v>3</v>
      </c>
      <c r="M816" s="25" t="s">
        <v>27</v>
      </c>
      <c r="N816" s="25">
        <v>80.099999999999994</v>
      </c>
      <c r="O816" s="25">
        <v>141</v>
      </c>
      <c r="P816" s="25">
        <v>1</v>
      </c>
    </row>
    <row r="817" spans="1:16" x14ac:dyDescent="0.25">
      <c r="A817" s="26">
        <v>45361.258483796293</v>
      </c>
      <c r="B817" s="25" t="s">
        <v>31</v>
      </c>
      <c r="C817" s="25" t="s">
        <v>1666</v>
      </c>
      <c r="D817" s="25" t="s">
        <v>1667</v>
      </c>
      <c r="E817" s="25">
        <v>434</v>
      </c>
      <c r="F817" s="25" t="s">
        <v>34</v>
      </c>
      <c r="G817" s="25">
        <v>22</v>
      </c>
      <c r="H817" s="25">
        <v>69.2</v>
      </c>
      <c r="I817" s="25" t="s">
        <v>26</v>
      </c>
      <c r="J817" s="25">
        <v>17</v>
      </c>
      <c r="K817" s="25">
        <v>233</v>
      </c>
      <c r="L817" s="25">
        <v>10</v>
      </c>
      <c r="M817" s="25" t="s">
        <v>21</v>
      </c>
      <c r="N817" s="25">
        <v>63.4</v>
      </c>
      <c r="O817" s="25">
        <v>138</v>
      </c>
      <c r="P817" s="25">
        <v>1</v>
      </c>
    </row>
    <row r="818" spans="1:16" x14ac:dyDescent="0.25">
      <c r="A818" s="26">
        <v>45654.448645833334</v>
      </c>
      <c r="B818" s="25" t="s">
        <v>28</v>
      </c>
      <c r="C818" s="25" t="s">
        <v>1668</v>
      </c>
      <c r="D818" s="25" t="s">
        <v>1669</v>
      </c>
      <c r="E818" s="25">
        <v>366</v>
      </c>
      <c r="F818" s="25" t="s">
        <v>19</v>
      </c>
      <c r="G818" s="25">
        <v>18.7</v>
      </c>
      <c r="H818" s="25">
        <v>59.1</v>
      </c>
      <c r="I818" s="25" t="s">
        <v>20</v>
      </c>
      <c r="J818" s="25">
        <v>39</v>
      </c>
      <c r="K818" s="25">
        <v>466</v>
      </c>
      <c r="L818" s="25">
        <v>6</v>
      </c>
      <c r="M818" s="25" t="s">
        <v>35</v>
      </c>
      <c r="N818" s="25">
        <v>82.7</v>
      </c>
      <c r="O818" s="25">
        <v>109</v>
      </c>
      <c r="P818" s="25">
        <v>1</v>
      </c>
    </row>
    <row r="819" spans="1:16" x14ac:dyDescent="0.25">
      <c r="A819" s="26">
        <v>45418.307199074072</v>
      </c>
      <c r="B819" s="25" t="s">
        <v>61</v>
      </c>
      <c r="C819" s="25" t="s">
        <v>1670</v>
      </c>
      <c r="D819" s="25" t="s">
        <v>1671</v>
      </c>
      <c r="E819" s="25">
        <v>269</v>
      </c>
      <c r="F819" s="25" t="s">
        <v>25</v>
      </c>
      <c r="G819" s="25">
        <v>27.7</v>
      </c>
      <c r="H819" s="25">
        <v>57.5</v>
      </c>
      <c r="I819" s="25" t="s">
        <v>20</v>
      </c>
      <c r="J819" s="25">
        <v>54</v>
      </c>
      <c r="K819" s="25">
        <v>288</v>
      </c>
      <c r="L819" s="25">
        <v>6</v>
      </c>
      <c r="M819" s="25" t="s">
        <v>21</v>
      </c>
      <c r="N819" s="25">
        <v>89.8</v>
      </c>
      <c r="O819" s="25">
        <v>116</v>
      </c>
      <c r="P819" s="25">
        <v>0</v>
      </c>
    </row>
    <row r="820" spans="1:16" ht="30" customHeight="1" x14ac:dyDescent="0.25">
      <c r="A820" s="26">
        <v>45308.187106481484</v>
      </c>
      <c r="B820" s="25" t="s">
        <v>95</v>
      </c>
      <c r="C820" s="25" t="s">
        <v>1672</v>
      </c>
      <c r="D820" s="25" t="s">
        <v>1673</v>
      </c>
      <c r="E820" s="25">
        <v>292</v>
      </c>
      <c r="F820" s="25" t="s">
        <v>34</v>
      </c>
      <c r="G820" s="25">
        <v>22.7</v>
      </c>
      <c r="H820" s="25">
        <v>61</v>
      </c>
      <c r="I820" s="25" t="s">
        <v>38</v>
      </c>
      <c r="J820" s="25">
        <v>42</v>
      </c>
      <c r="K820" s="25">
        <v>358</v>
      </c>
      <c r="L820" s="25">
        <v>9</v>
      </c>
      <c r="M820" s="25" t="s">
        <v>51</v>
      </c>
      <c r="N820" s="25">
        <v>77.7</v>
      </c>
      <c r="O820" s="25">
        <v>256</v>
      </c>
      <c r="P820" s="25">
        <v>0</v>
      </c>
    </row>
    <row r="821" spans="1:16" x14ac:dyDescent="0.25">
      <c r="A821" s="26">
        <v>45563.07068287037</v>
      </c>
      <c r="B821" s="25" t="s">
        <v>22</v>
      </c>
      <c r="C821" s="25" t="s">
        <v>1674</v>
      </c>
      <c r="D821" s="25" t="s">
        <v>1675</v>
      </c>
      <c r="E821" s="25">
        <v>288</v>
      </c>
      <c r="F821" s="25" t="s">
        <v>34</v>
      </c>
      <c r="G821" s="25">
        <v>25.4</v>
      </c>
      <c r="H821" s="25">
        <v>62</v>
      </c>
      <c r="I821" s="25" t="s">
        <v>38</v>
      </c>
      <c r="J821" s="25">
        <v>54</v>
      </c>
      <c r="K821" s="25">
        <v>154</v>
      </c>
      <c r="L821" s="25">
        <v>2</v>
      </c>
      <c r="M821" s="25" t="s">
        <v>35</v>
      </c>
      <c r="N821" s="25">
        <v>71.900000000000006</v>
      </c>
      <c r="O821" s="25">
        <v>211</v>
      </c>
      <c r="P821" s="25">
        <v>0</v>
      </c>
    </row>
    <row r="822" spans="1:16" x14ac:dyDescent="0.25">
      <c r="A822" s="26">
        <v>45357.110949074071</v>
      </c>
      <c r="B822" s="25" t="s">
        <v>56</v>
      </c>
      <c r="C822" s="25" t="s">
        <v>1676</v>
      </c>
      <c r="D822" s="25" t="s">
        <v>1677</v>
      </c>
      <c r="E822" s="25">
        <v>286</v>
      </c>
      <c r="F822" s="25" t="s">
        <v>34</v>
      </c>
      <c r="G822" s="25">
        <v>20.7</v>
      </c>
      <c r="H822" s="25">
        <v>59</v>
      </c>
      <c r="I822" s="25" t="s">
        <v>26</v>
      </c>
      <c r="J822" s="25">
        <v>43</v>
      </c>
      <c r="K822" s="25">
        <v>387</v>
      </c>
      <c r="L822" s="25">
        <v>4</v>
      </c>
      <c r="M822" s="25" t="s">
        <v>35</v>
      </c>
      <c r="N822" s="25">
        <v>60.7</v>
      </c>
      <c r="O822" s="25">
        <v>134</v>
      </c>
      <c r="P822" s="25">
        <v>1</v>
      </c>
    </row>
    <row r="823" spans="1:16" x14ac:dyDescent="0.25">
      <c r="A823" s="26">
        <v>45520.246979166666</v>
      </c>
      <c r="B823" s="25" t="s">
        <v>16</v>
      </c>
      <c r="C823" s="25" t="s">
        <v>1678</v>
      </c>
      <c r="D823" s="25" t="s">
        <v>1679</v>
      </c>
      <c r="E823" s="25">
        <v>155</v>
      </c>
      <c r="F823" s="25" t="s">
        <v>19</v>
      </c>
      <c r="G823" s="25">
        <v>24</v>
      </c>
      <c r="H823" s="25">
        <v>72.400000000000006</v>
      </c>
      <c r="I823" s="25" t="s">
        <v>20</v>
      </c>
      <c r="J823" s="25">
        <v>28</v>
      </c>
      <c r="K823" s="25">
        <v>398</v>
      </c>
      <c r="L823" s="25">
        <v>6</v>
      </c>
      <c r="M823" s="25" t="s">
        <v>35</v>
      </c>
      <c r="N823" s="25">
        <v>63.8</v>
      </c>
      <c r="O823" s="25">
        <v>278</v>
      </c>
      <c r="P823" s="25">
        <v>1</v>
      </c>
    </row>
    <row r="824" spans="1:16" ht="30" customHeight="1" x14ac:dyDescent="0.25">
      <c r="A824" s="26">
        <v>45511.402696759258</v>
      </c>
      <c r="B824" s="25" t="s">
        <v>56</v>
      </c>
      <c r="C824" s="25" t="s">
        <v>1680</v>
      </c>
      <c r="D824" s="25" t="s">
        <v>1681</v>
      </c>
      <c r="E824" s="25">
        <v>488</v>
      </c>
      <c r="F824" s="25" t="s">
        <v>34</v>
      </c>
      <c r="G824" s="25">
        <v>26.5</v>
      </c>
      <c r="H824" s="25">
        <v>66.599999999999994</v>
      </c>
      <c r="I824" s="25" t="s">
        <v>26</v>
      </c>
      <c r="J824" s="25">
        <v>41</v>
      </c>
      <c r="K824" s="25">
        <v>104</v>
      </c>
      <c r="L824" s="25">
        <v>1</v>
      </c>
      <c r="M824" s="25" t="s">
        <v>51</v>
      </c>
      <c r="N824" s="25">
        <v>67.099999999999994</v>
      </c>
      <c r="O824" s="25">
        <v>151</v>
      </c>
      <c r="P824" s="25">
        <v>1</v>
      </c>
    </row>
    <row r="825" spans="1:16" x14ac:dyDescent="0.25">
      <c r="A825" s="26">
        <v>45412.858587962961</v>
      </c>
      <c r="B825" s="25" t="s">
        <v>56</v>
      </c>
      <c r="C825" s="25" t="s">
        <v>1682</v>
      </c>
      <c r="D825" s="25" t="s">
        <v>1683</v>
      </c>
      <c r="E825" s="25">
        <v>386</v>
      </c>
      <c r="F825" s="25" t="s">
        <v>25</v>
      </c>
      <c r="G825" s="25">
        <v>21.8</v>
      </c>
      <c r="H825" s="25">
        <v>79.7</v>
      </c>
      <c r="I825" s="25" t="s">
        <v>20</v>
      </c>
      <c r="J825" s="25">
        <v>15</v>
      </c>
      <c r="K825" s="25">
        <v>463</v>
      </c>
      <c r="L825" s="25">
        <v>1</v>
      </c>
      <c r="M825" s="25" t="s">
        <v>35</v>
      </c>
      <c r="N825" s="25">
        <v>75</v>
      </c>
      <c r="O825" s="25">
        <v>224</v>
      </c>
      <c r="P825" s="25">
        <v>0</v>
      </c>
    </row>
    <row r="826" spans="1:16" x14ac:dyDescent="0.25">
      <c r="A826" s="26">
        <v>45476.527002314811</v>
      </c>
      <c r="B826" s="25" t="s">
        <v>61</v>
      </c>
      <c r="C826" s="25" t="s">
        <v>1684</v>
      </c>
      <c r="D826" s="25" t="s">
        <v>1685</v>
      </c>
      <c r="E826" s="25">
        <v>153</v>
      </c>
      <c r="F826" s="25" t="s">
        <v>34</v>
      </c>
      <c r="G826" s="25">
        <v>20.7</v>
      </c>
      <c r="H826" s="25">
        <v>55.3</v>
      </c>
      <c r="I826" s="25" t="s">
        <v>20</v>
      </c>
      <c r="J826" s="25">
        <v>55</v>
      </c>
      <c r="K826" s="25">
        <v>304</v>
      </c>
      <c r="L826" s="25">
        <v>8</v>
      </c>
      <c r="M826" s="25" t="s">
        <v>21</v>
      </c>
      <c r="N826" s="25">
        <v>79.5</v>
      </c>
      <c r="O826" s="25">
        <v>147</v>
      </c>
      <c r="P826" s="25">
        <v>0</v>
      </c>
    </row>
    <row r="827" spans="1:16" x14ac:dyDescent="0.25">
      <c r="A827" s="26">
        <v>45409.384039351855</v>
      </c>
      <c r="B827" s="25" t="s">
        <v>64</v>
      </c>
      <c r="C827" s="25" t="s">
        <v>1686</v>
      </c>
      <c r="D827" s="25" t="s">
        <v>1687</v>
      </c>
      <c r="E827" s="25">
        <v>317</v>
      </c>
      <c r="F827" s="25" t="s">
        <v>19</v>
      </c>
      <c r="G827" s="25">
        <v>26.5</v>
      </c>
      <c r="H827" s="25">
        <v>52.7</v>
      </c>
      <c r="I827" s="25" t="s">
        <v>26</v>
      </c>
      <c r="J827" s="25">
        <v>37</v>
      </c>
      <c r="K827" s="25">
        <v>427</v>
      </c>
      <c r="L827" s="25">
        <v>2</v>
      </c>
      <c r="M827" s="25" t="s">
        <v>35</v>
      </c>
      <c r="N827" s="25">
        <v>69.900000000000006</v>
      </c>
      <c r="O827" s="25">
        <v>233</v>
      </c>
      <c r="P827" s="25">
        <v>1</v>
      </c>
    </row>
    <row r="828" spans="1:16" ht="30" customHeight="1" x14ac:dyDescent="0.25">
      <c r="A828" s="26">
        <v>45637.682071759256</v>
      </c>
      <c r="B828" s="25" t="s">
        <v>64</v>
      </c>
      <c r="C828" s="25" t="s">
        <v>1688</v>
      </c>
      <c r="D828" s="25" t="s">
        <v>1689</v>
      </c>
      <c r="E828" s="25">
        <v>281</v>
      </c>
      <c r="F828" s="25" t="s">
        <v>25</v>
      </c>
      <c r="G828" s="25">
        <v>28</v>
      </c>
      <c r="H828" s="25">
        <v>73.5</v>
      </c>
      <c r="I828" s="25" t="s">
        <v>20</v>
      </c>
      <c r="J828" s="25">
        <v>43</v>
      </c>
      <c r="K828" s="25">
        <v>390</v>
      </c>
      <c r="L828" s="25">
        <v>5</v>
      </c>
      <c r="M828" s="25" t="s">
        <v>51</v>
      </c>
      <c r="N828" s="25">
        <v>86.4</v>
      </c>
      <c r="O828" s="25">
        <v>153</v>
      </c>
      <c r="P828" s="25">
        <v>0</v>
      </c>
    </row>
    <row r="829" spans="1:16" x14ac:dyDescent="0.25">
      <c r="A829" s="26">
        <v>45412.813715277778</v>
      </c>
      <c r="B829" s="25" t="s">
        <v>56</v>
      </c>
      <c r="C829" s="25" t="s">
        <v>1690</v>
      </c>
      <c r="D829" s="25" t="s">
        <v>1691</v>
      </c>
      <c r="E829" s="25">
        <v>473</v>
      </c>
      <c r="F829" s="25" t="s">
        <v>19</v>
      </c>
      <c r="G829" s="25">
        <v>24.8</v>
      </c>
      <c r="H829" s="25">
        <v>61.7</v>
      </c>
      <c r="I829" s="25" t="s">
        <v>26</v>
      </c>
      <c r="J829" s="25">
        <v>19</v>
      </c>
      <c r="K829" s="25">
        <v>360</v>
      </c>
      <c r="L829" s="25">
        <v>10</v>
      </c>
      <c r="M829" s="25" t="s">
        <v>27</v>
      </c>
      <c r="N829" s="25">
        <v>97.3</v>
      </c>
      <c r="O829" s="25">
        <v>186</v>
      </c>
      <c r="P829" s="25">
        <v>1</v>
      </c>
    </row>
    <row r="830" spans="1:16" x14ac:dyDescent="0.25">
      <c r="A830" s="26">
        <v>45377.653368055559</v>
      </c>
      <c r="B830" s="25" t="s">
        <v>16</v>
      </c>
      <c r="C830" s="25" t="s">
        <v>1692</v>
      </c>
      <c r="D830" s="25" t="s">
        <v>1693</v>
      </c>
      <c r="E830" s="25">
        <v>221</v>
      </c>
      <c r="F830" s="25" t="s">
        <v>34</v>
      </c>
      <c r="G830" s="25">
        <v>25.2</v>
      </c>
      <c r="H830" s="25">
        <v>68.5</v>
      </c>
      <c r="I830" s="25" t="s">
        <v>20</v>
      </c>
      <c r="J830" s="25">
        <v>41</v>
      </c>
      <c r="K830" s="25">
        <v>101</v>
      </c>
      <c r="L830" s="25">
        <v>9</v>
      </c>
      <c r="M830" s="25" t="s">
        <v>21</v>
      </c>
      <c r="N830" s="25">
        <v>99.3</v>
      </c>
      <c r="O830" s="25">
        <v>287</v>
      </c>
      <c r="P830" s="25">
        <v>0</v>
      </c>
    </row>
    <row r="831" spans="1:16" x14ac:dyDescent="0.25">
      <c r="A831" s="26">
        <v>45341.975034722222</v>
      </c>
      <c r="B831" s="25" t="s">
        <v>48</v>
      </c>
      <c r="C831" s="25" t="s">
        <v>1694</v>
      </c>
      <c r="D831" s="25" t="s">
        <v>1695</v>
      </c>
      <c r="E831" s="25">
        <v>276</v>
      </c>
      <c r="F831" s="25" t="s">
        <v>25</v>
      </c>
      <c r="G831" s="25">
        <v>29.2</v>
      </c>
      <c r="H831" s="25">
        <v>77.099999999999994</v>
      </c>
      <c r="I831" s="25" t="s">
        <v>38</v>
      </c>
      <c r="J831" s="25">
        <v>39</v>
      </c>
      <c r="K831" s="25">
        <v>483</v>
      </c>
      <c r="L831" s="25">
        <v>7</v>
      </c>
      <c r="M831" s="25" t="s">
        <v>21</v>
      </c>
      <c r="N831" s="25">
        <v>71.5</v>
      </c>
      <c r="O831" s="25">
        <v>157</v>
      </c>
      <c r="P831" s="25">
        <v>0</v>
      </c>
    </row>
    <row r="832" spans="1:16" x14ac:dyDescent="0.25">
      <c r="A832" s="26">
        <v>45550.047476851854</v>
      </c>
      <c r="B832" s="25" t="s">
        <v>64</v>
      </c>
      <c r="C832" s="25" t="s">
        <v>1696</v>
      </c>
      <c r="D832" s="25" t="s">
        <v>1697</v>
      </c>
      <c r="E832" s="25">
        <v>331</v>
      </c>
      <c r="F832" s="25" t="s">
        <v>34</v>
      </c>
      <c r="G832" s="25">
        <v>21.6</v>
      </c>
      <c r="H832" s="25">
        <v>61.2</v>
      </c>
      <c r="I832" s="25" t="s">
        <v>26</v>
      </c>
      <c r="J832" s="25">
        <v>24</v>
      </c>
      <c r="K832" s="25">
        <v>450</v>
      </c>
      <c r="L832" s="25">
        <v>8</v>
      </c>
      <c r="M832" s="25" t="s">
        <v>35</v>
      </c>
      <c r="N832" s="25">
        <v>64.400000000000006</v>
      </c>
      <c r="O832" s="25">
        <v>123</v>
      </c>
      <c r="P832" s="25">
        <v>1</v>
      </c>
    </row>
    <row r="833" spans="1:16" ht="30" customHeight="1" x14ac:dyDescent="0.25">
      <c r="A833" s="26">
        <v>45419.53465277778</v>
      </c>
      <c r="B833" s="25" t="s">
        <v>48</v>
      </c>
      <c r="C833" s="25" t="s">
        <v>1698</v>
      </c>
      <c r="D833" s="25" t="s">
        <v>1699</v>
      </c>
      <c r="E833" s="25">
        <v>249</v>
      </c>
      <c r="F833" s="25" t="s">
        <v>34</v>
      </c>
      <c r="G833" s="25">
        <v>24.3</v>
      </c>
      <c r="H833" s="25">
        <v>78.8</v>
      </c>
      <c r="I833" s="25" t="s">
        <v>26</v>
      </c>
      <c r="J833" s="25">
        <v>13</v>
      </c>
      <c r="K833" s="25">
        <v>125</v>
      </c>
      <c r="L833" s="25">
        <v>2</v>
      </c>
      <c r="M833" s="25" t="s">
        <v>51</v>
      </c>
      <c r="N833" s="25">
        <v>78.7</v>
      </c>
      <c r="O833" s="25">
        <v>165</v>
      </c>
      <c r="P833" s="25">
        <v>1</v>
      </c>
    </row>
    <row r="834" spans="1:16" x14ac:dyDescent="0.25">
      <c r="A834" s="26">
        <v>45473.202048611114</v>
      </c>
      <c r="B834" s="25" t="s">
        <v>95</v>
      </c>
      <c r="C834" s="25" t="s">
        <v>1700</v>
      </c>
      <c r="D834" s="25" t="s">
        <v>1701</v>
      </c>
      <c r="E834" s="25">
        <v>379</v>
      </c>
      <c r="F834" s="25" t="s">
        <v>19</v>
      </c>
      <c r="G834" s="25">
        <v>23.8</v>
      </c>
      <c r="H834" s="25">
        <v>78.8</v>
      </c>
      <c r="I834" s="25" t="s">
        <v>20</v>
      </c>
      <c r="J834" s="25">
        <v>22</v>
      </c>
      <c r="K834" s="25">
        <v>361</v>
      </c>
      <c r="L834" s="25">
        <v>5</v>
      </c>
      <c r="M834" s="25" t="s">
        <v>27</v>
      </c>
      <c r="N834" s="25">
        <v>89.3</v>
      </c>
      <c r="O834" s="25">
        <v>112</v>
      </c>
      <c r="P834" s="25">
        <v>1</v>
      </c>
    </row>
    <row r="835" spans="1:16" x14ac:dyDescent="0.25">
      <c r="A835" s="26">
        <v>45604.146909722222</v>
      </c>
      <c r="B835" s="25" t="s">
        <v>28</v>
      </c>
      <c r="C835" s="25" t="s">
        <v>1702</v>
      </c>
      <c r="D835" s="25" t="s">
        <v>1703</v>
      </c>
      <c r="E835" s="25">
        <v>489</v>
      </c>
      <c r="F835" s="25" t="s">
        <v>25</v>
      </c>
      <c r="G835" s="25">
        <v>18.399999999999999</v>
      </c>
      <c r="H835" s="25">
        <v>59.9</v>
      </c>
      <c r="I835" s="25" t="s">
        <v>20</v>
      </c>
      <c r="J835" s="25">
        <v>28</v>
      </c>
      <c r="K835" s="25">
        <v>136</v>
      </c>
      <c r="L835" s="25">
        <v>9</v>
      </c>
      <c r="M835" s="25" t="s">
        <v>35</v>
      </c>
      <c r="N835" s="25">
        <v>74.3</v>
      </c>
      <c r="O835" s="25">
        <v>272</v>
      </c>
      <c r="P835" s="25">
        <v>0</v>
      </c>
    </row>
    <row r="836" spans="1:16" x14ac:dyDescent="0.25">
      <c r="A836" s="26">
        <v>45562.63621527778</v>
      </c>
      <c r="B836" s="25" t="s">
        <v>56</v>
      </c>
      <c r="C836" s="25" t="s">
        <v>1704</v>
      </c>
      <c r="D836" s="25" t="s">
        <v>1705</v>
      </c>
      <c r="E836" s="25">
        <v>211</v>
      </c>
      <c r="F836" s="25" t="s">
        <v>25</v>
      </c>
      <c r="G836" s="25">
        <v>19.8</v>
      </c>
      <c r="H836" s="25">
        <v>52.8</v>
      </c>
      <c r="I836" s="25" t="s">
        <v>26</v>
      </c>
      <c r="J836" s="25">
        <v>23</v>
      </c>
      <c r="K836" s="25">
        <v>423</v>
      </c>
      <c r="L836" s="25">
        <v>1</v>
      </c>
      <c r="M836" s="25" t="s">
        <v>35</v>
      </c>
      <c r="N836" s="25">
        <v>80.599999999999994</v>
      </c>
      <c r="O836" s="25">
        <v>185</v>
      </c>
      <c r="P836" s="25">
        <v>1</v>
      </c>
    </row>
    <row r="837" spans="1:16" x14ac:dyDescent="0.25">
      <c r="A837" s="26">
        <v>45591.946111111109</v>
      </c>
      <c r="B837" s="25" t="s">
        <v>56</v>
      </c>
      <c r="C837" s="25" t="s">
        <v>1706</v>
      </c>
      <c r="D837" s="25" t="s">
        <v>1707</v>
      </c>
      <c r="E837" s="25">
        <v>454</v>
      </c>
      <c r="F837" s="25" t="s">
        <v>25</v>
      </c>
      <c r="G837" s="25">
        <v>18.899999999999999</v>
      </c>
      <c r="H837" s="25">
        <v>50.9</v>
      </c>
      <c r="I837" s="25" t="s">
        <v>20</v>
      </c>
      <c r="J837" s="25">
        <v>45</v>
      </c>
      <c r="K837" s="25">
        <v>230</v>
      </c>
      <c r="L837" s="25">
        <v>7</v>
      </c>
      <c r="M837" s="25" t="s">
        <v>27</v>
      </c>
      <c r="N837" s="25">
        <v>70.2</v>
      </c>
      <c r="O837" s="25">
        <v>116</v>
      </c>
      <c r="P837" s="25">
        <v>0</v>
      </c>
    </row>
    <row r="838" spans="1:16" x14ac:dyDescent="0.25">
      <c r="A838" s="26">
        <v>45558.618321759262</v>
      </c>
      <c r="B838" s="25" t="s">
        <v>28</v>
      </c>
      <c r="C838" s="25" t="s">
        <v>1708</v>
      </c>
      <c r="D838" s="25" t="s">
        <v>1709</v>
      </c>
      <c r="E838" s="25">
        <v>427</v>
      </c>
      <c r="F838" s="25" t="s">
        <v>25</v>
      </c>
      <c r="G838" s="25">
        <v>23.9</v>
      </c>
      <c r="H838" s="25">
        <v>56.2</v>
      </c>
      <c r="I838" s="25" t="s">
        <v>26</v>
      </c>
      <c r="J838" s="25">
        <v>31</v>
      </c>
      <c r="K838" s="25">
        <v>443</v>
      </c>
      <c r="L838" s="25">
        <v>3</v>
      </c>
      <c r="M838" s="25" t="s">
        <v>21</v>
      </c>
      <c r="N838" s="25">
        <v>89</v>
      </c>
      <c r="O838" s="25">
        <v>148</v>
      </c>
      <c r="P838" s="25">
        <v>1</v>
      </c>
    </row>
    <row r="839" spans="1:16" x14ac:dyDescent="0.25">
      <c r="A839" s="26">
        <v>45523.346122685187</v>
      </c>
      <c r="B839" s="25" t="s">
        <v>16</v>
      </c>
      <c r="C839" s="25" t="s">
        <v>1710</v>
      </c>
      <c r="D839" s="25" t="s">
        <v>1711</v>
      </c>
      <c r="E839" s="25">
        <v>332</v>
      </c>
      <c r="F839" s="25" t="s">
        <v>25</v>
      </c>
      <c r="G839" s="25">
        <v>24.4</v>
      </c>
      <c r="H839" s="25">
        <v>69.5</v>
      </c>
      <c r="I839" s="25" t="s">
        <v>26</v>
      </c>
      <c r="J839" s="25">
        <v>27</v>
      </c>
      <c r="K839" s="25">
        <v>343</v>
      </c>
      <c r="L839" s="25">
        <v>5</v>
      </c>
      <c r="M839" s="25" t="s">
        <v>35</v>
      </c>
      <c r="N839" s="25">
        <v>87.6</v>
      </c>
      <c r="O839" s="25">
        <v>235</v>
      </c>
      <c r="P839" s="25">
        <v>1</v>
      </c>
    </row>
    <row r="840" spans="1:16" x14ac:dyDescent="0.25">
      <c r="A840" s="26">
        <v>45585.522766203707</v>
      </c>
      <c r="B840" s="25" t="s">
        <v>95</v>
      </c>
      <c r="C840" s="25" t="s">
        <v>1712</v>
      </c>
      <c r="D840" s="25" t="s">
        <v>1713</v>
      </c>
      <c r="E840" s="25">
        <v>195</v>
      </c>
      <c r="F840" s="25" t="s">
        <v>25</v>
      </c>
      <c r="G840" s="25">
        <v>19.3</v>
      </c>
      <c r="H840" s="25">
        <v>70.599999999999994</v>
      </c>
      <c r="I840" s="25" t="s">
        <v>26</v>
      </c>
      <c r="J840" s="25">
        <v>34</v>
      </c>
      <c r="K840" s="25">
        <v>134</v>
      </c>
      <c r="L840" s="25">
        <v>2</v>
      </c>
      <c r="M840" s="25" t="s">
        <v>35</v>
      </c>
      <c r="N840" s="25">
        <v>98.2</v>
      </c>
      <c r="O840" s="25">
        <v>220</v>
      </c>
      <c r="P840" s="25">
        <v>1</v>
      </c>
    </row>
    <row r="841" spans="1:16" ht="30" customHeight="1" x14ac:dyDescent="0.25">
      <c r="A841" s="26">
        <v>45500.386342592596</v>
      </c>
      <c r="B841" s="25" t="s">
        <v>31</v>
      </c>
      <c r="C841" s="25" t="s">
        <v>1714</v>
      </c>
      <c r="D841" s="25" t="s">
        <v>1715</v>
      </c>
      <c r="E841" s="25">
        <v>249</v>
      </c>
      <c r="F841" s="25" t="s">
        <v>34</v>
      </c>
      <c r="G841" s="25">
        <v>23.6</v>
      </c>
      <c r="H841" s="25">
        <v>74.3</v>
      </c>
      <c r="I841" s="25" t="s">
        <v>20</v>
      </c>
      <c r="J841" s="25">
        <v>45</v>
      </c>
      <c r="K841" s="25">
        <v>482</v>
      </c>
      <c r="L841" s="25">
        <v>7</v>
      </c>
      <c r="M841" s="25" t="s">
        <v>51</v>
      </c>
      <c r="N841" s="25">
        <v>66.8</v>
      </c>
      <c r="O841" s="25">
        <v>246</v>
      </c>
      <c r="P841" s="25">
        <v>0</v>
      </c>
    </row>
    <row r="842" spans="1:16" x14ac:dyDescent="0.25">
      <c r="A842" s="26">
        <v>45622.476087962961</v>
      </c>
      <c r="B842" s="25" t="s">
        <v>41</v>
      </c>
      <c r="C842" s="25" t="s">
        <v>375</v>
      </c>
      <c r="D842" s="25" t="s">
        <v>1716</v>
      </c>
      <c r="E842" s="25">
        <v>274</v>
      </c>
      <c r="F842" s="25" t="s">
        <v>19</v>
      </c>
      <c r="G842" s="25">
        <v>22</v>
      </c>
      <c r="H842" s="25">
        <v>51.1</v>
      </c>
      <c r="I842" s="25" t="s">
        <v>26</v>
      </c>
      <c r="J842" s="25">
        <v>38</v>
      </c>
      <c r="K842" s="25">
        <v>175</v>
      </c>
      <c r="L842" s="25">
        <v>4</v>
      </c>
      <c r="M842" s="25" t="s">
        <v>35</v>
      </c>
      <c r="N842" s="25">
        <v>64</v>
      </c>
      <c r="O842" s="25">
        <v>271</v>
      </c>
      <c r="P842" s="25">
        <v>1</v>
      </c>
    </row>
    <row r="843" spans="1:16" x14ac:dyDescent="0.25">
      <c r="A843" s="26">
        <v>45435.847812499997</v>
      </c>
      <c r="B843" s="25" t="s">
        <v>22</v>
      </c>
      <c r="C843" s="25" t="s">
        <v>1717</v>
      </c>
      <c r="D843" s="25" t="s">
        <v>1718</v>
      </c>
      <c r="E843" s="25">
        <v>272</v>
      </c>
      <c r="F843" s="25" t="s">
        <v>25</v>
      </c>
      <c r="G843" s="25">
        <v>19</v>
      </c>
      <c r="H843" s="25">
        <v>72.099999999999994</v>
      </c>
      <c r="I843" s="25" t="s">
        <v>20</v>
      </c>
      <c r="J843" s="25">
        <v>32</v>
      </c>
      <c r="K843" s="25">
        <v>113</v>
      </c>
      <c r="L843" s="25">
        <v>6</v>
      </c>
      <c r="M843" s="25" t="s">
        <v>21</v>
      </c>
      <c r="N843" s="25">
        <v>94.9</v>
      </c>
      <c r="O843" s="25">
        <v>119</v>
      </c>
      <c r="P843" s="25">
        <v>0</v>
      </c>
    </row>
    <row r="844" spans="1:16" ht="30" customHeight="1" x14ac:dyDescent="0.25">
      <c r="A844" s="26">
        <v>45530.562002314815</v>
      </c>
      <c r="B844" s="25" t="s">
        <v>95</v>
      </c>
      <c r="C844" s="25" t="s">
        <v>1719</v>
      </c>
      <c r="D844" s="25" t="s">
        <v>1720</v>
      </c>
      <c r="E844" s="25">
        <v>214</v>
      </c>
      <c r="F844" s="25" t="s">
        <v>19</v>
      </c>
      <c r="G844" s="25">
        <v>27</v>
      </c>
      <c r="H844" s="25">
        <v>55</v>
      </c>
      <c r="I844" s="25" t="s">
        <v>38</v>
      </c>
      <c r="J844" s="25">
        <v>18</v>
      </c>
      <c r="K844" s="25">
        <v>319</v>
      </c>
      <c r="L844" s="25">
        <v>3</v>
      </c>
      <c r="M844" s="25" t="s">
        <v>51</v>
      </c>
      <c r="N844" s="25">
        <v>67</v>
      </c>
      <c r="O844" s="25">
        <v>127</v>
      </c>
      <c r="P844" s="25">
        <v>1</v>
      </c>
    </row>
    <row r="845" spans="1:16" x14ac:dyDescent="0.25">
      <c r="A845" s="26">
        <v>45306.342407407406</v>
      </c>
      <c r="B845" s="25" t="s">
        <v>22</v>
      </c>
      <c r="C845" s="25" t="s">
        <v>1721</v>
      </c>
      <c r="D845" s="25" t="s">
        <v>1722</v>
      </c>
      <c r="E845" s="25">
        <v>487</v>
      </c>
      <c r="F845" s="25" t="s">
        <v>19</v>
      </c>
      <c r="G845" s="25">
        <v>18.7</v>
      </c>
      <c r="H845" s="25">
        <v>62</v>
      </c>
      <c r="I845" s="25" t="s">
        <v>20</v>
      </c>
      <c r="J845" s="25">
        <v>35</v>
      </c>
      <c r="K845" s="25">
        <v>432</v>
      </c>
      <c r="L845" s="25">
        <v>9</v>
      </c>
      <c r="M845" s="25" t="s">
        <v>21</v>
      </c>
      <c r="N845" s="25">
        <v>72.3</v>
      </c>
      <c r="O845" s="25">
        <v>247</v>
      </c>
      <c r="P845" s="25">
        <v>1</v>
      </c>
    </row>
    <row r="846" spans="1:16" ht="30" customHeight="1" x14ac:dyDescent="0.25">
      <c r="A846" s="26">
        <v>45576.437465277777</v>
      </c>
      <c r="B846" s="25" t="s">
        <v>28</v>
      </c>
      <c r="C846" s="25" t="s">
        <v>1723</v>
      </c>
      <c r="D846" s="25" t="s">
        <v>1724</v>
      </c>
      <c r="E846" s="25">
        <v>420</v>
      </c>
      <c r="F846" s="25" t="s">
        <v>19</v>
      </c>
      <c r="G846" s="25">
        <v>29.9</v>
      </c>
      <c r="H846" s="25">
        <v>64.599999999999994</v>
      </c>
      <c r="I846" s="25" t="s">
        <v>26</v>
      </c>
      <c r="J846" s="25">
        <v>34</v>
      </c>
      <c r="K846" s="25">
        <v>282</v>
      </c>
      <c r="L846" s="25">
        <v>10</v>
      </c>
      <c r="M846" s="25" t="s">
        <v>51</v>
      </c>
      <c r="N846" s="25">
        <v>79.400000000000006</v>
      </c>
      <c r="O846" s="25">
        <v>134</v>
      </c>
      <c r="P846" s="25">
        <v>1</v>
      </c>
    </row>
    <row r="847" spans="1:16" x14ac:dyDescent="0.25">
      <c r="A847" s="26">
        <v>45429.496504629627</v>
      </c>
      <c r="B847" s="25" t="s">
        <v>64</v>
      </c>
      <c r="C847" s="25" t="s">
        <v>1725</v>
      </c>
      <c r="D847" s="25" t="s">
        <v>1726</v>
      </c>
      <c r="E847" s="25">
        <v>135</v>
      </c>
      <c r="F847" s="25" t="s">
        <v>19</v>
      </c>
      <c r="G847" s="25">
        <v>24.7</v>
      </c>
      <c r="H847" s="25">
        <v>67.099999999999994</v>
      </c>
      <c r="I847" s="25" t="s">
        <v>26</v>
      </c>
      <c r="J847" s="25">
        <v>26</v>
      </c>
      <c r="K847" s="25">
        <v>380</v>
      </c>
      <c r="L847" s="25">
        <v>7</v>
      </c>
      <c r="M847" s="25" t="s">
        <v>35</v>
      </c>
      <c r="N847" s="25">
        <v>64.599999999999994</v>
      </c>
      <c r="O847" s="25">
        <v>109</v>
      </c>
      <c r="P847" s="25">
        <v>1</v>
      </c>
    </row>
    <row r="848" spans="1:16" x14ac:dyDescent="0.25">
      <c r="A848" s="26">
        <v>45520.933125000003</v>
      </c>
      <c r="B848" s="25" t="s">
        <v>95</v>
      </c>
      <c r="C848" s="25" t="s">
        <v>1727</v>
      </c>
      <c r="D848" s="25" t="s">
        <v>1728</v>
      </c>
      <c r="E848" s="25">
        <v>269</v>
      </c>
      <c r="F848" s="25" t="s">
        <v>25</v>
      </c>
      <c r="G848" s="25">
        <v>25.2</v>
      </c>
      <c r="H848" s="25">
        <v>63.5</v>
      </c>
      <c r="I848" s="25" t="s">
        <v>20</v>
      </c>
      <c r="J848" s="25">
        <v>19</v>
      </c>
      <c r="K848" s="25">
        <v>262</v>
      </c>
      <c r="L848" s="25">
        <v>7</v>
      </c>
      <c r="M848" s="25" t="s">
        <v>27</v>
      </c>
      <c r="N848" s="25">
        <v>71.599999999999994</v>
      </c>
      <c r="O848" s="25">
        <v>295</v>
      </c>
      <c r="P848" s="25">
        <v>0</v>
      </c>
    </row>
    <row r="849" spans="1:16" x14ac:dyDescent="0.25">
      <c r="A849" s="26">
        <v>45526.375439814816</v>
      </c>
      <c r="B849" s="25" t="s">
        <v>48</v>
      </c>
      <c r="C849" s="25" t="s">
        <v>1729</v>
      </c>
      <c r="D849" s="25" t="s">
        <v>1730</v>
      </c>
      <c r="E849" s="25">
        <v>419</v>
      </c>
      <c r="F849" s="25" t="s">
        <v>34</v>
      </c>
      <c r="G849" s="25">
        <v>21</v>
      </c>
      <c r="H849" s="25">
        <v>74.2</v>
      </c>
      <c r="I849" s="25" t="s">
        <v>38</v>
      </c>
      <c r="J849" s="25">
        <v>29</v>
      </c>
      <c r="K849" s="25">
        <v>386</v>
      </c>
      <c r="L849" s="25">
        <v>9</v>
      </c>
      <c r="M849" s="25" t="s">
        <v>35</v>
      </c>
      <c r="N849" s="25">
        <v>95.1</v>
      </c>
      <c r="O849" s="25">
        <v>186</v>
      </c>
      <c r="P849" s="25">
        <v>0</v>
      </c>
    </row>
    <row r="850" spans="1:16" x14ac:dyDescent="0.25">
      <c r="A850" s="26">
        <v>45537.69222222222</v>
      </c>
      <c r="B850" s="25" t="s">
        <v>22</v>
      </c>
      <c r="C850" s="25" t="s">
        <v>1731</v>
      </c>
      <c r="D850" s="25" t="s">
        <v>1732</v>
      </c>
      <c r="E850" s="25">
        <v>407</v>
      </c>
      <c r="F850" s="25" t="s">
        <v>34</v>
      </c>
      <c r="G850" s="25">
        <v>23.5</v>
      </c>
      <c r="H850" s="25">
        <v>77.7</v>
      </c>
      <c r="I850" s="25" t="s">
        <v>20</v>
      </c>
      <c r="J850" s="25">
        <v>55</v>
      </c>
      <c r="K850" s="25">
        <v>351</v>
      </c>
      <c r="L850" s="25">
        <v>6</v>
      </c>
      <c r="M850" s="25" t="s">
        <v>21</v>
      </c>
      <c r="N850" s="25">
        <v>68.400000000000006</v>
      </c>
      <c r="O850" s="25">
        <v>168</v>
      </c>
      <c r="P850" s="25">
        <v>0</v>
      </c>
    </row>
    <row r="851" spans="1:16" x14ac:dyDescent="0.25">
      <c r="A851" s="26">
        <v>45642.502754629626</v>
      </c>
      <c r="B851" s="25" t="s">
        <v>31</v>
      </c>
      <c r="C851" s="25" t="s">
        <v>1733</v>
      </c>
      <c r="D851" s="25" t="s">
        <v>1734</v>
      </c>
      <c r="E851" s="25">
        <v>331</v>
      </c>
      <c r="F851" s="25" t="s">
        <v>25</v>
      </c>
      <c r="G851" s="25">
        <v>24.2</v>
      </c>
      <c r="H851" s="25">
        <v>74</v>
      </c>
      <c r="I851" s="25" t="s">
        <v>20</v>
      </c>
      <c r="J851" s="25">
        <v>60</v>
      </c>
      <c r="K851" s="25">
        <v>225</v>
      </c>
      <c r="L851" s="25">
        <v>8</v>
      </c>
      <c r="M851" s="25" t="s">
        <v>21</v>
      </c>
      <c r="N851" s="25">
        <v>61</v>
      </c>
      <c r="O851" s="25">
        <v>142</v>
      </c>
      <c r="P851" s="25">
        <v>0</v>
      </c>
    </row>
    <row r="852" spans="1:16" x14ac:dyDescent="0.25">
      <c r="A852" s="26">
        <v>45349.665706018517</v>
      </c>
      <c r="B852" s="25" t="s">
        <v>95</v>
      </c>
      <c r="C852" s="25" t="s">
        <v>1735</v>
      </c>
      <c r="D852" s="25" t="s">
        <v>1736</v>
      </c>
      <c r="E852" s="25">
        <v>444</v>
      </c>
      <c r="F852" s="25" t="s">
        <v>25</v>
      </c>
      <c r="G852" s="25">
        <v>20.8</v>
      </c>
      <c r="H852" s="25">
        <v>63.9</v>
      </c>
      <c r="I852" s="25" t="s">
        <v>26</v>
      </c>
      <c r="J852" s="25">
        <v>38</v>
      </c>
      <c r="K852" s="25">
        <v>203</v>
      </c>
      <c r="L852" s="25">
        <v>1</v>
      </c>
      <c r="M852" s="25" t="s">
        <v>27</v>
      </c>
      <c r="N852" s="25">
        <v>73.7</v>
      </c>
      <c r="O852" s="25">
        <v>201</v>
      </c>
      <c r="P852" s="25">
        <v>1</v>
      </c>
    </row>
    <row r="853" spans="1:16" x14ac:dyDescent="0.25">
      <c r="A853" s="26">
        <v>45581.519317129627</v>
      </c>
      <c r="B853" s="25" t="s">
        <v>95</v>
      </c>
      <c r="C853" s="25" t="s">
        <v>1737</v>
      </c>
      <c r="D853" s="25" t="s">
        <v>1738</v>
      </c>
      <c r="E853" s="25">
        <v>319</v>
      </c>
      <c r="F853" s="25" t="s">
        <v>25</v>
      </c>
      <c r="G853" s="25">
        <v>29.1</v>
      </c>
      <c r="H853" s="25">
        <v>61.3</v>
      </c>
      <c r="I853" s="25" t="s">
        <v>20</v>
      </c>
      <c r="J853" s="25">
        <v>24</v>
      </c>
      <c r="K853" s="25">
        <v>392</v>
      </c>
      <c r="L853" s="25">
        <v>7</v>
      </c>
      <c r="M853" s="25" t="s">
        <v>21</v>
      </c>
      <c r="N853" s="25">
        <v>72.8</v>
      </c>
      <c r="O853" s="25">
        <v>123</v>
      </c>
      <c r="P853" s="25">
        <v>0</v>
      </c>
    </row>
    <row r="854" spans="1:16" x14ac:dyDescent="0.25">
      <c r="A854" s="26">
        <v>45409.50204861111</v>
      </c>
      <c r="B854" s="25" t="s">
        <v>28</v>
      </c>
      <c r="C854" s="25" t="s">
        <v>1739</v>
      </c>
      <c r="D854" s="25" t="s">
        <v>1740</v>
      </c>
      <c r="E854" s="25">
        <v>402</v>
      </c>
      <c r="F854" s="25" t="s">
        <v>34</v>
      </c>
      <c r="G854" s="25">
        <v>21</v>
      </c>
      <c r="H854" s="25">
        <v>66.3</v>
      </c>
      <c r="I854" s="25" t="s">
        <v>38</v>
      </c>
      <c r="J854" s="25">
        <v>52</v>
      </c>
      <c r="K854" s="25">
        <v>306</v>
      </c>
      <c r="L854" s="25">
        <v>10</v>
      </c>
      <c r="M854" s="25" t="s">
        <v>27</v>
      </c>
      <c r="N854" s="25">
        <v>70.099999999999994</v>
      </c>
      <c r="O854" s="25">
        <v>251</v>
      </c>
      <c r="P854" s="25">
        <v>0</v>
      </c>
    </row>
    <row r="855" spans="1:16" ht="30" customHeight="1" x14ac:dyDescent="0.25">
      <c r="A855" s="26">
        <v>45511.350740740738</v>
      </c>
      <c r="B855" s="25" t="s">
        <v>28</v>
      </c>
      <c r="C855" s="25" t="s">
        <v>1741</v>
      </c>
      <c r="D855" s="25" t="s">
        <v>1742</v>
      </c>
      <c r="E855" s="25">
        <v>269</v>
      </c>
      <c r="F855" s="25" t="s">
        <v>19</v>
      </c>
      <c r="G855" s="25">
        <v>19</v>
      </c>
      <c r="H855" s="25">
        <v>73.599999999999994</v>
      </c>
      <c r="I855" s="25" t="s">
        <v>38</v>
      </c>
      <c r="J855" s="25">
        <v>50</v>
      </c>
      <c r="K855" s="25">
        <v>307</v>
      </c>
      <c r="L855" s="25">
        <v>3</v>
      </c>
      <c r="M855" s="25" t="s">
        <v>51</v>
      </c>
      <c r="N855" s="25">
        <v>68.099999999999994</v>
      </c>
      <c r="O855" s="25">
        <v>102</v>
      </c>
      <c r="P855" s="25">
        <v>1</v>
      </c>
    </row>
    <row r="856" spans="1:16" x14ac:dyDescent="0.25">
      <c r="A856" s="26">
        <v>45496.966041666667</v>
      </c>
      <c r="B856" s="25" t="s">
        <v>28</v>
      </c>
      <c r="C856" s="25" t="s">
        <v>1743</v>
      </c>
      <c r="D856" s="25" t="s">
        <v>1744</v>
      </c>
      <c r="E856" s="25">
        <v>318</v>
      </c>
      <c r="F856" s="25" t="s">
        <v>25</v>
      </c>
      <c r="G856" s="25">
        <v>22.5</v>
      </c>
      <c r="H856" s="25">
        <v>59.3</v>
      </c>
      <c r="I856" s="25" t="s">
        <v>26</v>
      </c>
      <c r="J856" s="25">
        <v>18</v>
      </c>
      <c r="K856" s="25">
        <v>331</v>
      </c>
      <c r="L856" s="25">
        <v>9</v>
      </c>
      <c r="M856" s="25" t="s">
        <v>21</v>
      </c>
      <c r="N856" s="25">
        <v>97.3</v>
      </c>
      <c r="O856" s="25">
        <v>273</v>
      </c>
      <c r="P856" s="25">
        <v>1</v>
      </c>
    </row>
    <row r="857" spans="1:16" ht="30" customHeight="1" x14ac:dyDescent="0.25">
      <c r="A857" s="26">
        <v>45558.105462962965</v>
      </c>
      <c r="B857" s="25" t="s">
        <v>61</v>
      </c>
      <c r="C857" s="25" t="s">
        <v>1745</v>
      </c>
      <c r="D857" s="25" t="s">
        <v>1746</v>
      </c>
      <c r="E857" s="25">
        <v>388</v>
      </c>
      <c r="F857" s="25" t="s">
        <v>34</v>
      </c>
      <c r="G857" s="25">
        <v>24.6</v>
      </c>
      <c r="H857" s="25">
        <v>74.3</v>
      </c>
      <c r="I857" s="25" t="s">
        <v>20</v>
      </c>
      <c r="J857" s="25">
        <v>29</v>
      </c>
      <c r="K857" s="25">
        <v>461</v>
      </c>
      <c r="L857" s="25">
        <v>1</v>
      </c>
      <c r="M857" s="25" t="s">
        <v>51</v>
      </c>
      <c r="N857" s="25">
        <v>68.099999999999994</v>
      </c>
      <c r="O857" s="25">
        <v>159</v>
      </c>
      <c r="P857" s="25">
        <v>0</v>
      </c>
    </row>
    <row r="858" spans="1:16" x14ac:dyDescent="0.25">
      <c r="A858" s="26">
        <v>45583.274259259262</v>
      </c>
      <c r="B858" s="25" t="s">
        <v>22</v>
      </c>
      <c r="C858" s="25" t="s">
        <v>1747</v>
      </c>
      <c r="D858" s="25" t="s">
        <v>1748</v>
      </c>
      <c r="E858" s="25">
        <v>166</v>
      </c>
      <c r="F858" s="25" t="s">
        <v>19</v>
      </c>
      <c r="G858" s="25">
        <v>26.9</v>
      </c>
      <c r="H858" s="25">
        <v>58.3</v>
      </c>
      <c r="I858" s="25" t="s">
        <v>38</v>
      </c>
      <c r="J858" s="25">
        <v>29</v>
      </c>
      <c r="K858" s="25">
        <v>283</v>
      </c>
      <c r="L858" s="25">
        <v>3</v>
      </c>
      <c r="M858" s="25" t="s">
        <v>27</v>
      </c>
      <c r="N858" s="25">
        <v>64.099999999999994</v>
      </c>
      <c r="O858" s="25">
        <v>113</v>
      </c>
      <c r="P858" s="25">
        <v>1</v>
      </c>
    </row>
    <row r="859" spans="1:16" x14ac:dyDescent="0.25">
      <c r="A859" s="26">
        <v>45405.33803240741</v>
      </c>
      <c r="B859" s="25" t="s">
        <v>28</v>
      </c>
      <c r="C859" s="25" t="s">
        <v>1749</v>
      </c>
      <c r="D859" s="25" t="s">
        <v>1750</v>
      </c>
      <c r="E859" s="25">
        <v>338</v>
      </c>
      <c r="F859" s="25" t="s">
        <v>34</v>
      </c>
      <c r="G859" s="25">
        <v>28.7</v>
      </c>
      <c r="H859" s="25">
        <v>65.599999999999994</v>
      </c>
      <c r="I859" s="25" t="s">
        <v>26</v>
      </c>
      <c r="J859" s="25">
        <v>45</v>
      </c>
      <c r="K859" s="25">
        <v>348</v>
      </c>
      <c r="L859" s="25">
        <v>8</v>
      </c>
      <c r="M859" s="25" t="s">
        <v>35</v>
      </c>
      <c r="N859" s="25">
        <v>96.1</v>
      </c>
      <c r="O859" s="25">
        <v>230</v>
      </c>
      <c r="P859" s="25">
        <v>1</v>
      </c>
    </row>
    <row r="860" spans="1:16" x14ac:dyDescent="0.25">
      <c r="A860" s="26">
        <v>45337.819398148145</v>
      </c>
      <c r="B860" s="25" t="s">
        <v>41</v>
      </c>
      <c r="C860" s="25" t="s">
        <v>1751</v>
      </c>
      <c r="D860" s="25" t="s">
        <v>1752</v>
      </c>
      <c r="E860" s="25">
        <v>457</v>
      </c>
      <c r="F860" s="25" t="s">
        <v>25</v>
      </c>
      <c r="G860" s="25">
        <v>18.7</v>
      </c>
      <c r="H860" s="25">
        <v>52.7</v>
      </c>
      <c r="I860" s="25" t="s">
        <v>38</v>
      </c>
      <c r="J860" s="25">
        <v>52</v>
      </c>
      <c r="K860" s="25">
        <v>366</v>
      </c>
      <c r="L860" s="25">
        <v>4</v>
      </c>
      <c r="M860" s="25" t="s">
        <v>21</v>
      </c>
      <c r="N860" s="25">
        <v>93.1</v>
      </c>
      <c r="O860" s="25">
        <v>275</v>
      </c>
      <c r="P860" s="25">
        <v>0</v>
      </c>
    </row>
    <row r="861" spans="1:16" ht="30" customHeight="1" x14ac:dyDescent="0.25">
      <c r="A861" s="26">
        <v>45460.602731481478</v>
      </c>
      <c r="B861" s="25" t="s">
        <v>22</v>
      </c>
      <c r="C861" s="25" t="s">
        <v>1753</v>
      </c>
      <c r="D861" s="25" t="s">
        <v>1754</v>
      </c>
      <c r="E861" s="25">
        <v>274</v>
      </c>
      <c r="F861" s="25" t="s">
        <v>34</v>
      </c>
      <c r="G861" s="25">
        <v>21.5</v>
      </c>
      <c r="H861" s="25">
        <v>74</v>
      </c>
      <c r="I861" s="25" t="s">
        <v>26</v>
      </c>
      <c r="J861" s="25">
        <v>23</v>
      </c>
      <c r="K861" s="25">
        <v>448</v>
      </c>
      <c r="L861" s="25">
        <v>5</v>
      </c>
      <c r="M861" s="25" t="s">
        <v>51</v>
      </c>
      <c r="N861" s="25">
        <v>74.7</v>
      </c>
      <c r="O861" s="25">
        <v>200</v>
      </c>
      <c r="P861" s="25">
        <v>1</v>
      </c>
    </row>
    <row r="862" spans="1:16" x14ac:dyDescent="0.25">
      <c r="A862" s="26">
        <v>45492.544965277775</v>
      </c>
      <c r="B862" s="25" t="s">
        <v>16</v>
      </c>
      <c r="C862" s="25" t="s">
        <v>1755</v>
      </c>
      <c r="D862" s="25" t="s">
        <v>1756</v>
      </c>
      <c r="E862" s="25">
        <v>332</v>
      </c>
      <c r="F862" s="25" t="s">
        <v>19</v>
      </c>
      <c r="G862" s="25">
        <v>19.2</v>
      </c>
      <c r="H862" s="25">
        <v>56.9</v>
      </c>
      <c r="I862" s="25" t="s">
        <v>20</v>
      </c>
      <c r="J862" s="25">
        <v>27</v>
      </c>
      <c r="K862" s="25">
        <v>357</v>
      </c>
      <c r="L862" s="25">
        <v>2</v>
      </c>
      <c r="M862" s="25" t="s">
        <v>21</v>
      </c>
      <c r="N862" s="25">
        <v>87.8</v>
      </c>
      <c r="O862" s="25">
        <v>217</v>
      </c>
      <c r="P862" s="25">
        <v>1</v>
      </c>
    </row>
    <row r="863" spans="1:16" ht="30" customHeight="1" x14ac:dyDescent="0.25">
      <c r="A863" s="26">
        <v>45565.604953703703</v>
      </c>
      <c r="B863" s="25" t="s">
        <v>41</v>
      </c>
      <c r="C863" s="25" t="s">
        <v>1757</v>
      </c>
      <c r="D863" s="25" t="s">
        <v>1758</v>
      </c>
      <c r="E863" s="25">
        <v>388</v>
      </c>
      <c r="F863" s="25" t="s">
        <v>25</v>
      </c>
      <c r="G863" s="25">
        <v>27.4</v>
      </c>
      <c r="H863" s="25">
        <v>50.6</v>
      </c>
      <c r="I863" s="25" t="s">
        <v>20</v>
      </c>
      <c r="J863" s="25">
        <v>58</v>
      </c>
      <c r="K863" s="25">
        <v>401</v>
      </c>
      <c r="L863" s="25">
        <v>5</v>
      </c>
      <c r="M863" s="25" t="s">
        <v>51</v>
      </c>
      <c r="N863" s="25">
        <v>81.400000000000006</v>
      </c>
      <c r="O863" s="25">
        <v>196</v>
      </c>
      <c r="P863" s="25">
        <v>0</v>
      </c>
    </row>
    <row r="864" spans="1:16" x14ac:dyDescent="0.25">
      <c r="A864" s="26">
        <v>45510.918680555558</v>
      </c>
      <c r="B864" s="25" t="s">
        <v>28</v>
      </c>
      <c r="C864" s="25" t="s">
        <v>1759</v>
      </c>
      <c r="D864" s="25" t="s">
        <v>1760</v>
      </c>
      <c r="E864" s="25">
        <v>377</v>
      </c>
      <c r="F864" s="25" t="s">
        <v>34</v>
      </c>
      <c r="G864" s="25">
        <v>18.2</v>
      </c>
      <c r="H864" s="25">
        <v>51.7</v>
      </c>
      <c r="I864" s="25" t="s">
        <v>20</v>
      </c>
      <c r="J864" s="25">
        <v>34</v>
      </c>
      <c r="K864" s="25">
        <v>306</v>
      </c>
      <c r="L864" s="25">
        <v>8</v>
      </c>
      <c r="M864" s="25" t="s">
        <v>35</v>
      </c>
      <c r="N864" s="25">
        <v>87.9</v>
      </c>
      <c r="O864" s="25">
        <v>139</v>
      </c>
      <c r="P864" s="25">
        <v>0</v>
      </c>
    </row>
    <row r="865" spans="1:16" x14ac:dyDescent="0.25">
      <c r="A865" s="26">
        <v>45355.98542824074</v>
      </c>
      <c r="B865" s="25" t="s">
        <v>48</v>
      </c>
      <c r="C865" s="25" t="s">
        <v>1761</v>
      </c>
      <c r="D865" s="25" t="s">
        <v>1762</v>
      </c>
      <c r="E865" s="25">
        <v>265</v>
      </c>
      <c r="F865" s="25" t="s">
        <v>34</v>
      </c>
      <c r="G865" s="25">
        <v>23.5</v>
      </c>
      <c r="H865" s="25">
        <v>78.400000000000006</v>
      </c>
      <c r="I865" s="25" t="s">
        <v>38</v>
      </c>
      <c r="J865" s="25">
        <v>60</v>
      </c>
      <c r="K865" s="25">
        <v>107</v>
      </c>
      <c r="L865" s="25">
        <v>3</v>
      </c>
      <c r="M865" s="25" t="s">
        <v>27</v>
      </c>
      <c r="N865" s="25">
        <v>62.4</v>
      </c>
      <c r="O865" s="25">
        <v>237</v>
      </c>
      <c r="P865" s="25">
        <v>0</v>
      </c>
    </row>
    <row r="866" spans="1:16" ht="30" customHeight="1" x14ac:dyDescent="0.25">
      <c r="A866" s="26">
        <v>45452.257638888892</v>
      </c>
      <c r="B866" s="25" t="s">
        <v>56</v>
      </c>
      <c r="C866" s="25" t="s">
        <v>1763</v>
      </c>
      <c r="D866" s="25" t="s">
        <v>1764</v>
      </c>
      <c r="E866" s="25">
        <v>316</v>
      </c>
      <c r="F866" s="25" t="s">
        <v>19</v>
      </c>
      <c r="G866" s="25">
        <v>19.8</v>
      </c>
      <c r="H866" s="25">
        <v>70.599999999999994</v>
      </c>
      <c r="I866" s="25" t="s">
        <v>20</v>
      </c>
      <c r="J866" s="25">
        <v>18</v>
      </c>
      <c r="K866" s="25">
        <v>194</v>
      </c>
      <c r="L866" s="25">
        <v>4</v>
      </c>
      <c r="M866" s="25" t="s">
        <v>51</v>
      </c>
      <c r="N866" s="25">
        <v>95.8</v>
      </c>
      <c r="O866" s="25">
        <v>240</v>
      </c>
      <c r="P866" s="25">
        <v>1</v>
      </c>
    </row>
    <row r="867" spans="1:16" x14ac:dyDescent="0.25">
      <c r="A867" s="26">
        <v>45507.858449074076</v>
      </c>
      <c r="B867" s="25" t="s">
        <v>22</v>
      </c>
      <c r="C867" s="25" t="s">
        <v>1765</v>
      </c>
      <c r="D867" s="25" t="s">
        <v>1766</v>
      </c>
      <c r="E867" s="25">
        <v>239</v>
      </c>
      <c r="F867" s="25" t="s">
        <v>25</v>
      </c>
      <c r="G867" s="25">
        <v>28.7</v>
      </c>
      <c r="H867" s="25">
        <v>64</v>
      </c>
      <c r="I867" s="25" t="s">
        <v>38</v>
      </c>
      <c r="J867" s="25">
        <v>35</v>
      </c>
      <c r="K867" s="25">
        <v>469</v>
      </c>
      <c r="L867" s="25">
        <v>3</v>
      </c>
      <c r="M867" s="25" t="s">
        <v>27</v>
      </c>
      <c r="N867" s="25">
        <v>63.9</v>
      </c>
      <c r="O867" s="25">
        <v>293</v>
      </c>
      <c r="P867" s="25">
        <v>0</v>
      </c>
    </row>
    <row r="868" spans="1:16" x14ac:dyDescent="0.25">
      <c r="A868" s="26">
        <v>45396.345347222225</v>
      </c>
      <c r="B868" s="25" t="s">
        <v>61</v>
      </c>
      <c r="C868" s="25" t="s">
        <v>1767</v>
      </c>
      <c r="D868" s="25" t="s">
        <v>1768</v>
      </c>
      <c r="E868" s="25">
        <v>241</v>
      </c>
      <c r="F868" s="25" t="s">
        <v>19</v>
      </c>
      <c r="G868" s="25">
        <v>21.4</v>
      </c>
      <c r="H868" s="25">
        <v>70.900000000000006</v>
      </c>
      <c r="I868" s="25" t="s">
        <v>38</v>
      </c>
      <c r="J868" s="25">
        <v>48</v>
      </c>
      <c r="K868" s="25">
        <v>121</v>
      </c>
      <c r="L868" s="25">
        <v>4</v>
      </c>
      <c r="M868" s="25" t="s">
        <v>27</v>
      </c>
      <c r="N868" s="25">
        <v>75.3</v>
      </c>
      <c r="O868" s="25">
        <v>195</v>
      </c>
      <c r="P868" s="25">
        <v>1</v>
      </c>
    </row>
    <row r="869" spans="1:16" x14ac:dyDescent="0.25">
      <c r="A869" s="26">
        <v>45501.314618055556</v>
      </c>
      <c r="B869" s="25" t="s">
        <v>28</v>
      </c>
      <c r="C869" s="25" t="s">
        <v>1769</v>
      </c>
      <c r="D869" s="25" t="s">
        <v>1770</v>
      </c>
      <c r="E869" s="25">
        <v>326</v>
      </c>
      <c r="F869" s="25" t="s">
        <v>19</v>
      </c>
      <c r="G869" s="25">
        <v>27.2</v>
      </c>
      <c r="H869" s="25">
        <v>69.3</v>
      </c>
      <c r="I869" s="25" t="s">
        <v>20</v>
      </c>
      <c r="J869" s="25">
        <v>24</v>
      </c>
      <c r="K869" s="25">
        <v>492</v>
      </c>
      <c r="L869" s="25">
        <v>9</v>
      </c>
      <c r="M869" s="25" t="s">
        <v>27</v>
      </c>
      <c r="N869" s="25">
        <v>72.5</v>
      </c>
      <c r="O869" s="25">
        <v>223</v>
      </c>
      <c r="P869" s="25">
        <v>1</v>
      </c>
    </row>
    <row r="870" spans="1:16" x14ac:dyDescent="0.25">
      <c r="A870" s="26">
        <v>45548.524733796294</v>
      </c>
      <c r="B870" s="25" t="s">
        <v>48</v>
      </c>
      <c r="C870" s="25" t="s">
        <v>1771</v>
      </c>
      <c r="D870" s="25" t="s">
        <v>1772</v>
      </c>
      <c r="E870" s="25">
        <v>357</v>
      </c>
      <c r="F870" s="25" t="s">
        <v>34</v>
      </c>
      <c r="G870" s="25">
        <v>24</v>
      </c>
      <c r="H870" s="25">
        <v>76.099999999999994</v>
      </c>
      <c r="I870" s="25" t="s">
        <v>20</v>
      </c>
      <c r="J870" s="25">
        <v>39</v>
      </c>
      <c r="K870" s="25">
        <v>339</v>
      </c>
      <c r="L870" s="25">
        <v>9</v>
      </c>
      <c r="M870" s="25" t="s">
        <v>35</v>
      </c>
      <c r="N870" s="25">
        <v>97.8</v>
      </c>
      <c r="O870" s="25">
        <v>146</v>
      </c>
      <c r="P870" s="25">
        <v>0</v>
      </c>
    </row>
    <row r="871" spans="1:16" x14ac:dyDescent="0.25">
      <c r="A871" s="26">
        <v>45540.227962962963</v>
      </c>
      <c r="B871" s="25" t="s">
        <v>22</v>
      </c>
      <c r="C871" s="25" t="s">
        <v>1773</v>
      </c>
      <c r="D871" s="25" t="s">
        <v>1774</v>
      </c>
      <c r="E871" s="25">
        <v>279</v>
      </c>
      <c r="F871" s="25" t="s">
        <v>34</v>
      </c>
      <c r="G871" s="25">
        <v>19.600000000000001</v>
      </c>
      <c r="H871" s="25">
        <v>55.9</v>
      </c>
      <c r="I871" s="25" t="s">
        <v>26</v>
      </c>
      <c r="J871" s="25">
        <v>30</v>
      </c>
      <c r="K871" s="25">
        <v>187</v>
      </c>
      <c r="L871" s="25">
        <v>9</v>
      </c>
      <c r="M871" s="25" t="s">
        <v>35</v>
      </c>
      <c r="N871" s="25">
        <v>90.5</v>
      </c>
      <c r="O871" s="25">
        <v>126</v>
      </c>
      <c r="P871" s="25">
        <v>1</v>
      </c>
    </row>
    <row r="872" spans="1:16" x14ac:dyDescent="0.25">
      <c r="A872" s="26">
        <v>45293.307581018518</v>
      </c>
      <c r="B872" s="25" t="s">
        <v>48</v>
      </c>
      <c r="C872" s="25" t="s">
        <v>1775</v>
      </c>
      <c r="D872" s="25" t="s">
        <v>1776</v>
      </c>
      <c r="E872" s="25">
        <v>106</v>
      </c>
      <c r="F872" s="25" t="s">
        <v>34</v>
      </c>
      <c r="G872" s="25">
        <v>26.7</v>
      </c>
      <c r="H872" s="25">
        <v>53.3</v>
      </c>
      <c r="I872" s="25" t="s">
        <v>20</v>
      </c>
      <c r="J872" s="25">
        <v>39</v>
      </c>
      <c r="K872" s="25">
        <v>128</v>
      </c>
      <c r="L872" s="25">
        <v>5</v>
      </c>
      <c r="M872" s="25" t="s">
        <v>27</v>
      </c>
      <c r="N872" s="25">
        <v>88</v>
      </c>
      <c r="O872" s="25">
        <v>117</v>
      </c>
      <c r="P872" s="25">
        <v>0</v>
      </c>
    </row>
    <row r="873" spans="1:16" x14ac:dyDescent="0.25">
      <c r="A873" s="26">
        <v>45604.211099537039</v>
      </c>
      <c r="B873" s="25" t="s">
        <v>16</v>
      </c>
      <c r="C873" s="25" t="s">
        <v>1777</v>
      </c>
      <c r="D873" s="25" t="s">
        <v>1778</v>
      </c>
      <c r="E873" s="25">
        <v>381</v>
      </c>
      <c r="F873" s="25" t="s">
        <v>25</v>
      </c>
      <c r="G873" s="25">
        <v>20</v>
      </c>
      <c r="H873" s="25">
        <v>52.9</v>
      </c>
      <c r="I873" s="25" t="s">
        <v>38</v>
      </c>
      <c r="J873" s="25">
        <v>13</v>
      </c>
      <c r="K873" s="25">
        <v>216</v>
      </c>
      <c r="L873" s="25">
        <v>5</v>
      </c>
      <c r="M873" s="25" t="s">
        <v>27</v>
      </c>
      <c r="N873" s="25">
        <v>87.3</v>
      </c>
      <c r="O873" s="25">
        <v>160</v>
      </c>
      <c r="P873" s="25">
        <v>0</v>
      </c>
    </row>
    <row r="874" spans="1:16" x14ac:dyDescent="0.25">
      <c r="A874" s="26">
        <v>45611.279363425929</v>
      </c>
      <c r="B874" s="25" t="s">
        <v>16</v>
      </c>
      <c r="C874" s="25" t="s">
        <v>1779</v>
      </c>
      <c r="D874" s="25" t="s">
        <v>1780</v>
      </c>
      <c r="E874" s="25">
        <v>416</v>
      </c>
      <c r="F874" s="25" t="s">
        <v>34</v>
      </c>
      <c r="G874" s="25">
        <v>20.5</v>
      </c>
      <c r="H874" s="25">
        <v>61.9</v>
      </c>
      <c r="I874" s="25" t="s">
        <v>20</v>
      </c>
      <c r="J874" s="25">
        <v>51</v>
      </c>
      <c r="K874" s="25">
        <v>172</v>
      </c>
      <c r="L874" s="25">
        <v>1</v>
      </c>
      <c r="M874" s="25" t="s">
        <v>27</v>
      </c>
      <c r="N874" s="25">
        <v>75.5</v>
      </c>
      <c r="O874" s="25">
        <v>112</v>
      </c>
      <c r="P874" s="25">
        <v>0</v>
      </c>
    </row>
    <row r="875" spans="1:16" ht="30" customHeight="1" x14ac:dyDescent="0.25">
      <c r="A875" s="26">
        <v>45642.881585648145</v>
      </c>
      <c r="B875" s="25" t="s">
        <v>31</v>
      </c>
      <c r="C875" s="25" t="s">
        <v>1781</v>
      </c>
      <c r="D875" s="25" t="s">
        <v>1782</v>
      </c>
      <c r="E875" s="25">
        <v>147</v>
      </c>
      <c r="F875" s="25" t="s">
        <v>19</v>
      </c>
      <c r="G875" s="25">
        <v>19</v>
      </c>
      <c r="H875" s="25">
        <v>73.2</v>
      </c>
      <c r="I875" s="25" t="s">
        <v>20</v>
      </c>
      <c r="J875" s="25">
        <v>60</v>
      </c>
      <c r="K875" s="25">
        <v>260</v>
      </c>
      <c r="L875" s="25">
        <v>5</v>
      </c>
      <c r="M875" s="25" t="s">
        <v>51</v>
      </c>
      <c r="N875" s="25">
        <v>77.2</v>
      </c>
      <c r="O875" s="25">
        <v>216</v>
      </c>
      <c r="P875" s="25">
        <v>1</v>
      </c>
    </row>
    <row r="876" spans="1:16" x14ac:dyDescent="0.25">
      <c r="A876" s="26">
        <v>45378.102430555555</v>
      </c>
      <c r="B876" s="25" t="s">
        <v>61</v>
      </c>
      <c r="C876" s="25" t="s">
        <v>1783</v>
      </c>
      <c r="D876" s="25" t="s">
        <v>1784</v>
      </c>
      <c r="E876" s="25">
        <v>277</v>
      </c>
      <c r="F876" s="25" t="s">
        <v>25</v>
      </c>
      <c r="G876" s="25">
        <v>28.1</v>
      </c>
      <c r="H876" s="25">
        <v>55.1</v>
      </c>
      <c r="I876" s="25" t="s">
        <v>38</v>
      </c>
      <c r="J876" s="25">
        <v>44</v>
      </c>
      <c r="K876" s="25">
        <v>111</v>
      </c>
      <c r="L876" s="25">
        <v>3</v>
      </c>
      <c r="M876" s="25" t="s">
        <v>27</v>
      </c>
      <c r="N876" s="25">
        <v>91.8</v>
      </c>
      <c r="O876" s="25">
        <v>282</v>
      </c>
      <c r="P876" s="25">
        <v>0</v>
      </c>
    </row>
    <row r="877" spans="1:16" x14ac:dyDescent="0.25">
      <c r="A877" s="26">
        <v>45564.583483796298</v>
      </c>
      <c r="B877" s="25" t="s">
        <v>95</v>
      </c>
      <c r="C877" s="25" t="s">
        <v>1785</v>
      </c>
      <c r="D877" s="25" t="s">
        <v>1786</v>
      </c>
      <c r="E877" s="25">
        <v>116</v>
      </c>
      <c r="F877" s="25" t="s">
        <v>34</v>
      </c>
      <c r="G877" s="25">
        <v>23</v>
      </c>
      <c r="H877" s="25">
        <v>79.599999999999994</v>
      </c>
      <c r="I877" s="25" t="s">
        <v>20</v>
      </c>
      <c r="J877" s="25">
        <v>55</v>
      </c>
      <c r="K877" s="25">
        <v>362</v>
      </c>
      <c r="L877" s="25">
        <v>1</v>
      </c>
      <c r="M877" s="25" t="s">
        <v>21</v>
      </c>
      <c r="N877" s="25">
        <v>96.6</v>
      </c>
      <c r="O877" s="25">
        <v>222</v>
      </c>
      <c r="P877" s="25">
        <v>0</v>
      </c>
    </row>
    <row r="878" spans="1:16" x14ac:dyDescent="0.25">
      <c r="A878" s="26">
        <v>45573.583958333336</v>
      </c>
      <c r="B878" s="25" t="s">
        <v>16</v>
      </c>
      <c r="C878" s="25" t="s">
        <v>1787</v>
      </c>
      <c r="D878" s="25" t="s">
        <v>1788</v>
      </c>
      <c r="E878" s="25">
        <v>324</v>
      </c>
      <c r="F878" s="25" t="s">
        <v>34</v>
      </c>
      <c r="G878" s="25">
        <v>22.2</v>
      </c>
      <c r="H878" s="25">
        <v>62.9</v>
      </c>
      <c r="I878" s="25" t="s">
        <v>26</v>
      </c>
      <c r="J878" s="25">
        <v>50</v>
      </c>
      <c r="K878" s="25">
        <v>365</v>
      </c>
      <c r="L878" s="25">
        <v>7</v>
      </c>
      <c r="M878" s="25" t="s">
        <v>27</v>
      </c>
      <c r="N878" s="25">
        <v>95.8</v>
      </c>
      <c r="O878" s="25">
        <v>210</v>
      </c>
      <c r="P878" s="25">
        <v>1</v>
      </c>
    </row>
    <row r="879" spans="1:16" x14ac:dyDescent="0.25">
      <c r="A879" s="26">
        <v>45649.933888888889</v>
      </c>
      <c r="B879" s="25" t="s">
        <v>95</v>
      </c>
      <c r="C879" s="25" t="s">
        <v>1789</v>
      </c>
      <c r="D879" s="25" t="s">
        <v>1790</v>
      </c>
      <c r="E879" s="25">
        <v>325</v>
      </c>
      <c r="F879" s="25" t="s">
        <v>25</v>
      </c>
      <c r="G879" s="25">
        <v>26</v>
      </c>
      <c r="H879" s="25">
        <v>56</v>
      </c>
      <c r="I879" s="25" t="s">
        <v>38</v>
      </c>
      <c r="J879" s="25">
        <v>34</v>
      </c>
      <c r="K879" s="25">
        <v>359</v>
      </c>
      <c r="L879" s="25">
        <v>4</v>
      </c>
      <c r="M879" s="25" t="s">
        <v>21</v>
      </c>
      <c r="N879" s="25">
        <v>72.2</v>
      </c>
      <c r="O879" s="25">
        <v>248</v>
      </c>
      <c r="P879" s="25">
        <v>0</v>
      </c>
    </row>
    <row r="880" spans="1:16" x14ac:dyDescent="0.25">
      <c r="A880" s="26">
        <v>45446.403263888889</v>
      </c>
      <c r="B880" s="25" t="s">
        <v>28</v>
      </c>
      <c r="C880" s="25" t="s">
        <v>1791</v>
      </c>
      <c r="D880" s="25" t="s">
        <v>1792</v>
      </c>
      <c r="E880" s="25">
        <v>245</v>
      </c>
      <c r="F880" s="25" t="s">
        <v>34</v>
      </c>
      <c r="G880" s="25">
        <v>22</v>
      </c>
      <c r="H880" s="25">
        <v>61.2</v>
      </c>
      <c r="I880" s="25" t="s">
        <v>20</v>
      </c>
      <c r="J880" s="25">
        <v>22</v>
      </c>
      <c r="K880" s="25">
        <v>480</v>
      </c>
      <c r="L880" s="25">
        <v>6</v>
      </c>
      <c r="M880" s="25" t="s">
        <v>27</v>
      </c>
      <c r="N880" s="25">
        <v>89.3</v>
      </c>
      <c r="O880" s="25">
        <v>284</v>
      </c>
      <c r="P880" s="25">
        <v>0</v>
      </c>
    </row>
    <row r="881" spans="1:16" x14ac:dyDescent="0.25">
      <c r="A881" s="26">
        <v>45469.472013888888</v>
      </c>
      <c r="B881" s="25" t="s">
        <v>64</v>
      </c>
      <c r="C881" s="25" t="s">
        <v>1793</v>
      </c>
      <c r="D881" s="25" t="s">
        <v>1794</v>
      </c>
      <c r="E881" s="25">
        <v>424</v>
      </c>
      <c r="F881" s="25" t="s">
        <v>34</v>
      </c>
      <c r="G881" s="25">
        <v>23.2</v>
      </c>
      <c r="H881" s="25">
        <v>50.2</v>
      </c>
      <c r="I881" s="25" t="s">
        <v>38</v>
      </c>
      <c r="J881" s="25">
        <v>55</v>
      </c>
      <c r="K881" s="25">
        <v>385</v>
      </c>
      <c r="L881" s="25">
        <v>9</v>
      </c>
      <c r="M881" s="25" t="s">
        <v>27</v>
      </c>
      <c r="N881" s="25">
        <v>83.2</v>
      </c>
      <c r="O881" s="25">
        <v>228</v>
      </c>
      <c r="P881" s="25">
        <v>0</v>
      </c>
    </row>
    <row r="882" spans="1:16" x14ac:dyDescent="0.25">
      <c r="A882" s="26">
        <v>45639.726701388892</v>
      </c>
      <c r="B882" s="25" t="s">
        <v>64</v>
      </c>
      <c r="C882" s="25" t="s">
        <v>1795</v>
      </c>
      <c r="D882" s="25" t="s">
        <v>1796</v>
      </c>
      <c r="E882" s="25">
        <v>467</v>
      </c>
      <c r="F882" s="25" t="s">
        <v>19</v>
      </c>
      <c r="G882" s="25">
        <v>26.5</v>
      </c>
      <c r="H882" s="25">
        <v>62.1</v>
      </c>
      <c r="I882" s="25" t="s">
        <v>26</v>
      </c>
      <c r="J882" s="25">
        <v>54</v>
      </c>
      <c r="K882" s="25">
        <v>222</v>
      </c>
      <c r="L882" s="25">
        <v>2</v>
      </c>
      <c r="M882" s="25" t="s">
        <v>35</v>
      </c>
      <c r="N882" s="25">
        <v>97.3</v>
      </c>
      <c r="O882" s="25">
        <v>259</v>
      </c>
      <c r="P882" s="25">
        <v>1</v>
      </c>
    </row>
    <row r="883" spans="1:16" x14ac:dyDescent="0.25">
      <c r="A883" s="26">
        <v>45375.504907407405</v>
      </c>
      <c r="B883" s="25" t="s">
        <v>41</v>
      </c>
      <c r="C883" s="25" t="s">
        <v>1797</v>
      </c>
      <c r="D883" s="25" t="s">
        <v>1798</v>
      </c>
      <c r="E883" s="25">
        <v>262</v>
      </c>
      <c r="F883" s="25" t="s">
        <v>25</v>
      </c>
      <c r="G883" s="25">
        <v>23.4</v>
      </c>
      <c r="H883" s="25">
        <v>62</v>
      </c>
      <c r="I883" s="25" t="s">
        <v>26</v>
      </c>
      <c r="J883" s="25">
        <v>36</v>
      </c>
      <c r="K883" s="25">
        <v>272</v>
      </c>
      <c r="L883" s="25">
        <v>7</v>
      </c>
      <c r="M883" s="25" t="s">
        <v>21</v>
      </c>
      <c r="N883" s="25">
        <v>82.9</v>
      </c>
      <c r="O883" s="25">
        <v>146</v>
      </c>
      <c r="P883" s="25">
        <v>1</v>
      </c>
    </row>
    <row r="884" spans="1:16" ht="30" customHeight="1" x14ac:dyDescent="0.25">
      <c r="A884" s="26">
        <v>45552.15861111111</v>
      </c>
      <c r="B884" s="25" t="s">
        <v>16</v>
      </c>
      <c r="C884" s="25" t="s">
        <v>1799</v>
      </c>
      <c r="D884" s="25" t="s">
        <v>1800</v>
      </c>
      <c r="E884" s="25">
        <v>356</v>
      </c>
      <c r="F884" s="25" t="s">
        <v>34</v>
      </c>
      <c r="G884" s="25">
        <v>21.6</v>
      </c>
      <c r="H884" s="25">
        <v>60.4</v>
      </c>
      <c r="I884" s="25" t="s">
        <v>38</v>
      </c>
      <c r="J884" s="25">
        <v>45</v>
      </c>
      <c r="K884" s="25">
        <v>292</v>
      </c>
      <c r="L884" s="25">
        <v>1</v>
      </c>
      <c r="M884" s="25" t="s">
        <v>51</v>
      </c>
      <c r="N884" s="25">
        <v>94.3</v>
      </c>
      <c r="O884" s="25">
        <v>196</v>
      </c>
      <c r="P884" s="25">
        <v>0</v>
      </c>
    </row>
    <row r="885" spans="1:16" x14ac:dyDescent="0.25">
      <c r="A885" s="26">
        <v>45558.738611111112</v>
      </c>
      <c r="B885" s="25" t="s">
        <v>22</v>
      </c>
      <c r="C885" s="25" t="s">
        <v>1801</v>
      </c>
      <c r="D885" s="25" t="s">
        <v>1802</v>
      </c>
      <c r="E885" s="25">
        <v>166</v>
      </c>
      <c r="F885" s="25" t="s">
        <v>19</v>
      </c>
      <c r="G885" s="25">
        <v>20.399999999999999</v>
      </c>
      <c r="H885" s="25">
        <v>70.2</v>
      </c>
      <c r="I885" s="25" t="s">
        <v>38</v>
      </c>
      <c r="J885" s="25">
        <v>19</v>
      </c>
      <c r="K885" s="25">
        <v>391</v>
      </c>
      <c r="L885" s="25">
        <v>5</v>
      </c>
      <c r="M885" s="25" t="s">
        <v>21</v>
      </c>
      <c r="N885" s="25">
        <v>74</v>
      </c>
      <c r="O885" s="25">
        <v>238</v>
      </c>
      <c r="P885" s="25">
        <v>1</v>
      </c>
    </row>
    <row r="886" spans="1:16" x14ac:dyDescent="0.25">
      <c r="A886" s="26">
        <v>45615.171087962961</v>
      </c>
      <c r="B886" s="25" t="s">
        <v>41</v>
      </c>
      <c r="C886" s="25" t="s">
        <v>1803</v>
      </c>
      <c r="D886" s="25" t="s">
        <v>1804</v>
      </c>
      <c r="E886" s="25">
        <v>349</v>
      </c>
      <c r="F886" s="25" t="s">
        <v>25</v>
      </c>
      <c r="G886" s="25">
        <v>25.6</v>
      </c>
      <c r="H886" s="25">
        <v>53.9</v>
      </c>
      <c r="I886" s="25" t="s">
        <v>26</v>
      </c>
      <c r="J886" s="25">
        <v>26</v>
      </c>
      <c r="K886" s="25">
        <v>189</v>
      </c>
      <c r="L886" s="25">
        <v>9</v>
      </c>
      <c r="M886" s="25" t="s">
        <v>27</v>
      </c>
      <c r="N886" s="25">
        <v>77.099999999999994</v>
      </c>
      <c r="O886" s="25">
        <v>285</v>
      </c>
      <c r="P886" s="25">
        <v>1</v>
      </c>
    </row>
    <row r="887" spans="1:16" ht="30" customHeight="1" x14ac:dyDescent="0.25">
      <c r="A887" s="26">
        <v>45517.07135416667</v>
      </c>
      <c r="B887" s="25" t="s">
        <v>16</v>
      </c>
      <c r="C887" s="25" t="s">
        <v>1805</v>
      </c>
      <c r="D887" s="25" t="s">
        <v>1806</v>
      </c>
      <c r="E887" s="25">
        <v>338</v>
      </c>
      <c r="F887" s="25" t="s">
        <v>34</v>
      </c>
      <c r="G887" s="25">
        <v>26.8</v>
      </c>
      <c r="H887" s="25">
        <v>68.3</v>
      </c>
      <c r="I887" s="25" t="s">
        <v>20</v>
      </c>
      <c r="J887" s="25">
        <v>45</v>
      </c>
      <c r="K887" s="25">
        <v>458</v>
      </c>
      <c r="L887" s="25">
        <v>9</v>
      </c>
      <c r="M887" s="25" t="s">
        <v>51</v>
      </c>
      <c r="N887" s="25">
        <v>76.7</v>
      </c>
      <c r="O887" s="25">
        <v>191</v>
      </c>
      <c r="P887" s="25">
        <v>0</v>
      </c>
    </row>
    <row r="888" spans="1:16" x14ac:dyDescent="0.25">
      <c r="A888" s="26">
        <v>45512.549861111111</v>
      </c>
      <c r="B888" s="25" t="s">
        <v>64</v>
      </c>
      <c r="C888" s="25" t="s">
        <v>1807</v>
      </c>
      <c r="D888" s="25" t="s">
        <v>1808</v>
      </c>
      <c r="E888" s="25">
        <v>273</v>
      </c>
      <c r="F888" s="25" t="s">
        <v>34</v>
      </c>
      <c r="G888" s="25">
        <v>19.899999999999999</v>
      </c>
      <c r="H888" s="25">
        <v>63.6</v>
      </c>
      <c r="I888" s="25" t="s">
        <v>38</v>
      </c>
      <c r="J888" s="25">
        <v>27</v>
      </c>
      <c r="K888" s="25">
        <v>265</v>
      </c>
      <c r="L888" s="25">
        <v>8</v>
      </c>
      <c r="M888" s="25" t="s">
        <v>27</v>
      </c>
      <c r="N888" s="25">
        <v>77</v>
      </c>
      <c r="O888" s="25">
        <v>243</v>
      </c>
      <c r="P888" s="25">
        <v>0</v>
      </c>
    </row>
    <row r="889" spans="1:16" x14ac:dyDescent="0.25">
      <c r="A889" s="26">
        <v>45544.453611111108</v>
      </c>
      <c r="B889" s="25" t="s">
        <v>16</v>
      </c>
      <c r="C889" s="25" t="s">
        <v>1809</v>
      </c>
      <c r="D889" s="25" t="s">
        <v>1810</v>
      </c>
      <c r="E889" s="25">
        <v>239</v>
      </c>
      <c r="F889" s="25" t="s">
        <v>25</v>
      </c>
      <c r="G889" s="25">
        <v>25.8</v>
      </c>
      <c r="H889" s="25">
        <v>56</v>
      </c>
      <c r="I889" s="25" t="s">
        <v>20</v>
      </c>
      <c r="J889" s="25">
        <v>50</v>
      </c>
      <c r="K889" s="25">
        <v>274</v>
      </c>
      <c r="L889" s="25">
        <v>7</v>
      </c>
      <c r="M889" s="25" t="s">
        <v>27</v>
      </c>
      <c r="N889" s="25">
        <v>88.3</v>
      </c>
      <c r="O889" s="25">
        <v>261</v>
      </c>
      <c r="P889" s="25">
        <v>0</v>
      </c>
    </row>
    <row r="890" spans="1:16" x14ac:dyDescent="0.25">
      <c r="A890" s="26">
        <v>45623.378981481481</v>
      </c>
      <c r="B890" s="25" t="s">
        <v>31</v>
      </c>
      <c r="C890" s="25" t="s">
        <v>1811</v>
      </c>
      <c r="D890" s="25" t="s">
        <v>1812</v>
      </c>
      <c r="E890" s="25">
        <v>278</v>
      </c>
      <c r="F890" s="25" t="s">
        <v>34</v>
      </c>
      <c r="G890" s="25">
        <v>22.8</v>
      </c>
      <c r="H890" s="25">
        <v>52.9</v>
      </c>
      <c r="I890" s="25" t="s">
        <v>26</v>
      </c>
      <c r="J890" s="25">
        <v>18</v>
      </c>
      <c r="K890" s="25">
        <v>104</v>
      </c>
      <c r="L890" s="25">
        <v>4</v>
      </c>
      <c r="M890" s="25" t="s">
        <v>35</v>
      </c>
      <c r="N890" s="25">
        <v>71.2</v>
      </c>
      <c r="O890" s="25">
        <v>190</v>
      </c>
      <c r="P890" s="25">
        <v>1</v>
      </c>
    </row>
    <row r="891" spans="1:16" ht="30" customHeight="1" x14ac:dyDescent="0.25">
      <c r="A891" s="26">
        <v>45411.647291666668</v>
      </c>
      <c r="B891" s="25" t="s">
        <v>95</v>
      </c>
      <c r="C891" s="25" t="s">
        <v>1813</v>
      </c>
      <c r="D891" s="25" t="s">
        <v>1814</v>
      </c>
      <c r="E891" s="25">
        <v>412</v>
      </c>
      <c r="F891" s="25" t="s">
        <v>19</v>
      </c>
      <c r="G891" s="25">
        <v>20.2</v>
      </c>
      <c r="H891" s="25">
        <v>65</v>
      </c>
      <c r="I891" s="25" t="s">
        <v>38</v>
      </c>
      <c r="J891" s="25">
        <v>14</v>
      </c>
      <c r="K891" s="25">
        <v>230</v>
      </c>
      <c r="L891" s="25">
        <v>2</v>
      </c>
      <c r="M891" s="25" t="s">
        <v>51</v>
      </c>
      <c r="N891" s="25">
        <v>72.900000000000006</v>
      </c>
      <c r="O891" s="25">
        <v>249</v>
      </c>
      <c r="P891" s="25">
        <v>1</v>
      </c>
    </row>
    <row r="892" spans="1:16" x14ac:dyDescent="0.25">
      <c r="A892" s="26">
        <v>45656.807615740741</v>
      </c>
      <c r="B892" s="25" t="s">
        <v>22</v>
      </c>
      <c r="C892" s="25" t="s">
        <v>1815</v>
      </c>
      <c r="D892" s="25" t="s">
        <v>1816</v>
      </c>
      <c r="E892" s="25">
        <v>125</v>
      </c>
      <c r="F892" s="25" t="s">
        <v>25</v>
      </c>
      <c r="G892" s="25">
        <v>25.4</v>
      </c>
      <c r="H892" s="25">
        <v>61.5</v>
      </c>
      <c r="I892" s="25" t="s">
        <v>20</v>
      </c>
      <c r="J892" s="25">
        <v>50</v>
      </c>
      <c r="K892" s="25">
        <v>408</v>
      </c>
      <c r="L892" s="25">
        <v>6</v>
      </c>
      <c r="M892" s="25" t="s">
        <v>21</v>
      </c>
      <c r="N892" s="25">
        <v>83.4</v>
      </c>
      <c r="O892" s="25">
        <v>221</v>
      </c>
      <c r="P892" s="25">
        <v>0</v>
      </c>
    </row>
    <row r="893" spans="1:16" x14ac:dyDescent="0.25">
      <c r="A893" s="26">
        <v>45645.887928240743</v>
      </c>
      <c r="B893" s="25" t="s">
        <v>56</v>
      </c>
      <c r="C893" s="25" t="s">
        <v>1817</v>
      </c>
      <c r="D893" s="25" t="s">
        <v>1818</v>
      </c>
      <c r="E893" s="25">
        <v>404</v>
      </c>
      <c r="F893" s="25" t="s">
        <v>34</v>
      </c>
      <c r="G893" s="25">
        <v>24.7</v>
      </c>
      <c r="H893" s="25">
        <v>74.2</v>
      </c>
      <c r="I893" s="25" t="s">
        <v>26</v>
      </c>
      <c r="J893" s="25">
        <v>23</v>
      </c>
      <c r="K893" s="25">
        <v>459</v>
      </c>
      <c r="L893" s="25">
        <v>1</v>
      </c>
      <c r="M893" s="25" t="s">
        <v>35</v>
      </c>
      <c r="N893" s="25">
        <v>71.7</v>
      </c>
      <c r="O893" s="25">
        <v>127</v>
      </c>
      <c r="P893" s="25">
        <v>1</v>
      </c>
    </row>
    <row r="894" spans="1:16" x14ac:dyDescent="0.25">
      <c r="A894" s="26">
        <v>45541.537094907406</v>
      </c>
      <c r="B894" s="25" t="s">
        <v>31</v>
      </c>
      <c r="C894" s="25" t="s">
        <v>1819</v>
      </c>
      <c r="D894" s="25" t="s">
        <v>1820</v>
      </c>
      <c r="E894" s="25">
        <v>392</v>
      </c>
      <c r="F894" s="25" t="s">
        <v>34</v>
      </c>
      <c r="G894" s="25">
        <v>29.1</v>
      </c>
      <c r="H894" s="25">
        <v>51.3</v>
      </c>
      <c r="I894" s="25" t="s">
        <v>38</v>
      </c>
      <c r="J894" s="25">
        <v>35</v>
      </c>
      <c r="K894" s="25">
        <v>434</v>
      </c>
      <c r="L894" s="25">
        <v>7</v>
      </c>
      <c r="M894" s="25" t="s">
        <v>21</v>
      </c>
      <c r="N894" s="25">
        <v>70.8</v>
      </c>
      <c r="O894" s="25">
        <v>249</v>
      </c>
      <c r="P894" s="25">
        <v>0</v>
      </c>
    </row>
    <row r="895" spans="1:16" x14ac:dyDescent="0.25">
      <c r="A895" s="26">
        <v>45656.297789351855</v>
      </c>
      <c r="B895" s="25" t="s">
        <v>16</v>
      </c>
      <c r="C895" s="25" t="s">
        <v>1821</v>
      </c>
      <c r="D895" s="25" t="s">
        <v>1822</v>
      </c>
      <c r="E895" s="25">
        <v>145</v>
      </c>
      <c r="F895" s="25" t="s">
        <v>34</v>
      </c>
      <c r="G895" s="25">
        <v>29.8</v>
      </c>
      <c r="H895" s="25">
        <v>75.7</v>
      </c>
      <c r="I895" s="25" t="s">
        <v>20</v>
      </c>
      <c r="J895" s="25">
        <v>60</v>
      </c>
      <c r="K895" s="25">
        <v>287</v>
      </c>
      <c r="L895" s="25">
        <v>9</v>
      </c>
      <c r="M895" s="25" t="s">
        <v>35</v>
      </c>
      <c r="N895" s="25">
        <v>87.6</v>
      </c>
      <c r="O895" s="25">
        <v>216</v>
      </c>
      <c r="P895" s="25">
        <v>0</v>
      </c>
    </row>
    <row r="896" spans="1:16" ht="30" customHeight="1" x14ac:dyDescent="0.25">
      <c r="A896" s="26">
        <v>45612.69326388889</v>
      </c>
      <c r="B896" s="25" t="s">
        <v>41</v>
      </c>
      <c r="C896" s="25" t="s">
        <v>1823</v>
      </c>
      <c r="D896" s="25" t="s">
        <v>1824</v>
      </c>
      <c r="E896" s="25">
        <v>485</v>
      </c>
      <c r="F896" s="25" t="s">
        <v>19</v>
      </c>
      <c r="G896" s="25">
        <v>24.6</v>
      </c>
      <c r="H896" s="25">
        <v>50.3</v>
      </c>
      <c r="I896" s="25" t="s">
        <v>26</v>
      </c>
      <c r="J896" s="25">
        <v>11</v>
      </c>
      <c r="K896" s="25">
        <v>155</v>
      </c>
      <c r="L896" s="25">
        <v>1</v>
      </c>
      <c r="M896" s="25" t="s">
        <v>51</v>
      </c>
      <c r="N896" s="25">
        <v>84.9</v>
      </c>
      <c r="O896" s="25">
        <v>161</v>
      </c>
      <c r="P896" s="25">
        <v>1</v>
      </c>
    </row>
    <row r="897" spans="1:16" x14ac:dyDescent="0.25">
      <c r="A897" s="26">
        <v>45451.381365740737</v>
      </c>
      <c r="B897" s="25" t="s">
        <v>41</v>
      </c>
      <c r="C897" s="25" t="s">
        <v>1825</v>
      </c>
      <c r="D897" s="25" t="s">
        <v>1826</v>
      </c>
      <c r="E897" s="25">
        <v>312</v>
      </c>
      <c r="F897" s="25" t="s">
        <v>19</v>
      </c>
      <c r="G897" s="25">
        <v>19.100000000000001</v>
      </c>
      <c r="H897" s="25">
        <v>52</v>
      </c>
      <c r="I897" s="25" t="s">
        <v>20</v>
      </c>
      <c r="J897" s="25">
        <v>50</v>
      </c>
      <c r="K897" s="25">
        <v>263</v>
      </c>
      <c r="L897" s="25">
        <v>2</v>
      </c>
      <c r="M897" s="25" t="s">
        <v>21</v>
      </c>
      <c r="N897" s="25">
        <v>87.6</v>
      </c>
      <c r="O897" s="25">
        <v>123</v>
      </c>
      <c r="P897" s="25">
        <v>1</v>
      </c>
    </row>
    <row r="898" spans="1:16" x14ac:dyDescent="0.25">
      <c r="A898" s="26">
        <v>45406.748136574075</v>
      </c>
      <c r="B898" s="25" t="s">
        <v>22</v>
      </c>
      <c r="C898" s="25" t="s">
        <v>1827</v>
      </c>
      <c r="D898" s="25" t="s">
        <v>1828</v>
      </c>
      <c r="E898" s="25">
        <v>286</v>
      </c>
      <c r="F898" s="25" t="s">
        <v>25</v>
      </c>
      <c r="G898" s="25">
        <v>25.1</v>
      </c>
      <c r="H898" s="25">
        <v>56.2</v>
      </c>
      <c r="I898" s="25" t="s">
        <v>20</v>
      </c>
      <c r="J898" s="25">
        <v>50</v>
      </c>
      <c r="K898" s="25">
        <v>408</v>
      </c>
      <c r="L898" s="25">
        <v>10</v>
      </c>
      <c r="M898" s="25" t="s">
        <v>35</v>
      </c>
      <c r="N898" s="25">
        <v>99.3</v>
      </c>
      <c r="O898" s="25">
        <v>148</v>
      </c>
      <c r="P898" s="25">
        <v>0</v>
      </c>
    </row>
    <row r="899" spans="1:16" x14ac:dyDescent="0.25">
      <c r="A899" s="26">
        <v>45352.856111111112</v>
      </c>
      <c r="B899" s="25" t="s">
        <v>61</v>
      </c>
      <c r="C899" s="25" t="s">
        <v>1829</v>
      </c>
      <c r="D899" s="25" t="s">
        <v>1830</v>
      </c>
      <c r="E899" s="25">
        <v>396</v>
      </c>
      <c r="F899" s="25" t="s">
        <v>25</v>
      </c>
      <c r="G899" s="25">
        <v>23</v>
      </c>
      <c r="H899" s="25">
        <v>61.1</v>
      </c>
      <c r="I899" s="25" t="s">
        <v>38</v>
      </c>
      <c r="J899" s="25">
        <v>14</v>
      </c>
      <c r="K899" s="25">
        <v>439</v>
      </c>
      <c r="L899" s="25">
        <v>8</v>
      </c>
      <c r="M899" s="25" t="s">
        <v>21</v>
      </c>
      <c r="N899" s="25">
        <v>91.9</v>
      </c>
      <c r="O899" s="25">
        <v>119</v>
      </c>
      <c r="P899" s="25">
        <v>0</v>
      </c>
    </row>
    <row r="900" spans="1:16" x14ac:dyDescent="0.25">
      <c r="A900" s="26">
        <v>45345.778182870374</v>
      </c>
      <c r="B900" s="25" t="s">
        <v>95</v>
      </c>
      <c r="C900" s="25" t="s">
        <v>1831</v>
      </c>
      <c r="D900" s="25" t="s">
        <v>1832</v>
      </c>
      <c r="E900" s="25">
        <v>352</v>
      </c>
      <c r="F900" s="25" t="s">
        <v>34</v>
      </c>
      <c r="G900" s="25">
        <v>26.6</v>
      </c>
      <c r="H900" s="25">
        <v>70.3</v>
      </c>
      <c r="I900" s="25" t="s">
        <v>20</v>
      </c>
      <c r="J900" s="25">
        <v>12</v>
      </c>
      <c r="K900" s="25">
        <v>260</v>
      </c>
      <c r="L900" s="25">
        <v>7</v>
      </c>
      <c r="M900" s="25" t="s">
        <v>35</v>
      </c>
      <c r="N900" s="25">
        <v>77.400000000000006</v>
      </c>
      <c r="O900" s="25">
        <v>267</v>
      </c>
      <c r="P900" s="25">
        <v>0</v>
      </c>
    </row>
    <row r="901" spans="1:16" x14ac:dyDescent="0.25">
      <c r="A901" s="26">
        <v>45560.218495370369</v>
      </c>
      <c r="B901" s="25" t="s">
        <v>16</v>
      </c>
      <c r="C901" s="25" t="s">
        <v>1833</v>
      </c>
      <c r="D901" s="25" t="s">
        <v>1834</v>
      </c>
      <c r="E901" s="25">
        <v>410</v>
      </c>
      <c r="F901" s="25" t="s">
        <v>34</v>
      </c>
      <c r="G901" s="25">
        <v>28.4</v>
      </c>
      <c r="H901" s="25">
        <v>52.7</v>
      </c>
      <c r="I901" s="25" t="s">
        <v>20</v>
      </c>
      <c r="J901" s="25">
        <v>48</v>
      </c>
      <c r="K901" s="25">
        <v>352</v>
      </c>
      <c r="L901" s="25">
        <v>8</v>
      </c>
      <c r="M901" s="25" t="s">
        <v>27</v>
      </c>
      <c r="N901" s="25">
        <v>95.5</v>
      </c>
      <c r="O901" s="25">
        <v>213</v>
      </c>
      <c r="P901" s="25">
        <v>0</v>
      </c>
    </row>
    <row r="902" spans="1:16" x14ac:dyDescent="0.25">
      <c r="A902" s="26">
        <v>45360.799363425926</v>
      </c>
      <c r="B902" s="25" t="s">
        <v>28</v>
      </c>
      <c r="C902" s="25" t="s">
        <v>1835</v>
      </c>
      <c r="D902" s="25" t="s">
        <v>1836</v>
      </c>
      <c r="E902" s="25">
        <v>484</v>
      </c>
      <c r="F902" s="25" t="s">
        <v>19</v>
      </c>
      <c r="G902" s="25">
        <v>22.8</v>
      </c>
      <c r="H902" s="25">
        <v>53.7</v>
      </c>
      <c r="I902" s="25" t="s">
        <v>38</v>
      </c>
      <c r="J902" s="25">
        <v>18</v>
      </c>
      <c r="K902" s="25">
        <v>176</v>
      </c>
      <c r="L902" s="25">
        <v>4</v>
      </c>
      <c r="M902" s="25" t="s">
        <v>27</v>
      </c>
      <c r="N902" s="25">
        <v>73.7</v>
      </c>
      <c r="O902" s="25">
        <v>131</v>
      </c>
      <c r="P902" s="25">
        <v>1</v>
      </c>
    </row>
    <row r="903" spans="1:16" x14ac:dyDescent="0.25">
      <c r="A903" s="26">
        <v>45320.621493055558</v>
      </c>
      <c r="B903" s="25" t="s">
        <v>95</v>
      </c>
      <c r="C903" s="25" t="s">
        <v>1837</v>
      </c>
      <c r="D903" s="25" t="s">
        <v>1838</v>
      </c>
      <c r="E903" s="25">
        <v>152</v>
      </c>
      <c r="F903" s="25" t="s">
        <v>25</v>
      </c>
      <c r="G903" s="25">
        <v>18.7</v>
      </c>
      <c r="H903" s="25">
        <v>68.599999999999994</v>
      </c>
      <c r="I903" s="25" t="s">
        <v>38</v>
      </c>
      <c r="J903" s="25">
        <v>51</v>
      </c>
      <c r="K903" s="25">
        <v>483</v>
      </c>
      <c r="L903" s="25">
        <v>2</v>
      </c>
      <c r="M903" s="25" t="s">
        <v>27</v>
      </c>
      <c r="N903" s="25">
        <v>87.8</v>
      </c>
      <c r="O903" s="25">
        <v>163</v>
      </c>
      <c r="P903" s="25">
        <v>0</v>
      </c>
    </row>
    <row r="904" spans="1:16" x14ac:dyDescent="0.25">
      <c r="A904" s="26">
        <v>45572.745775462965</v>
      </c>
      <c r="B904" s="25" t="s">
        <v>64</v>
      </c>
      <c r="C904" s="25" t="s">
        <v>1839</v>
      </c>
      <c r="D904" s="25" t="s">
        <v>1840</v>
      </c>
      <c r="E904" s="25">
        <v>329</v>
      </c>
      <c r="F904" s="25" t="s">
        <v>34</v>
      </c>
      <c r="G904" s="25">
        <v>27.3</v>
      </c>
      <c r="H904" s="25">
        <v>68.400000000000006</v>
      </c>
      <c r="I904" s="25" t="s">
        <v>20</v>
      </c>
      <c r="J904" s="25">
        <v>57</v>
      </c>
      <c r="K904" s="25">
        <v>418</v>
      </c>
      <c r="L904" s="25">
        <v>1</v>
      </c>
      <c r="M904" s="25" t="s">
        <v>35</v>
      </c>
      <c r="N904" s="25">
        <v>90</v>
      </c>
      <c r="O904" s="25">
        <v>101</v>
      </c>
      <c r="P904" s="25">
        <v>0</v>
      </c>
    </row>
    <row r="905" spans="1:16" x14ac:dyDescent="0.25">
      <c r="A905" s="26">
        <v>45582.641504629632</v>
      </c>
      <c r="B905" s="25" t="s">
        <v>61</v>
      </c>
      <c r="C905" s="25" t="s">
        <v>1841</v>
      </c>
      <c r="D905" s="25" t="s">
        <v>1842</v>
      </c>
      <c r="E905" s="25">
        <v>314</v>
      </c>
      <c r="F905" s="25" t="s">
        <v>19</v>
      </c>
      <c r="G905" s="25">
        <v>23.8</v>
      </c>
      <c r="H905" s="25">
        <v>63.7</v>
      </c>
      <c r="I905" s="25" t="s">
        <v>20</v>
      </c>
      <c r="J905" s="25">
        <v>41</v>
      </c>
      <c r="K905" s="25">
        <v>117</v>
      </c>
      <c r="L905" s="25">
        <v>8</v>
      </c>
      <c r="M905" s="25" t="s">
        <v>21</v>
      </c>
      <c r="N905" s="25">
        <v>69.5</v>
      </c>
      <c r="O905" s="25">
        <v>147</v>
      </c>
      <c r="P905" s="25">
        <v>1</v>
      </c>
    </row>
    <row r="906" spans="1:16" x14ac:dyDescent="0.25">
      <c r="A906" s="26">
        <v>45321.040752314817</v>
      </c>
      <c r="B906" s="25" t="s">
        <v>61</v>
      </c>
      <c r="C906" s="25" t="s">
        <v>1843</v>
      </c>
      <c r="D906" s="25" t="s">
        <v>1844</v>
      </c>
      <c r="E906" s="25">
        <v>121</v>
      </c>
      <c r="F906" s="25" t="s">
        <v>25</v>
      </c>
      <c r="G906" s="25">
        <v>27.2</v>
      </c>
      <c r="H906" s="25">
        <v>71.099999999999994</v>
      </c>
      <c r="I906" s="25" t="s">
        <v>20</v>
      </c>
      <c r="J906" s="25">
        <v>44</v>
      </c>
      <c r="K906" s="25">
        <v>340</v>
      </c>
      <c r="L906" s="25">
        <v>8</v>
      </c>
      <c r="M906" s="25" t="s">
        <v>21</v>
      </c>
      <c r="N906" s="25">
        <v>74.599999999999994</v>
      </c>
      <c r="O906" s="25">
        <v>286</v>
      </c>
      <c r="P906" s="25">
        <v>0</v>
      </c>
    </row>
    <row r="907" spans="1:16" x14ac:dyDescent="0.25">
      <c r="A907" s="26">
        <v>45519.336377314816</v>
      </c>
      <c r="B907" s="25" t="s">
        <v>95</v>
      </c>
      <c r="C907" s="25" t="s">
        <v>1845</v>
      </c>
      <c r="D907" s="25" t="s">
        <v>1846</v>
      </c>
      <c r="E907" s="25">
        <v>428</v>
      </c>
      <c r="F907" s="25" t="s">
        <v>34</v>
      </c>
      <c r="G907" s="25">
        <v>24.1</v>
      </c>
      <c r="H907" s="25">
        <v>58.4</v>
      </c>
      <c r="I907" s="25" t="s">
        <v>20</v>
      </c>
      <c r="J907" s="25">
        <v>11</v>
      </c>
      <c r="K907" s="25">
        <v>111</v>
      </c>
      <c r="L907" s="25">
        <v>6</v>
      </c>
      <c r="M907" s="25" t="s">
        <v>27</v>
      </c>
      <c r="N907" s="25">
        <v>81.099999999999994</v>
      </c>
      <c r="O907" s="25">
        <v>111</v>
      </c>
      <c r="P907" s="25">
        <v>0</v>
      </c>
    </row>
    <row r="908" spans="1:16" x14ac:dyDescent="0.25">
      <c r="A908" s="26">
        <v>45328.376134259262</v>
      </c>
      <c r="B908" s="25" t="s">
        <v>28</v>
      </c>
      <c r="C908" s="25" t="s">
        <v>1847</v>
      </c>
      <c r="D908" s="25" t="s">
        <v>1848</v>
      </c>
      <c r="E908" s="25">
        <v>113</v>
      </c>
      <c r="F908" s="25" t="s">
        <v>25</v>
      </c>
      <c r="G908" s="25">
        <v>23</v>
      </c>
      <c r="H908" s="25">
        <v>73.400000000000006</v>
      </c>
      <c r="I908" s="25" t="s">
        <v>20</v>
      </c>
      <c r="J908" s="25">
        <v>50</v>
      </c>
      <c r="K908" s="25">
        <v>309</v>
      </c>
      <c r="L908" s="25">
        <v>8</v>
      </c>
      <c r="M908" s="25" t="s">
        <v>35</v>
      </c>
      <c r="N908" s="25">
        <v>71.7</v>
      </c>
      <c r="O908" s="25">
        <v>293</v>
      </c>
      <c r="P908" s="25">
        <v>0</v>
      </c>
    </row>
    <row r="909" spans="1:16" x14ac:dyDescent="0.25">
      <c r="A909" s="26">
        <v>45299.610879629632</v>
      </c>
      <c r="B909" s="25" t="s">
        <v>16</v>
      </c>
      <c r="C909" s="25" t="s">
        <v>1849</v>
      </c>
      <c r="D909" s="25" t="s">
        <v>1850</v>
      </c>
      <c r="E909" s="25">
        <v>201</v>
      </c>
      <c r="F909" s="25" t="s">
        <v>19</v>
      </c>
      <c r="G909" s="25">
        <v>27.9</v>
      </c>
      <c r="H909" s="25">
        <v>64.400000000000006</v>
      </c>
      <c r="I909" s="25" t="s">
        <v>38</v>
      </c>
      <c r="J909" s="25">
        <v>30</v>
      </c>
      <c r="K909" s="25">
        <v>198</v>
      </c>
      <c r="L909" s="25">
        <v>7</v>
      </c>
      <c r="M909" s="25" t="s">
        <v>27</v>
      </c>
      <c r="N909" s="25">
        <v>93.9</v>
      </c>
      <c r="O909" s="25">
        <v>276</v>
      </c>
      <c r="P909" s="25">
        <v>1</v>
      </c>
    </row>
    <row r="910" spans="1:16" x14ac:dyDescent="0.25">
      <c r="A910" s="26">
        <v>45393.250648148147</v>
      </c>
      <c r="B910" s="25" t="s">
        <v>56</v>
      </c>
      <c r="C910" s="25" t="s">
        <v>1851</v>
      </c>
      <c r="D910" s="25" t="s">
        <v>1852</v>
      </c>
      <c r="E910" s="25">
        <v>227</v>
      </c>
      <c r="F910" s="25" t="s">
        <v>19</v>
      </c>
      <c r="G910" s="25">
        <v>28.3</v>
      </c>
      <c r="H910" s="25">
        <v>62.8</v>
      </c>
      <c r="I910" s="25" t="s">
        <v>20</v>
      </c>
      <c r="J910" s="25">
        <v>30</v>
      </c>
      <c r="K910" s="25">
        <v>400</v>
      </c>
      <c r="L910" s="25">
        <v>4</v>
      </c>
      <c r="M910" s="25" t="s">
        <v>35</v>
      </c>
      <c r="N910" s="25">
        <v>68.2</v>
      </c>
      <c r="O910" s="25">
        <v>194</v>
      </c>
      <c r="P910" s="25">
        <v>1</v>
      </c>
    </row>
    <row r="911" spans="1:16" x14ac:dyDescent="0.25">
      <c r="A911" s="26">
        <v>45371.897557870368</v>
      </c>
      <c r="B911" s="25" t="s">
        <v>48</v>
      </c>
      <c r="C911" s="25" t="s">
        <v>1853</v>
      </c>
      <c r="D911" s="25" t="s">
        <v>1854</v>
      </c>
      <c r="E911" s="25">
        <v>445</v>
      </c>
      <c r="F911" s="25" t="s">
        <v>34</v>
      </c>
      <c r="G911" s="25">
        <v>25.3</v>
      </c>
      <c r="H911" s="25">
        <v>57.9</v>
      </c>
      <c r="I911" s="25" t="s">
        <v>20</v>
      </c>
      <c r="J911" s="25">
        <v>38</v>
      </c>
      <c r="K911" s="25">
        <v>364</v>
      </c>
      <c r="L911" s="25">
        <v>1</v>
      </c>
      <c r="M911" s="25" t="s">
        <v>35</v>
      </c>
      <c r="N911" s="25">
        <v>93.6</v>
      </c>
      <c r="O911" s="25">
        <v>275</v>
      </c>
      <c r="P911" s="25">
        <v>0</v>
      </c>
    </row>
    <row r="912" spans="1:16" x14ac:dyDescent="0.25">
      <c r="A912" s="26">
        <v>45411.438287037039</v>
      </c>
      <c r="B912" s="25" t="s">
        <v>48</v>
      </c>
      <c r="C912" s="25" t="s">
        <v>1855</v>
      </c>
      <c r="D912" s="25" t="s">
        <v>1856</v>
      </c>
      <c r="E912" s="25">
        <v>407</v>
      </c>
      <c r="F912" s="25" t="s">
        <v>25</v>
      </c>
      <c r="G912" s="25">
        <v>29.6</v>
      </c>
      <c r="H912" s="25">
        <v>64.3</v>
      </c>
      <c r="I912" s="25" t="s">
        <v>26</v>
      </c>
      <c r="J912" s="25">
        <v>10</v>
      </c>
      <c r="K912" s="25">
        <v>102</v>
      </c>
      <c r="L912" s="25">
        <v>6</v>
      </c>
      <c r="M912" s="25" t="s">
        <v>21</v>
      </c>
      <c r="N912" s="25">
        <v>98.5</v>
      </c>
      <c r="O912" s="25">
        <v>133</v>
      </c>
      <c r="P912" s="25">
        <v>1</v>
      </c>
    </row>
    <row r="913" spans="1:16" x14ac:dyDescent="0.25">
      <c r="A913" s="26">
        <v>45646.466990740744</v>
      </c>
      <c r="B913" s="25" t="s">
        <v>56</v>
      </c>
      <c r="C913" s="25" t="s">
        <v>1857</v>
      </c>
      <c r="D913" s="25" t="s">
        <v>1858</v>
      </c>
      <c r="E913" s="25">
        <v>135</v>
      </c>
      <c r="F913" s="25" t="s">
        <v>25</v>
      </c>
      <c r="G913" s="25">
        <v>22.9</v>
      </c>
      <c r="H913" s="25">
        <v>60.9</v>
      </c>
      <c r="I913" s="25" t="s">
        <v>26</v>
      </c>
      <c r="J913" s="25">
        <v>42</v>
      </c>
      <c r="K913" s="25">
        <v>379</v>
      </c>
      <c r="L913" s="25">
        <v>8</v>
      </c>
      <c r="M913" s="25" t="s">
        <v>35</v>
      </c>
      <c r="N913" s="25">
        <v>93.2</v>
      </c>
      <c r="O913" s="25">
        <v>159</v>
      </c>
      <c r="P913" s="25">
        <v>1</v>
      </c>
    </row>
    <row r="914" spans="1:16" x14ac:dyDescent="0.25">
      <c r="A914" s="26">
        <v>45478.78806712963</v>
      </c>
      <c r="B914" s="25" t="s">
        <v>95</v>
      </c>
      <c r="C914" s="25" t="s">
        <v>1859</v>
      </c>
      <c r="D914" s="25" t="s">
        <v>1860</v>
      </c>
      <c r="E914" s="25">
        <v>160</v>
      </c>
      <c r="F914" s="25" t="s">
        <v>34</v>
      </c>
      <c r="G914" s="25">
        <v>22.3</v>
      </c>
      <c r="H914" s="25">
        <v>69.7</v>
      </c>
      <c r="I914" s="25" t="s">
        <v>20</v>
      </c>
      <c r="J914" s="25">
        <v>37</v>
      </c>
      <c r="K914" s="25">
        <v>255</v>
      </c>
      <c r="L914" s="25">
        <v>7</v>
      </c>
      <c r="M914" s="25" t="s">
        <v>35</v>
      </c>
      <c r="N914" s="25">
        <v>66.8</v>
      </c>
      <c r="O914" s="25">
        <v>170</v>
      </c>
      <c r="P914" s="25">
        <v>0</v>
      </c>
    </row>
    <row r="915" spans="1:16" x14ac:dyDescent="0.25">
      <c r="A915" s="26">
        <v>45349.068807870368</v>
      </c>
      <c r="B915" s="25" t="s">
        <v>64</v>
      </c>
      <c r="C915" s="25" t="s">
        <v>1861</v>
      </c>
      <c r="D915" s="25" t="s">
        <v>1862</v>
      </c>
      <c r="E915" s="25">
        <v>472</v>
      </c>
      <c r="F915" s="25" t="s">
        <v>25</v>
      </c>
      <c r="G915" s="25">
        <v>22.7</v>
      </c>
      <c r="H915" s="25">
        <v>53</v>
      </c>
      <c r="I915" s="25" t="s">
        <v>26</v>
      </c>
      <c r="J915" s="25">
        <v>30</v>
      </c>
      <c r="K915" s="25">
        <v>389</v>
      </c>
      <c r="L915" s="25">
        <v>6</v>
      </c>
      <c r="M915" s="25" t="s">
        <v>27</v>
      </c>
      <c r="N915" s="25">
        <v>86.8</v>
      </c>
      <c r="O915" s="25">
        <v>232</v>
      </c>
      <c r="P915" s="25">
        <v>1</v>
      </c>
    </row>
    <row r="916" spans="1:16" x14ac:dyDescent="0.25">
      <c r="A916" s="26">
        <v>45576.816886574074</v>
      </c>
      <c r="B916" s="25" t="s">
        <v>28</v>
      </c>
      <c r="C916" s="25" t="s">
        <v>1863</v>
      </c>
      <c r="D916" s="25" t="s">
        <v>1864</v>
      </c>
      <c r="E916" s="25">
        <v>408</v>
      </c>
      <c r="F916" s="25" t="s">
        <v>25</v>
      </c>
      <c r="G916" s="25">
        <v>19.5</v>
      </c>
      <c r="H916" s="25">
        <v>65.2</v>
      </c>
      <c r="I916" s="25" t="s">
        <v>20</v>
      </c>
      <c r="J916" s="25">
        <v>25</v>
      </c>
      <c r="K916" s="25">
        <v>230</v>
      </c>
      <c r="L916" s="25">
        <v>3</v>
      </c>
      <c r="M916" s="25" t="s">
        <v>35</v>
      </c>
      <c r="N916" s="25">
        <v>61.9</v>
      </c>
      <c r="O916" s="25">
        <v>245</v>
      </c>
      <c r="P916" s="25">
        <v>0</v>
      </c>
    </row>
    <row r="917" spans="1:16" x14ac:dyDescent="0.25">
      <c r="A917" s="26">
        <v>45654.433067129627</v>
      </c>
      <c r="B917" s="25" t="s">
        <v>41</v>
      </c>
      <c r="C917" s="25" t="s">
        <v>1865</v>
      </c>
      <c r="D917" s="25" t="s">
        <v>1866</v>
      </c>
      <c r="E917" s="25">
        <v>306</v>
      </c>
      <c r="F917" s="25" t="s">
        <v>19</v>
      </c>
      <c r="G917" s="25">
        <v>26.1</v>
      </c>
      <c r="H917" s="25">
        <v>74.8</v>
      </c>
      <c r="I917" s="25" t="s">
        <v>26</v>
      </c>
      <c r="J917" s="25">
        <v>37</v>
      </c>
      <c r="K917" s="25">
        <v>232</v>
      </c>
      <c r="L917" s="25">
        <v>7</v>
      </c>
      <c r="M917" s="25" t="s">
        <v>21</v>
      </c>
      <c r="N917" s="25">
        <v>77.099999999999994</v>
      </c>
      <c r="O917" s="25">
        <v>289</v>
      </c>
      <c r="P917" s="25">
        <v>1</v>
      </c>
    </row>
    <row r="918" spans="1:16" x14ac:dyDescent="0.25">
      <c r="A918" s="26">
        <v>45319.096435185187</v>
      </c>
      <c r="B918" s="25" t="s">
        <v>61</v>
      </c>
      <c r="C918" s="25" t="s">
        <v>1867</v>
      </c>
      <c r="D918" s="25" t="s">
        <v>1868</v>
      </c>
      <c r="E918" s="25">
        <v>107</v>
      </c>
      <c r="F918" s="25" t="s">
        <v>25</v>
      </c>
      <c r="G918" s="25">
        <v>28.6</v>
      </c>
      <c r="H918" s="25">
        <v>54.6</v>
      </c>
      <c r="I918" s="25" t="s">
        <v>20</v>
      </c>
      <c r="J918" s="25">
        <v>52</v>
      </c>
      <c r="K918" s="25">
        <v>180</v>
      </c>
      <c r="L918" s="25">
        <v>1</v>
      </c>
      <c r="M918" s="25" t="s">
        <v>35</v>
      </c>
      <c r="N918" s="25">
        <v>89.8</v>
      </c>
      <c r="O918" s="25">
        <v>194</v>
      </c>
      <c r="P918" s="25">
        <v>0</v>
      </c>
    </row>
    <row r="919" spans="1:16" ht="30" customHeight="1" x14ac:dyDescent="0.25">
      <c r="A919" s="26">
        <v>45576.22997685185</v>
      </c>
      <c r="B919" s="25" t="s">
        <v>48</v>
      </c>
      <c r="C919" s="25" t="s">
        <v>1869</v>
      </c>
      <c r="D919" s="25" t="s">
        <v>1870</v>
      </c>
      <c r="E919" s="25">
        <v>155</v>
      </c>
      <c r="F919" s="25" t="s">
        <v>34</v>
      </c>
      <c r="G919" s="25">
        <v>26.9</v>
      </c>
      <c r="H919" s="25">
        <v>75</v>
      </c>
      <c r="I919" s="25" t="s">
        <v>20</v>
      </c>
      <c r="J919" s="25">
        <v>25</v>
      </c>
      <c r="K919" s="25">
        <v>446</v>
      </c>
      <c r="L919" s="25">
        <v>5</v>
      </c>
      <c r="M919" s="25" t="s">
        <v>51</v>
      </c>
      <c r="N919" s="25">
        <v>96.8</v>
      </c>
      <c r="O919" s="25">
        <v>176</v>
      </c>
      <c r="P919" s="25">
        <v>0</v>
      </c>
    </row>
    <row r="920" spans="1:16" ht="30" customHeight="1" x14ac:dyDescent="0.25">
      <c r="A920" s="26">
        <v>45572.572824074072</v>
      </c>
      <c r="B920" s="25" t="s">
        <v>28</v>
      </c>
      <c r="C920" s="25" t="s">
        <v>1871</v>
      </c>
      <c r="D920" s="25" t="s">
        <v>1872</v>
      </c>
      <c r="E920" s="25">
        <v>414</v>
      </c>
      <c r="F920" s="25" t="s">
        <v>34</v>
      </c>
      <c r="G920" s="25">
        <v>26.8</v>
      </c>
      <c r="H920" s="25">
        <v>73.900000000000006</v>
      </c>
      <c r="I920" s="25" t="s">
        <v>26</v>
      </c>
      <c r="J920" s="25">
        <v>14</v>
      </c>
      <c r="K920" s="25">
        <v>130</v>
      </c>
      <c r="L920" s="25">
        <v>1</v>
      </c>
      <c r="M920" s="25" t="s">
        <v>51</v>
      </c>
      <c r="N920" s="25">
        <v>86.9</v>
      </c>
      <c r="O920" s="25">
        <v>267</v>
      </c>
      <c r="P920" s="25">
        <v>1</v>
      </c>
    </row>
    <row r="921" spans="1:16" x14ac:dyDescent="0.25">
      <c r="A921" s="26">
        <v>45450.442754629628</v>
      </c>
      <c r="B921" s="25" t="s">
        <v>64</v>
      </c>
      <c r="C921" s="25" t="s">
        <v>1873</v>
      </c>
      <c r="D921" s="25" t="s">
        <v>1874</v>
      </c>
      <c r="E921" s="25">
        <v>177</v>
      </c>
      <c r="F921" s="25" t="s">
        <v>19</v>
      </c>
      <c r="G921" s="25">
        <v>19.899999999999999</v>
      </c>
      <c r="H921" s="25">
        <v>58.4</v>
      </c>
      <c r="I921" s="25" t="s">
        <v>38</v>
      </c>
      <c r="J921" s="25">
        <v>57</v>
      </c>
      <c r="K921" s="25">
        <v>335</v>
      </c>
      <c r="L921" s="25">
        <v>5</v>
      </c>
      <c r="M921" s="25" t="s">
        <v>27</v>
      </c>
      <c r="N921" s="25">
        <v>98.6</v>
      </c>
      <c r="O921" s="25">
        <v>283</v>
      </c>
      <c r="P921" s="25">
        <v>1</v>
      </c>
    </row>
    <row r="922" spans="1:16" ht="30" customHeight="1" x14ac:dyDescent="0.25">
      <c r="A922" s="26">
        <v>45646.177141203705</v>
      </c>
      <c r="B922" s="25" t="s">
        <v>31</v>
      </c>
      <c r="C922" s="25" t="s">
        <v>1875</v>
      </c>
      <c r="D922" s="25" t="s">
        <v>1876</v>
      </c>
      <c r="E922" s="25">
        <v>118</v>
      </c>
      <c r="F922" s="25" t="s">
        <v>34</v>
      </c>
      <c r="G922" s="25">
        <v>26.8</v>
      </c>
      <c r="H922" s="25">
        <v>65.400000000000006</v>
      </c>
      <c r="I922" s="25" t="s">
        <v>20</v>
      </c>
      <c r="J922" s="25">
        <v>21</v>
      </c>
      <c r="K922" s="25">
        <v>475</v>
      </c>
      <c r="L922" s="25">
        <v>1</v>
      </c>
      <c r="M922" s="25" t="s">
        <v>51</v>
      </c>
      <c r="N922" s="25">
        <v>96.9</v>
      </c>
      <c r="O922" s="25">
        <v>165</v>
      </c>
      <c r="P922" s="25">
        <v>0</v>
      </c>
    </row>
    <row r="923" spans="1:16" x14ac:dyDescent="0.25">
      <c r="A923" s="26">
        <v>45333.878738425927</v>
      </c>
      <c r="B923" s="25" t="s">
        <v>95</v>
      </c>
      <c r="C923" s="25" t="s">
        <v>1877</v>
      </c>
      <c r="D923" s="25" t="s">
        <v>1878</v>
      </c>
      <c r="E923" s="25">
        <v>438</v>
      </c>
      <c r="F923" s="25" t="s">
        <v>25</v>
      </c>
      <c r="G923" s="25">
        <v>25</v>
      </c>
      <c r="H923" s="25">
        <v>65.2</v>
      </c>
      <c r="I923" s="25" t="s">
        <v>20</v>
      </c>
      <c r="J923" s="25">
        <v>49</v>
      </c>
      <c r="K923" s="25">
        <v>421</v>
      </c>
      <c r="L923" s="25">
        <v>3</v>
      </c>
      <c r="M923" s="25" t="s">
        <v>21</v>
      </c>
      <c r="N923" s="25">
        <v>82.4</v>
      </c>
      <c r="O923" s="25">
        <v>273</v>
      </c>
      <c r="P923" s="25">
        <v>0</v>
      </c>
    </row>
    <row r="924" spans="1:16" x14ac:dyDescent="0.25">
      <c r="A924" s="26">
        <v>45344.838738425926</v>
      </c>
      <c r="B924" s="25" t="s">
        <v>95</v>
      </c>
      <c r="C924" s="25" t="s">
        <v>1879</v>
      </c>
      <c r="D924" s="25" t="s">
        <v>1880</v>
      </c>
      <c r="E924" s="25">
        <v>154</v>
      </c>
      <c r="F924" s="25" t="s">
        <v>19</v>
      </c>
      <c r="G924" s="25">
        <v>26.8</v>
      </c>
      <c r="H924" s="25">
        <v>56</v>
      </c>
      <c r="I924" s="25" t="s">
        <v>38</v>
      </c>
      <c r="J924" s="25">
        <v>13</v>
      </c>
      <c r="K924" s="25">
        <v>413</v>
      </c>
      <c r="L924" s="25">
        <v>8</v>
      </c>
      <c r="M924" s="25" t="s">
        <v>35</v>
      </c>
      <c r="N924" s="25">
        <v>73.8</v>
      </c>
      <c r="O924" s="25">
        <v>220</v>
      </c>
      <c r="P924" s="25">
        <v>1</v>
      </c>
    </row>
    <row r="925" spans="1:16" x14ac:dyDescent="0.25">
      <c r="A925" s="26">
        <v>45437.348749999997</v>
      </c>
      <c r="B925" s="25" t="s">
        <v>56</v>
      </c>
      <c r="C925" s="25" t="s">
        <v>1881</v>
      </c>
      <c r="D925" s="25" t="s">
        <v>1882</v>
      </c>
      <c r="E925" s="25">
        <v>320</v>
      </c>
      <c r="F925" s="25" t="s">
        <v>25</v>
      </c>
      <c r="G925" s="25">
        <v>24.3</v>
      </c>
      <c r="H925" s="25">
        <v>77</v>
      </c>
      <c r="I925" s="25" t="s">
        <v>38</v>
      </c>
      <c r="J925" s="25">
        <v>56</v>
      </c>
      <c r="K925" s="25">
        <v>410</v>
      </c>
      <c r="L925" s="25">
        <v>3</v>
      </c>
      <c r="M925" s="25" t="s">
        <v>35</v>
      </c>
      <c r="N925" s="25">
        <v>73.400000000000006</v>
      </c>
      <c r="O925" s="25">
        <v>141</v>
      </c>
      <c r="P925" s="25">
        <v>0</v>
      </c>
    </row>
    <row r="926" spans="1:16" x14ac:dyDescent="0.25">
      <c r="A926" s="26">
        <v>45476.514594907407</v>
      </c>
      <c r="B926" s="25" t="s">
        <v>95</v>
      </c>
      <c r="C926" s="25" t="s">
        <v>1883</v>
      </c>
      <c r="D926" s="25" t="s">
        <v>1884</v>
      </c>
      <c r="E926" s="25">
        <v>402</v>
      </c>
      <c r="F926" s="25" t="s">
        <v>19</v>
      </c>
      <c r="G926" s="25">
        <v>20.3</v>
      </c>
      <c r="H926" s="25">
        <v>56.6</v>
      </c>
      <c r="I926" s="25" t="s">
        <v>20</v>
      </c>
      <c r="J926" s="25">
        <v>52</v>
      </c>
      <c r="K926" s="25">
        <v>149</v>
      </c>
      <c r="L926" s="25">
        <v>4</v>
      </c>
      <c r="M926" s="25" t="s">
        <v>27</v>
      </c>
      <c r="N926" s="25">
        <v>82.6</v>
      </c>
      <c r="O926" s="25">
        <v>158</v>
      </c>
      <c r="P926" s="25">
        <v>1</v>
      </c>
    </row>
    <row r="927" spans="1:16" x14ac:dyDescent="0.25">
      <c r="A927" s="26">
        <v>45319.975590277776</v>
      </c>
      <c r="B927" s="25" t="s">
        <v>16</v>
      </c>
      <c r="C927" s="25" t="s">
        <v>1885</v>
      </c>
      <c r="D927" s="25" t="s">
        <v>1886</v>
      </c>
      <c r="E927" s="25">
        <v>443</v>
      </c>
      <c r="F927" s="25" t="s">
        <v>34</v>
      </c>
      <c r="G927" s="25">
        <v>18.899999999999999</v>
      </c>
      <c r="H927" s="25">
        <v>68.8</v>
      </c>
      <c r="I927" s="25" t="s">
        <v>38</v>
      </c>
      <c r="J927" s="25">
        <v>36</v>
      </c>
      <c r="K927" s="25">
        <v>159</v>
      </c>
      <c r="L927" s="25">
        <v>2</v>
      </c>
      <c r="M927" s="25" t="s">
        <v>27</v>
      </c>
      <c r="N927" s="25">
        <v>86.3</v>
      </c>
      <c r="O927" s="25">
        <v>171</v>
      </c>
      <c r="P927" s="25">
        <v>0</v>
      </c>
    </row>
    <row r="928" spans="1:16" x14ac:dyDescent="0.25">
      <c r="A928" s="26">
        <v>45453.375092592592</v>
      </c>
      <c r="B928" s="25" t="s">
        <v>16</v>
      </c>
      <c r="C928" s="25" t="s">
        <v>1887</v>
      </c>
      <c r="D928" s="25" t="s">
        <v>1888</v>
      </c>
      <c r="E928" s="25">
        <v>246</v>
      </c>
      <c r="F928" s="25" t="s">
        <v>25</v>
      </c>
      <c r="G928" s="25">
        <v>22</v>
      </c>
      <c r="H928" s="25">
        <v>58.1</v>
      </c>
      <c r="I928" s="25" t="s">
        <v>26</v>
      </c>
      <c r="J928" s="25">
        <v>54</v>
      </c>
      <c r="K928" s="25">
        <v>128</v>
      </c>
      <c r="L928" s="25">
        <v>7</v>
      </c>
      <c r="M928" s="25" t="s">
        <v>35</v>
      </c>
      <c r="N928" s="25">
        <v>61</v>
      </c>
      <c r="O928" s="25">
        <v>265</v>
      </c>
      <c r="P928" s="25">
        <v>1</v>
      </c>
    </row>
    <row r="929" spans="1:16" x14ac:dyDescent="0.25">
      <c r="A929" s="26">
        <v>45359.967465277776</v>
      </c>
      <c r="B929" s="25" t="s">
        <v>31</v>
      </c>
      <c r="C929" s="25" t="s">
        <v>1889</v>
      </c>
      <c r="D929" s="25" t="s">
        <v>1890</v>
      </c>
      <c r="E929" s="25">
        <v>146</v>
      </c>
      <c r="F929" s="25" t="s">
        <v>25</v>
      </c>
      <c r="G929" s="25">
        <v>20.7</v>
      </c>
      <c r="H929" s="25">
        <v>50.6</v>
      </c>
      <c r="I929" s="25" t="s">
        <v>38</v>
      </c>
      <c r="J929" s="25">
        <v>28</v>
      </c>
      <c r="K929" s="25">
        <v>201</v>
      </c>
      <c r="L929" s="25">
        <v>10</v>
      </c>
      <c r="M929" s="25" t="s">
        <v>27</v>
      </c>
      <c r="N929" s="25">
        <v>75.900000000000006</v>
      </c>
      <c r="O929" s="25">
        <v>178</v>
      </c>
      <c r="P929" s="25">
        <v>0</v>
      </c>
    </row>
    <row r="930" spans="1:16" ht="30" customHeight="1" x14ac:dyDescent="0.25">
      <c r="A930" s="26">
        <v>45500.425798611112</v>
      </c>
      <c r="B930" s="25" t="s">
        <v>95</v>
      </c>
      <c r="C930" s="25" t="s">
        <v>1891</v>
      </c>
      <c r="D930" s="25" t="s">
        <v>1892</v>
      </c>
      <c r="E930" s="25">
        <v>108</v>
      </c>
      <c r="F930" s="25" t="s">
        <v>34</v>
      </c>
      <c r="G930" s="25">
        <v>23</v>
      </c>
      <c r="H930" s="25">
        <v>73.400000000000006</v>
      </c>
      <c r="I930" s="25" t="s">
        <v>38</v>
      </c>
      <c r="J930" s="25">
        <v>13</v>
      </c>
      <c r="K930" s="25">
        <v>324</v>
      </c>
      <c r="L930" s="25">
        <v>2</v>
      </c>
      <c r="M930" s="25" t="s">
        <v>51</v>
      </c>
      <c r="N930" s="25">
        <v>77.900000000000006</v>
      </c>
      <c r="O930" s="25">
        <v>233</v>
      </c>
      <c r="P930" s="25">
        <v>0</v>
      </c>
    </row>
    <row r="931" spans="1:16" x14ac:dyDescent="0.25">
      <c r="A931" s="26">
        <v>45545.820625</v>
      </c>
      <c r="B931" s="25" t="s">
        <v>95</v>
      </c>
      <c r="C931" s="25" t="s">
        <v>1893</v>
      </c>
      <c r="D931" s="25" t="s">
        <v>1894</v>
      </c>
      <c r="E931" s="25">
        <v>152</v>
      </c>
      <c r="F931" s="25" t="s">
        <v>34</v>
      </c>
      <c r="G931" s="25">
        <v>22.8</v>
      </c>
      <c r="H931" s="25">
        <v>65.2</v>
      </c>
      <c r="I931" s="25" t="s">
        <v>26</v>
      </c>
      <c r="J931" s="25">
        <v>33</v>
      </c>
      <c r="K931" s="25">
        <v>386</v>
      </c>
      <c r="L931" s="25">
        <v>4</v>
      </c>
      <c r="M931" s="25" t="s">
        <v>27</v>
      </c>
      <c r="N931" s="25">
        <v>63.3</v>
      </c>
      <c r="O931" s="25">
        <v>227</v>
      </c>
      <c r="P931" s="25">
        <v>1</v>
      </c>
    </row>
    <row r="932" spans="1:16" x14ac:dyDescent="0.25">
      <c r="A932" s="26">
        <v>45409.128101851849</v>
      </c>
      <c r="B932" s="25" t="s">
        <v>28</v>
      </c>
      <c r="C932" s="25" t="s">
        <v>1895</v>
      </c>
      <c r="D932" s="25" t="s">
        <v>1896</v>
      </c>
      <c r="E932" s="25">
        <v>361</v>
      </c>
      <c r="F932" s="25" t="s">
        <v>19</v>
      </c>
      <c r="G932" s="25">
        <v>29.7</v>
      </c>
      <c r="H932" s="25">
        <v>62.2</v>
      </c>
      <c r="I932" s="25" t="s">
        <v>20</v>
      </c>
      <c r="J932" s="25">
        <v>35</v>
      </c>
      <c r="K932" s="25">
        <v>131</v>
      </c>
      <c r="L932" s="25">
        <v>9</v>
      </c>
      <c r="M932" s="25" t="s">
        <v>21</v>
      </c>
      <c r="N932" s="25">
        <v>61.8</v>
      </c>
      <c r="O932" s="25">
        <v>253</v>
      </c>
      <c r="P932" s="25">
        <v>1</v>
      </c>
    </row>
    <row r="933" spans="1:16" x14ac:dyDescent="0.25">
      <c r="A933" s="26">
        <v>45404.949837962966</v>
      </c>
      <c r="B933" s="25" t="s">
        <v>48</v>
      </c>
      <c r="C933" s="25" t="s">
        <v>1897</v>
      </c>
      <c r="D933" s="25" t="s">
        <v>1898</v>
      </c>
      <c r="E933" s="25">
        <v>495</v>
      </c>
      <c r="F933" s="25" t="s">
        <v>25</v>
      </c>
      <c r="G933" s="25">
        <v>23.8</v>
      </c>
      <c r="H933" s="25">
        <v>69.8</v>
      </c>
      <c r="I933" s="25" t="s">
        <v>26</v>
      </c>
      <c r="J933" s="25">
        <v>22</v>
      </c>
      <c r="K933" s="25">
        <v>487</v>
      </c>
      <c r="L933" s="25">
        <v>9</v>
      </c>
      <c r="M933" s="25" t="s">
        <v>27</v>
      </c>
      <c r="N933" s="25">
        <v>86.1</v>
      </c>
      <c r="O933" s="25">
        <v>108</v>
      </c>
      <c r="P933" s="25">
        <v>1</v>
      </c>
    </row>
    <row r="934" spans="1:16" x14ac:dyDescent="0.25">
      <c r="A934" s="26">
        <v>45300.146458333336</v>
      </c>
      <c r="B934" s="25" t="s">
        <v>64</v>
      </c>
      <c r="C934" s="25" t="s">
        <v>1899</v>
      </c>
      <c r="D934" s="25" t="s">
        <v>1900</v>
      </c>
      <c r="E934" s="25">
        <v>187</v>
      </c>
      <c r="F934" s="25" t="s">
        <v>25</v>
      </c>
      <c r="G934" s="25">
        <v>24.5</v>
      </c>
      <c r="H934" s="25">
        <v>73.099999999999994</v>
      </c>
      <c r="I934" s="25" t="s">
        <v>38</v>
      </c>
      <c r="J934" s="25">
        <v>23</v>
      </c>
      <c r="K934" s="25">
        <v>382</v>
      </c>
      <c r="L934" s="25">
        <v>7</v>
      </c>
      <c r="M934" s="25" t="s">
        <v>27</v>
      </c>
      <c r="N934" s="25">
        <v>67.400000000000006</v>
      </c>
      <c r="O934" s="25">
        <v>149</v>
      </c>
      <c r="P934" s="25">
        <v>0</v>
      </c>
    </row>
    <row r="935" spans="1:16" x14ac:dyDescent="0.25">
      <c r="A935" s="26">
        <v>45635.39947916667</v>
      </c>
      <c r="B935" s="25" t="s">
        <v>61</v>
      </c>
      <c r="C935" s="25" t="s">
        <v>1901</v>
      </c>
      <c r="D935" s="25" t="s">
        <v>1902</v>
      </c>
      <c r="E935" s="25">
        <v>202</v>
      </c>
      <c r="F935" s="25" t="s">
        <v>19</v>
      </c>
      <c r="G935" s="25">
        <v>26.5</v>
      </c>
      <c r="H935" s="25">
        <v>77.8</v>
      </c>
      <c r="I935" s="25" t="s">
        <v>38</v>
      </c>
      <c r="J935" s="25">
        <v>31</v>
      </c>
      <c r="K935" s="25">
        <v>298</v>
      </c>
      <c r="L935" s="25">
        <v>8</v>
      </c>
      <c r="M935" s="25" t="s">
        <v>21</v>
      </c>
      <c r="N935" s="25">
        <v>60.6</v>
      </c>
      <c r="O935" s="25">
        <v>102</v>
      </c>
      <c r="P935" s="25">
        <v>1</v>
      </c>
    </row>
    <row r="936" spans="1:16" x14ac:dyDescent="0.25">
      <c r="A936" s="26">
        <v>45358.147245370368</v>
      </c>
      <c r="B936" s="25" t="s">
        <v>41</v>
      </c>
      <c r="C936" s="25" t="s">
        <v>1903</v>
      </c>
      <c r="D936" s="25" t="s">
        <v>1904</v>
      </c>
      <c r="E936" s="25">
        <v>384</v>
      </c>
      <c r="F936" s="25" t="s">
        <v>34</v>
      </c>
      <c r="G936" s="25">
        <v>24.5</v>
      </c>
      <c r="H936" s="25">
        <v>62.2</v>
      </c>
      <c r="I936" s="25" t="s">
        <v>38</v>
      </c>
      <c r="J936" s="25">
        <v>45</v>
      </c>
      <c r="K936" s="25">
        <v>418</v>
      </c>
      <c r="L936" s="25">
        <v>7</v>
      </c>
      <c r="M936" s="25" t="s">
        <v>21</v>
      </c>
      <c r="N936" s="25">
        <v>75.8</v>
      </c>
      <c r="O936" s="25">
        <v>298</v>
      </c>
      <c r="P936" s="25">
        <v>0</v>
      </c>
    </row>
    <row r="937" spans="1:16" x14ac:dyDescent="0.25">
      <c r="A937" s="26">
        <v>45508.132650462961</v>
      </c>
      <c r="B937" s="25" t="s">
        <v>56</v>
      </c>
      <c r="C937" s="25" t="s">
        <v>1905</v>
      </c>
      <c r="D937" s="25" t="s">
        <v>1906</v>
      </c>
      <c r="E937" s="25">
        <v>486</v>
      </c>
      <c r="F937" s="25" t="s">
        <v>25</v>
      </c>
      <c r="G937" s="25">
        <v>25.8</v>
      </c>
      <c r="H937" s="25">
        <v>64.900000000000006</v>
      </c>
      <c r="I937" s="25" t="s">
        <v>38</v>
      </c>
      <c r="J937" s="25">
        <v>31</v>
      </c>
      <c r="K937" s="25">
        <v>136</v>
      </c>
      <c r="L937" s="25">
        <v>9</v>
      </c>
      <c r="M937" s="25" t="s">
        <v>35</v>
      </c>
      <c r="N937" s="25">
        <v>85.4</v>
      </c>
      <c r="O937" s="25">
        <v>178</v>
      </c>
      <c r="P937" s="25">
        <v>0</v>
      </c>
    </row>
    <row r="938" spans="1:16" x14ac:dyDescent="0.25">
      <c r="A938" s="26">
        <v>45636.776990740742</v>
      </c>
      <c r="B938" s="25" t="s">
        <v>56</v>
      </c>
      <c r="C938" s="25" t="s">
        <v>1907</v>
      </c>
      <c r="D938" s="25" t="s">
        <v>1908</v>
      </c>
      <c r="E938" s="25">
        <v>488</v>
      </c>
      <c r="F938" s="25" t="s">
        <v>25</v>
      </c>
      <c r="G938" s="25">
        <v>25.4</v>
      </c>
      <c r="H938" s="25">
        <v>64.3</v>
      </c>
      <c r="I938" s="25" t="s">
        <v>38</v>
      </c>
      <c r="J938" s="25">
        <v>14</v>
      </c>
      <c r="K938" s="25">
        <v>254</v>
      </c>
      <c r="L938" s="25">
        <v>1</v>
      </c>
      <c r="M938" s="25" t="s">
        <v>27</v>
      </c>
      <c r="N938" s="25">
        <v>84</v>
      </c>
      <c r="O938" s="25">
        <v>250</v>
      </c>
      <c r="P938" s="25">
        <v>0</v>
      </c>
    </row>
    <row r="939" spans="1:16" x14ac:dyDescent="0.25">
      <c r="A939" s="26">
        <v>45613.524675925924</v>
      </c>
      <c r="B939" s="25" t="s">
        <v>56</v>
      </c>
      <c r="C939" s="25" t="s">
        <v>1909</v>
      </c>
      <c r="D939" s="25" t="s">
        <v>1910</v>
      </c>
      <c r="E939" s="25">
        <v>244</v>
      </c>
      <c r="F939" s="25" t="s">
        <v>19</v>
      </c>
      <c r="G939" s="25">
        <v>29.1</v>
      </c>
      <c r="H939" s="25">
        <v>67.2</v>
      </c>
      <c r="I939" s="25" t="s">
        <v>26</v>
      </c>
      <c r="J939" s="25">
        <v>18</v>
      </c>
      <c r="K939" s="25">
        <v>118</v>
      </c>
      <c r="L939" s="25">
        <v>5</v>
      </c>
      <c r="M939" s="25" t="s">
        <v>35</v>
      </c>
      <c r="N939" s="25">
        <v>70.5</v>
      </c>
      <c r="O939" s="25">
        <v>290</v>
      </c>
      <c r="P939" s="25">
        <v>1</v>
      </c>
    </row>
    <row r="940" spans="1:16" ht="30" customHeight="1" x14ac:dyDescent="0.25">
      <c r="A940" s="26">
        <v>45599.011655092596</v>
      </c>
      <c r="B940" s="25" t="s">
        <v>48</v>
      </c>
      <c r="C940" s="25" t="s">
        <v>1911</v>
      </c>
      <c r="D940" s="25" t="s">
        <v>1912</v>
      </c>
      <c r="E940" s="25">
        <v>193</v>
      </c>
      <c r="F940" s="25" t="s">
        <v>25</v>
      </c>
      <c r="G940" s="25">
        <v>25.7</v>
      </c>
      <c r="H940" s="25">
        <v>64</v>
      </c>
      <c r="I940" s="25" t="s">
        <v>26</v>
      </c>
      <c r="J940" s="25">
        <v>33</v>
      </c>
      <c r="K940" s="25">
        <v>335</v>
      </c>
      <c r="L940" s="25">
        <v>8</v>
      </c>
      <c r="M940" s="25" t="s">
        <v>51</v>
      </c>
      <c r="N940" s="25">
        <v>90</v>
      </c>
      <c r="O940" s="25">
        <v>240</v>
      </c>
      <c r="P940" s="25">
        <v>1</v>
      </c>
    </row>
    <row r="941" spans="1:16" ht="30" customHeight="1" x14ac:dyDescent="0.25">
      <c r="A941" s="26">
        <v>45585.088738425926</v>
      </c>
      <c r="B941" s="25" t="s">
        <v>16</v>
      </c>
      <c r="C941" s="25" t="s">
        <v>1913</v>
      </c>
      <c r="D941" s="25" t="s">
        <v>1914</v>
      </c>
      <c r="E941" s="25">
        <v>268</v>
      </c>
      <c r="F941" s="25" t="s">
        <v>34</v>
      </c>
      <c r="G941" s="25">
        <v>18.7</v>
      </c>
      <c r="H941" s="25">
        <v>69.5</v>
      </c>
      <c r="I941" s="25" t="s">
        <v>26</v>
      </c>
      <c r="J941" s="25">
        <v>39</v>
      </c>
      <c r="K941" s="25">
        <v>101</v>
      </c>
      <c r="L941" s="25">
        <v>9</v>
      </c>
      <c r="M941" s="25" t="s">
        <v>51</v>
      </c>
      <c r="N941" s="25">
        <v>77.099999999999994</v>
      </c>
      <c r="O941" s="25">
        <v>205</v>
      </c>
      <c r="P941" s="25">
        <v>1</v>
      </c>
    </row>
    <row r="942" spans="1:16" x14ac:dyDescent="0.25">
      <c r="A942" s="26">
        <v>45300.909363425926</v>
      </c>
      <c r="B942" s="25" t="s">
        <v>48</v>
      </c>
      <c r="C942" s="25" t="s">
        <v>1915</v>
      </c>
      <c r="D942" s="25" t="s">
        <v>1916</v>
      </c>
      <c r="E942" s="25">
        <v>375</v>
      </c>
      <c r="F942" s="25" t="s">
        <v>19</v>
      </c>
      <c r="G942" s="25">
        <v>19.2</v>
      </c>
      <c r="H942" s="25">
        <v>72.900000000000006</v>
      </c>
      <c r="I942" s="25" t="s">
        <v>20</v>
      </c>
      <c r="J942" s="25">
        <v>58</v>
      </c>
      <c r="K942" s="25">
        <v>119</v>
      </c>
      <c r="L942" s="25">
        <v>7</v>
      </c>
      <c r="M942" s="25" t="s">
        <v>21</v>
      </c>
      <c r="N942" s="25">
        <v>96.9</v>
      </c>
      <c r="O942" s="25">
        <v>213</v>
      </c>
      <c r="P942" s="25">
        <v>1</v>
      </c>
    </row>
    <row r="943" spans="1:16" ht="30" customHeight="1" x14ac:dyDescent="0.25">
      <c r="A943" s="26">
        <v>45495.490208333336</v>
      </c>
      <c r="B943" s="25" t="s">
        <v>31</v>
      </c>
      <c r="C943" s="25" t="s">
        <v>1917</v>
      </c>
      <c r="D943" s="25" t="s">
        <v>1918</v>
      </c>
      <c r="E943" s="25">
        <v>465</v>
      </c>
      <c r="F943" s="25" t="s">
        <v>25</v>
      </c>
      <c r="G943" s="25">
        <v>28</v>
      </c>
      <c r="H943" s="25">
        <v>59.6</v>
      </c>
      <c r="I943" s="25" t="s">
        <v>38</v>
      </c>
      <c r="J943" s="25">
        <v>51</v>
      </c>
      <c r="K943" s="25">
        <v>305</v>
      </c>
      <c r="L943" s="25">
        <v>10</v>
      </c>
      <c r="M943" s="25" t="s">
        <v>51</v>
      </c>
      <c r="N943" s="25">
        <v>96.9</v>
      </c>
      <c r="O943" s="25">
        <v>153</v>
      </c>
      <c r="P943" s="25">
        <v>0</v>
      </c>
    </row>
    <row r="944" spans="1:16" x14ac:dyDescent="0.25">
      <c r="A944" s="26">
        <v>45534.502986111111</v>
      </c>
      <c r="B944" s="25" t="s">
        <v>28</v>
      </c>
      <c r="C944" s="25" t="s">
        <v>1919</v>
      </c>
      <c r="D944" s="25" t="s">
        <v>1920</v>
      </c>
      <c r="E944" s="25">
        <v>258</v>
      </c>
      <c r="F944" s="25" t="s">
        <v>19</v>
      </c>
      <c r="G944" s="25">
        <v>19.3</v>
      </c>
      <c r="H944" s="25">
        <v>74.2</v>
      </c>
      <c r="I944" s="25" t="s">
        <v>20</v>
      </c>
      <c r="J944" s="25">
        <v>52</v>
      </c>
      <c r="K944" s="25">
        <v>407</v>
      </c>
      <c r="L944" s="25">
        <v>8</v>
      </c>
      <c r="M944" s="25" t="s">
        <v>27</v>
      </c>
      <c r="N944" s="25">
        <v>84.7</v>
      </c>
      <c r="O944" s="25">
        <v>245</v>
      </c>
      <c r="P944" s="25">
        <v>1</v>
      </c>
    </row>
    <row r="945" spans="1:16" x14ac:dyDescent="0.25">
      <c r="A945" s="26">
        <v>45616.781643518516</v>
      </c>
      <c r="B945" s="25" t="s">
        <v>95</v>
      </c>
      <c r="C945" s="25" t="s">
        <v>1921</v>
      </c>
      <c r="D945" s="25" t="s">
        <v>1922</v>
      </c>
      <c r="E945" s="25">
        <v>254</v>
      </c>
      <c r="F945" s="25" t="s">
        <v>34</v>
      </c>
      <c r="G945" s="25">
        <v>27.3</v>
      </c>
      <c r="H945" s="25">
        <v>71.7</v>
      </c>
      <c r="I945" s="25" t="s">
        <v>20</v>
      </c>
      <c r="J945" s="25">
        <v>38</v>
      </c>
      <c r="K945" s="25">
        <v>279</v>
      </c>
      <c r="L945" s="25">
        <v>10</v>
      </c>
      <c r="M945" s="25" t="s">
        <v>35</v>
      </c>
      <c r="N945" s="25">
        <v>91.5</v>
      </c>
      <c r="O945" s="25">
        <v>111</v>
      </c>
      <c r="P945" s="25">
        <v>0</v>
      </c>
    </row>
    <row r="946" spans="1:16" ht="30" customHeight="1" x14ac:dyDescent="0.25">
      <c r="A946" s="26">
        <v>45620.051157407404</v>
      </c>
      <c r="B946" s="25" t="s">
        <v>28</v>
      </c>
      <c r="C946" s="25" t="s">
        <v>1923</v>
      </c>
      <c r="D946" s="25" t="s">
        <v>1924</v>
      </c>
      <c r="E946" s="25">
        <v>456</v>
      </c>
      <c r="F946" s="25" t="s">
        <v>25</v>
      </c>
      <c r="G946" s="25">
        <v>20.9</v>
      </c>
      <c r="H946" s="25">
        <v>71.2</v>
      </c>
      <c r="I946" s="25" t="s">
        <v>38</v>
      </c>
      <c r="J946" s="25">
        <v>46</v>
      </c>
      <c r="K946" s="25">
        <v>414</v>
      </c>
      <c r="L946" s="25">
        <v>10</v>
      </c>
      <c r="M946" s="25" t="s">
        <v>51</v>
      </c>
      <c r="N946" s="25">
        <v>90.6</v>
      </c>
      <c r="O946" s="25">
        <v>280</v>
      </c>
      <c r="P946" s="25">
        <v>0</v>
      </c>
    </row>
    <row r="947" spans="1:16" x14ac:dyDescent="0.25">
      <c r="A947" s="26">
        <v>45317.72084490741</v>
      </c>
      <c r="B947" s="25" t="s">
        <v>16</v>
      </c>
      <c r="C947" s="25" t="s">
        <v>1925</v>
      </c>
      <c r="D947" s="25" t="s">
        <v>1926</v>
      </c>
      <c r="E947" s="25">
        <v>158</v>
      </c>
      <c r="F947" s="25" t="s">
        <v>25</v>
      </c>
      <c r="G947" s="25">
        <v>29.7</v>
      </c>
      <c r="H947" s="25">
        <v>78.2</v>
      </c>
      <c r="I947" s="25" t="s">
        <v>26</v>
      </c>
      <c r="J947" s="25">
        <v>43</v>
      </c>
      <c r="K947" s="25">
        <v>334</v>
      </c>
      <c r="L947" s="25">
        <v>5</v>
      </c>
      <c r="M947" s="25" t="s">
        <v>27</v>
      </c>
      <c r="N947" s="25">
        <v>72.7</v>
      </c>
      <c r="O947" s="25">
        <v>181</v>
      </c>
      <c r="P947" s="25">
        <v>1</v>
      </c>
    </row>
    <row r="948" spans="1:16" x14ac:dyDescent="0.25">
      <c r="A948" s="26">
        <v>45496.999120370368</v>
      </c>
      <c r="B948" s="25" t="s">
        <v>64</v>
      </c>
      <c r="C948" s="25" t="s">
        <v>1927</v>
      </c>
      <c r="D948" s="25" t="s">
        <v>1928</v>
      </c>
      <c r="E948" s="25">
        <v>158</v>
      </c>
      <c r="F948" s="25" t="s">
        <v>19</v>
      </c>
      <c r="G948" s="25">
        <v>25.9</v>
      </c>
      <c r="H948" s="25">
        <v>51.3</v>
      </c>
      <c r="I948" s="25" t="s">
        <v>20</v>
      </c>
      <c r="J948" s="25">
        <v>46</v>
      </c>
      <c r="K948" s="25">
        <v>308</v>
      </c>
      <c r="L948" s="25">
        <v>7</v>
      </c>
      <c r="M948" s="25" t="s">
        <v>21</v>
      </c>
      <c r="N948" s="25">
        <v>64.599999999999994</v>
      </c>
      <c r="O948" s="25">
        <v>115</v>
      </c>
      <c r="P948" s="25">
        <v>1</v>
      </c>
    </row>
    <row r="949" spans="1:16" ht="30" customHeight="1" x14ac:dyDescent="0.25">
      <c r="A949" s="26">
        <v>45403.307766203703</v>
      </c>
      <c r="B949" s="25" t="s">
        <v>28</v>
      </c>
      <c r="C949" s="25" t="s">
        <v>1929</v>
      </c>
      <c r="D949" s="25" t="s">
        <v>1930</v>
      </c>
      <c r="E949" s="25">
        <v>260</v>
      </c>
      <c r="F949" s="25" t="s">
        <v>34</v>
      </c>
      <c r="G949" s="25">
        <v>23.2</v>
      </c>
      <c r="H949" s="25">
        <v>56.3</v>
      </c>
      <c r="I949" s="25" t="s">
        <v>38</v>
      </c>
      <c r="J949" s="25">
        <v>57</v>
      </c>
      <c r="K949" s="25">
        <v>329</v>
      </c>
      <c r="L949" s="25">
        <v>7</v>
      </c>
      <c r="M949" s="25" t="s">
        <v>51</v>
      </c>
      <c r="N949" s="25">
        <v>77.900000000000006</v>
      </c>
      <c r="O949" s="25">
        <v>258</v>
      </c>
      <c r="P949" s="25">
        <v>0</v>
      </c>
    </row>
    <row r="950" spans="1:16" ht="30" customHeight="1" x14ac:dyDescent="0.25">
      <c r="A950" s="26">
        <v>45441.820625</v>
      </c>
      <c r="B950" s="25" t="s">
        <v>48</v>
      </c>
      <c r="C950" s="25" t="s">
        <v>1931</v>
      </c>
      <c r="D950" s="25" t="s">
        <v>1932</v>
      </c>
      <c r="E950" s="25">
        <v>249</v>
      </c>
      <c r="F950" s="25" t="s">
        <v>25</v>
      </c>
      <c r="G950" s="25">
        <v>21.4</v>
      </c>
      <c r="H950" s="25">
        <v>56.6</v>
      </c>
      <c r="I950" s="25" t="s">
        <v>20</v>
      </c>
      <c r="J950" s="25">
        <v>49</v>
      </c>
      <c r="K950" s="25">
        <v>398</v>
      </c>
      <c r="L950" s="25">
        <v>10</v>
      </c>
      <c r="M950" s="25" t="s">
        <v>51</v>
      </c>
      <c r="N950" s="25">
        <v>67.3</v>
      </c>
      <c r="O950" s="25">
        <v>279</v>
      </c>
      <c r="P950" s="25">
        <v>0</v>
      </c>
    </row>
    <row r="951" spans="1:16" x14ac:dyDescent="0.25">
      <c r="A951" s="26">
        <v>45337.534780092596</v>
      </c>
      <c r="B951" s="25" t="s">
        <v>22</v>
      </c>
      <c r="C951" s="25" t="s">
        <v>1933</v>
      </c>
      <c r="D951" s="25" t="s">
        <v>1934</v>
      </c>
      <c r="E951" s="25">
        <v>224</v>
      </c>
      <c r="F951" s="25" t="s">
        <v>19</v>
      </c>
      <c r="G951" s="25">
        <v>28.3</v>
      </c>
      <c r="H951" s="25">
        <v>69</v>
      </c>
      <c r="I951" s="25" t="s">
        <v>38</v>
      </c>
      <c r="J951" s="25">
        <v>20</v>
      </c>
      <c r="K951" s="25">
        <v>445</v>
      </c>
      <c r="L951" s="25">
        <v>6</v>
      </c>
      <c r="M951" s="25" t="s">
        <v>21</v>
      </c>
      <c r="N951" s="25">
        <v>60.1</v>
      </c>
      <c r="O951" s="25">
        <v>259</v>
      </c>
      <c r="P951" s="25">
        <v>1</v>
      </c>
    </row>
    <row r="952" spans="1:16" x14ac:dyDescent="0.25">
      <c r="A952" s="26">
        <v>45403.930578703701</v>
      </c>
      <c r="B952" s="25" t="s">
        <v>56</v>
      </c>
      <c r="C952" s="25" t="s">
        <v>1935</v>
      </c>
      <c r="D952" s="25" t="s">
        <v>1936</v>
      </c>
      <c r="E952" s="25">
        <v>162</v>
      </c>
      <c r="F952" s="25" t="s">
        <v>34</v>
      </c>
      <c r="G952" s="25">
        <v>29.4</v>
      </c>
      <c r="H952" s="25">
        <v>65.900000000000006</v>
      </c>
      <c r="I952" s="25" t="s">
        <v>20</v>
      </c>
      <c r="J952" s="25">
        <v>40</v>
      </c>
      <c r="K952" s="25">
        <v>262</v>
      </c>
      <c r="L952" s="25">
        <v>2</v>
      </c>
      <c r="M952" s="25" t="s">
        <v>35</v>
      </c>
      <c r="N952" s="25">
        <v>61.5</v>
      </c>
      <c r="O952" s="25">
        <v>298</v>
      </c>
      <c r="P952" s="25">
        <v>0</v>
      </c>
    </row>
    <row r="953" spans="1:16" ht="30" customHeight="1" x14ac:dyDescent="0.25">
      <c r="A953" s="26">
        <v>45542.082766203705</v>
      </c>
      <c r="B953" s="25" t="s">
        <v>41</v>
      </c>
      <c r="C953" s="25" t="s">
        <v>1937</v>
      </c>
      <c r="D953" s="25" t="s">
        <v>1938</v>
      </c>
      <c r="E953" s="25">
        <v>160</v>
      </c>
      <c r="F953" s="25" t="s">
        <v>34</v>
      </c>
      <c r="G953" s="25">
        <v>20.7</v>
      </c>
      <c r="H953" s="25">
        <v>63.1</v>
      </c>
      <c r="I953" s="25" t="s">
        <v>38</v>
      </c>
      <c r="J953" s="25">
        <v>52</v>
      </c>
      <c r="K953" s="25">
        <v>488</v>
      </c>
      <c r="L953" s="25">
        <v>3</v>
      </c>
      <c r="M953" s="25" t="s">
        <v>51</v>
      </c>
      <c r="N953" s="25">
        <v>79.599999999999994</v>
      </c>
      <c r="O953" s="25">
        <v>246</v>
      </c>
      <c r="P953" s="25">
        <v>0</v>
      </c>
    </row>
    <row r="954" spans="1:16" x14ac:dyDescent="0.25">
      <c r="A954" s="26">
        <v>45408.308807870373</v>
      </c>
      <c r="B954" s="25" t="s">
        <v>56</v>
      </c>
      <c r="C954" s="25" t="s">
        <v>1939</v>
      </c>
      <c r="D954" s="25" t="s">
        <v>1940</v>
      </c>
      <c r="E954" s="25">
        <v>260</v>
      </c>
      <c r="F954" s="25" t="s">
        <v>34</v>
      </c>
      <c r="G954" s="25">
        <v>18.8</v>
      </c>
      <c r="H954" s="25">
        <v>55</v>
      </c>
      <c r="I954" s="25" t="s">
        <v>20</v>
      </c>
      <c r="J954" s="25">
        <v>13</v>
      </c>
      <c r="K954" s="25">
        <v>428</v>
      </c>
      <c r="L954" s="25">
        <v>2</v>
      </c>
      <c r="M954" s="25" t="s">
        <v>27</v>
      </c>
      <c r="N954" s="25">
        <v>73.900000000000006</v>
      </c>
      <c r="O954" s="25">
        <v>198</v>
      </c>
      <c r="P954" s="25">
        <v>0</v>
      </c>
    </row>
    <row r="955" spans="1:16" x14ac:dyDescent="0.25">
      <c r="A955" s="26">
        <v>45374.577002314814</v>
      </c>
      <c r="B955" s="25" t="s">
        <v>16</v>
      </c>
      <c r="C955" s="25" t="s">
        <v>1941</v>
      </c>
      <c r="D955" s="25" t="s">
        <v>1942</v>
      </c>
      <c r="E955" s="25">
        <v>245</v>
      </c>
      <c r="F955" s="25" t="s">
        <v>25</v>
      </c>
      <c r="G955" s="25">
        <v>23.3</v>
      </c>
      <c r="H955" s="25">
        <v>59.8</v>
      </c>
      <c r="I955" s="25" t="s">
        <v>38</v>
      </c>
      <c r="J955" s="25">
        <v>28</v>
      </c>
      <c r="K955" s="25">
        <v>142</v>
      </c>
      <c r="L955" s="25">
        <v>5</v>
      </c>
      <c r="M955" s="25" t="s">
        <v>21</v>
      </c>
      <c r="N955" s="25">
        <v>80.7</v>
      </c>
      <c r="O955" s="25">
        <v>160</v>
      </c>
      <c r="P955" s="25">
        <v>0</v>
      </c>
    </row>
    <row r="956" spans="1:16" x14ac:dyDescent="0.25">
      <c r="A956" s="26">
        <v>45387.576516203706</v>
      </c>
      <c r="B956" s="25" t="s">
        <v>16</v>
      </c>
      <c r="C956" s="25" t="s">
        <v>1943</v>
      </c>
      <c r="D956" s="25" t="s">
        <v>1944</v>
      </c>
      <c r="E956" s="25">
        <v>495</v>
      </c>
      <c r="F956" s="25" t="s">
        <v>34</v>
      </c>
      <c r="G956" s="25">
        <v>25.1</v>
      </c>
      <c r="H956" s="25">
        <v>75.5</v>
      </c>
      <c r="I956" s="25" t="s">
        <v>20</v>
      </c>
      <c r="J956" s="25">
        <v>39</v>
      </c>
      <c r="K956" s="25">
        <v>234</v>
      </c>
      <c r="L956" s="25">
        <v>1</v>
      </c>
      <c r="M956" s="25" t="s">
        <v>21</v>
      </c>
      <c r="N956" s="25">
        <v>74.8</v>
      </c>
      <c r="O956" s="25">
        <v>203</v>
      </c>
      <c r="P956" s="25">
        <v>0</v>
      </c>
    </row>
    <row r="957" spans="1:16" x14ac:dyDescent="0.25">
      <c r="A957" s="26">
        <v>45528.066921296297</v>
      </c>
      <c r="B957" s="25" t="s">
        <v>56</v>
      </c>
      <c r="C957" s="25" t="s">
        <v>1945</v>
      </c>
      <c r="D957" s="25" t="s">
        <v>1946</v>
      </c>
      <c r="E957" s="25">
        <v>236</v>
      </c>
      <c r="F957" s="25" t="s">
        <v>19</v>
      </c>
      <c r="G957" s="25">
        <v>18.2</v>
      </c>
      <c r="H957" s="25">
        <v>50.5</v>
      </c>
      <c r="I957" s="25" t="s">
        <v>38</v>
      </c>
      <c r="J957" s="25">
        <v>20</v>
      </c>
      <c r="K957" s="25">
        <v>260</v>
      </c>
      <c r="L957" s="25">
        <v>2</v>
      </c>
      <c r="M957" s="25" t="s">
        <v>27</v>
      </c>
      <c r="N957" s="25">
        <v>61.1</v>
      </c>
      <c r="O957" s="25">
        <v>278</v>
      </c>
      <c r="P957" s="25">
        <v>1</v>
      </c>
    </row>
    <row r="958" spans="1:16" x14ac:dyDescent="0.25">
      <c r="A958" s="26">
        <v>45603.169120370374</v>
      </c>
      <c r="B958" s="25" t="s">
        <v>31</v>
      </c>
      <c r="C958" s="25" t="s">
        <v>1947</v>
      </c>
      <c r="D958" s="25" t="s">
        <v>1948</v>
      </c>
      <c r="E958" s="25">
        <v>259</v>
      </c>
      <c r="F958" s="25" t="s">
        <v>34</v>
      </c>
      <c r="G958" s="25">
        <v>21.3</v>
      </c>
      <c r="H958" s="25">
        <v>79.3</v>
      </c>
      <c r="I958" s="25" t="s">
        <v>20</v>
      </c>
      <c r="J958" s="25">
        <v>49</v>
      </c>
      <c r="K958" s="25">
        <v>276</v>
      </c>
      <c r="L958" s="25">
        <v>2</v>
      </c>
      <c r="M958" s="25" t="s">
        <v>21</v>
      </c>
      <c r="N958" s="25">
        <v>99.1</v>
      </c>
      <c r="O958" s="25">
        <v>259</v>
      </c>
      <c r="P958" s="25">
        <v>0</v>
      </c>
    </row>
    <row r="959" spans="1:16" x14ac:dyDescent="0.25">
      <c r="A959" s="26">
        <v>45555.697511574072</v>
      </c>
      <c r="B959" s="25" t="s">
        <v>16</v>
      </c>
      <c r="C959" s="25" t="s">
        <v>1949</v>
      </c>
      <c r="D959" s="25" t="s">
        <v>1950</v>
      </c>
      <c r="E959" s="25">
        <v>227</v>
      </c>
      <c r="F959" s="25" t="s">
        <v>34</v>
      </c>
      <c r="G959" s="25">
        <v>27.6</v>
      </c>
      <c r="H959" s="25">
        <v>68.099999999999994</v>
      </c>
      <c r="I959" s="25" t="s">
        <v>20</v>
      </c>
      <c r="J959" s="25">
        <v>60</v>
      </c>
      <c r="K959" s="25">
        <v>399</v>
      </c>
      <c r="L959" s="25">
        <v>1</v>
      </c>
      <c r="M959" s="25" t="s">
        <v>35</v>
      </c>
      <c r="N959" s="25">
        <v>64.099999999999994</v>
      </c>
      <c r="O959" s="25">
        <v>126</v>
      </c>
      <c r="P959" s="25">
        <v>0</v>
      </c>
    </row>
    <row r="960" spans="1:16" x14ac:dyDescent="0.25">
      <c r="A960" s="26">
        <v>45602.915625000001</v>
      </c>
      <c r="B960" s="25" t="s">
        <v>16</v>
      </c>
      <c r="C960" s="25" t="s">
        <v>1951</v>
      </c>
      <c r="D960" s="25" t="s">
        <v>1952</v>
      </c>
      <c r="E960" s="25">
        <v>204</v>
      </c>
      <c r="F960" s="25" t="s">
        <v>25</v>
      </c>
      <c r="G960" s="25">
        <v>20.5</v>
      </c>
      <c r="H960" s="25">
        <v>60.2</v>
      </c>
      <c r="I960" s="25" t="s">
        <v>38</v>
      </c>
      <c r="J960" s="25">
        <v>26</v>
      </c>
      <c r="K960" s="25">
        <v>460</v>
      </c>
      <c r="L960" s="25">
        <v>5</v>
      </c>
      <c r="M960" s="25" t="s">
        <v>21</v>
      </c>
      <c r="N960" s="25">
        <v>66.900000000000006</v>
      </c>
      <c r="O960" s="25">
        <v>231</v>
      </c>
      <c r="P960" s="25">
        <v>0</v>
      </c>
    </row>
    <row r="961" spans="1:16" x14ac:dyDescent="0.25">
      <c r="A961" s="26">
        <v>45381.504062499997</v>
      </c>
      <c r="B961" s="25" t="s">
        <v>28</v>
      </c>
      <c r="C961" s="25" t="s">
        <v>1953</v>
      </c>
      <c r="D961" s="25" t="s">
        <v>1954</v>
      </c>
      <c r="E961" s="25">
        <v>384</v>
      </c>
      <c r="F961" s="25" t="s">
        <v>19</v>
      </c>
      <c r="G961" s="25">
        <v>18.5</v>
      </c>
      <c r="H961" s="25">
        <v>79</v>
      </c>
      <c r="I961" s="25" t="s">
        <v>20</v>
      </c>
      <c r="J961" s="25">
        <v>21</v>
      </c>
      <c r="K961" s="25">
        <v>185</v>
      </c>
      <c r="L961" s="25">
        <v>8</v>
      </c>
      <c r="M961" s="25" t="s">
        <v>27</v>
      </c>
      <c r="N961" s="25">
        <v>68.099999999999994</v>
      </c>
      <c r="O961" s="25">
        <v>143</v>
      </c>
      <c r="P961" s="25">
        <v>1</v>
      </c>
    </row>
    <row r="962" spans="1:16" x14ac:dyDescent="0.25">
      <c r="A962" s="26">
        <v>45436.001574074071</v>
      </c>
      <c r="B962" s="25" t="s">
        <v>22</v>
      </c>
      <c r="C962" s="25" t="s">
        <v>1955</v>
      </c>
      <c r="D962" s="25" t="s">
        <v>1956</v>
      </c>
      <c r="E962" s="25">
        <v>187</v>
      </c>
      <c r="F962" s="25" t="s">
        <v>19</v>
      </c>
      <c r="G962" s="25">
        <v>18.899999999999999</v>
      </c>
      <c r="H962" s="25">
        <v>60.3</v>
      </c>
      <c r="I962" s="25" t="s">
        <v>38</v>
      </c>
      <c r="J962" s="25">
        <v>34</v>
      </c>
      <c r="K962" s="25">
        <v>223</v>
      </c>
      <c r="L962" s="25">
        <v>1</v>
      </c>
      <c r="M962" s="25" t="s">
        <v>27</v>
      </c>
      <c r="N962" s="25">
        <v>85.3</v>
      </c>
      <c r="O962" s="25">
        <v>197</v>
      </c>
      <c r="P962" s="25">
        <v>1</v>
      </c>
    </row>
    <row r="963" spans="1:16" x14ac:dyDescent="0.25">
      <c r="A963" s="26">
        <v>45317.353379629632</v>
      </c>
      <c r="B963" s="25" t="s">
        <v>61</v>
      </c>
      <c r="C963" s="25" t="s">
        <v>1957</v>
      </c>
      <c r="D963" s="25" t="s">
        <v>1958</v>
      </c>
      <c r="E963" s="25">
        <v>302</v>
      </c>
      <c r="F963" s="25" t="s">
        <v>34</v>
      </c>
      <c r="G963" s="25">
        <v>19.5</v>
      </c>
      <c r="H963" s="25">
        <v>64.5</v>
      </c>
      <c r="I963" s="25" t="s">
        <v>20</v>
      </c>
      <c r="J963" s="25">
        <v>38</v>
      </c>
      <c r="K963" s="25">
        <v>149</v>
      </c>
      <c r="L963" s="25">
        <v>10</v>
      </c>
      <c r="M963" s="25" t="s">
        <v>21</v>
      </c>
      <c r="N963" s="25">
        <v>69</v>
      </c>
      <c r="O963" s="25">
        <v>213</v>
      </c>
      <c r="P963" s="25">
        <v>0</v>
      </c>
    </row>
    <row r="964" spans="1:16" ht="30" customHeight="1" x14ac:dyDescent="0.25">
      <c r="A964" s="26">
        <v>45430.607523148145</v>
      </c>
      <c r="B964" s="25" t="s">
        <v>61</v>
      </c>
      <c r="C964" s="25" t="s">
        <v>1959</v>
      </c>
      <c r="D964" s="25" t="s">
        <v>1960</v>
      </c>
      <c r="E964" s="25">
        <v>177</v>
      </c>
      <c r="F964" s="25" t="s">
        <v>25</v>
      </c>
      <c r="G964" s="25">
        <v>24.7</v>
      </c>
      <c r="H964" s="25">
        <v>70.599999999999994</v>
      </c>
      <c r="I964" s="25" t="s">
        <v>26</v>
      </c>
      <c r="J964" s="25">
        <v>58</v>
      </c>
      <c r="K964" s="25">
        <v>301</v>
      </c>
      <c r="L964" s="25">
        <v>1</v>
      </c>
      <c r="M964" s="25" t="s">
        <v>51</v>
      </c>
      <c r="N964" s="25">
        <v>82.7</v>
      </c>
      <c r="O964" s="25">
        <v>254</v>
      </c>
      <c r="P964" s="25">
        <v>1</v>
      </c>
    </row>
    <row r="965" spans="1:16" ht="30" customHeight="1" x14ac:dyDescent="0.25">
      <c r="A965" s="26">
        <v>45431.465428240743</v>
      </c>
      <c r="B965" s="25" t="s">
        <v>48</v>
      </c>
      <c r="C965" s="25" t="s">
        <v>1961</v>
      </c>
      <c r="D965" s="25" t="s">
        <v>1962</v>
      </c>
      <c r="E965" s="25">
        <v>448</v>
      </c>
      <c r="F965" s="25" t="s">
        <v>25</v>
      </c>
      <c r="G965" s="25">
        <v>21.5</v>
      </c>
      <c r="H965" s="25">
        <v>55.7</v>
      </c>
      <c r="I965" s="25" t="s">
        <v>26</v>
      </c>
      <c r="J965" s="25">
        <v>55</v>
      </c>
      <c r="K965" s="25">
        <v>500</v>
      </c>
      <c r="L965" s="25">
        <v>2</v>
      </c>
      <c r="M965" s="25" t="s">
        <v>51</v>
      </c>
      <c r="N965" s="25">
        <v>86.7</v>
      </c>
      <c r="O965" s="25">
        <v>173</v>
      </c>
      <c r="P965" s="25">
        <v>1</v>
      </c>
    </row>
    <row r="966" spans="1:16" x14ac:dyDescent="0.25">
      <c r="A966" s="26">
        <v>45584.672118055554</v>
      </c>
      <c r="B966" s="25" t="s">
        <v>64</v>
      </c>
      <c r="C966" s="25" t="s">
        <v>1963</v>
      </c>
      <c r="D966" s="25" t="s">
        <v>1964</v>
      </c>
      <c r="E966" s="25">
        <v>197</v>
      </c>
      <c r="F966" s="25" t="s">
        <v>25</v>
      </c>
      <c r="G966" s="25">
        <v>22.9</v>
      </c>
      <c r="H966" s="25">
        <v>71.900000000000006</v>
      </c>
      <c r="I966" s="25" t="s">
        <v>38</v>
      </c>
      <c r="J966" s="25">
        <v>18</v>
      </c>
      <c r="K966" s="25">
        <v>387</v>
      </c>
      <c r="L966" s="25">
        <v>9</v>
      </c>
      <c r="M966" s="25" t="s">
        <v>21</v>
      </c>
      <c r="N966" s="25">
        <v>71</v>
      </c>
      <c r="O966" s="25">
        <v>140</v>
      </c>
      <c r="P966" s="25">
        <v>0</v>
      </c>
    </row>
    <row r="967" spans="1:16" x14ac:dyDescent="0.25">
      <c r="A967" s="26">
        <v>45394.812395833331</v>
      </c>
      <c r="B967" s="25" t="s">
        <v>28</v>
      </c>
      <c r="C967" s="25" t="s">
        <v>1965</v>
      </c>
      <c r="D967" s="25" t="s">
        <v>1966</v>
      </c>
      <c r="E967" s="25">
        <v>428</v>
      </c>
      <c r="F967" s="25" t="s">
        <v>25</v>
      </c>
      <c r="G967" s="25">
        <v>28.6</v>
      </c>
      <c r="H967" s="25">
        <v>77.7</v>
      </c>
      <c r="I967" s="25" t="s">
        <v>26</v>
      </c>
      <c r="J967" s="25">
        <v>14</v>
      </c>
      <c r="K967" s="25">
        <v>175</v>
      </c>
      <c r="L967" s="25">
        <v>9</v>
      </c>
      <c r="M967" s="25" t="s">
        <v>35</v>
      </c>
      <c r="N967" s="25">
        <v>96.2</v>
      </c>
      <c r="O967" s="25">
        <v>115</v>
      </c>
      <c r="P967" s="25">
        <v>1</v>
      </c>
    </row>
    <row r="968" spans="1:16" x14ac:dyDescent="0.25">
      <c r="A968" s="26">
        <v>45351.980532407404</v>
      </c>
      <c r="B968" s="25" t="s">
        <v>56</v>
      </c>
      <c r="C968" s="25" t="s">
        <v>1967</v>
      </c>
      <c r="D968" s="25" t="s">
        <v>1968</v>
      </c>
      <c r="E968" s="25">
        <v>435</v>
      </c>
      <c r="F968" s="25" t="s">
        <v>19</v>
      </c>
      <c r="G968" s="25">
        <v>24.7</v>
      </c>
      <c r="H968" s="25">
        <v>75.3</v>
      </c>
      <c r="I968" s="25" t="s">
        <v>26</v>
      </c>
      <c r="J968" s="25">
        <v>41</v>
      </c>
      <c r="K968" s="25">
        <v>245</v>
      </c>
      <c r="L968" s="25">
        <v>2</v>
      </c>
      <c r="M968" s="25" t="s">
        <v>27</v>
      </c>
      <c r="N968" s="25">
        <v>87.1</v>
      </c>
      <c r="O968" s="25">
        <v>232</v>
      </c>
      <c r="P968" s="25">
        <v>1</v>
      </c>
    </row>
    <row r="969" spans="1:16" ht="30" customHeight="1" x14ac:dyDescent="0.25">
      <c r="A969" s="26">
        <v>45568.673101851855</v>
      </c>
      <c r="B969" s="25" t="s">
        <v>22</v>
      </c>
      <c r="C969" s="25" t="s">
        <v>1969</v>
      </c>
      <c r="D969" s="25" t="s">
        <v>1970</v>
      </c>
      <c r="E969" s="25">
        <v>309</v>
      </c>
      <c r="F969" s="25" t="s">
        <v>25</v>
      </c>
      <c r="G969" s="25">
        <v>20.2</v>
      </c>
      <c r="H969" s="25">
        <v>65.8</v>
      </c>
      <c r="I969" s="25" t="s">
        <v>20</v>
      </c>
      <c r="J969" s="25">
        <v>26</v>
      </c>
      <c r="K969" s="25">
        <v>105</v>
      </c>
      <c r="L969" s="25">
        <v>9</v>
      </c>
      <c r="M969" s="25" t="s">
        <v>51</v>
      </c>
      <c r="N969" s="25">
        <v>60.7</v>
      </c>
      <c r="O969" s="25">
        <v>244</v>
      </c>
      <c r="P969" s="25">
        <v>0</v>
      </c>
    </row>
    <row r="970" spans="1:16" x14ac:dyDescent="0.25">
      <c r="A970" s="26">
        <v>45485.426018518519</v>
      </c>
      <c r="B970" s="25" t="s">
        <v>31</v>
      </c>
      <c r="C970" s="25" t="s">
        <v>1971</v>
      </c>
      <c r="D970" s="25" t="s">
        <v>1972</v>
      </c>
      <c r="E970" s="25">
        <v>346</v>
      </c>
      <c r="F970" s="25" t="s">
        <v>34</v>
      </c>
      <c r="G970" s="25">
        <v>21.5</v>
      </c>
      <c r="H970" s="25">
        <v>60.1</v>
      </c>
      <c r="I970" s="25" t="s">
        <v>38</v>
      </c>
      <c r="J970" s="25">
        <v>17</v>
      </c>
      <c r="K970" s="25">
        <v>370</v>
      </c>
      <c r="L970" s="25">
        <v>9</v>
      </c>
      <c r="M970" s="25" t="s">
        <v>21</v>
      </c>
      <c r="N970" s="25">
        <v>70.8</v>
      </c>
      <c r="O970" s="25">
        <v>259</v>
      </c>
      <c r="P970" s="25">
        <v>0</v>
      </c>
    </row>
    <row r="971" spans="1:16" x14ac:dyDescent="0.25">
      <c r="A971" s="26">
        <v>45589.086562500001</v>
      </c>
      <c r="B971" s="25" t="s">
        <v>48</v>
      </c>
      <c r="C971" s="25" t="s">
        <v>1973</v>
      </c>
      <c r="D971" s="25" t="s">
        <v>1974</v>
      </c>
      <c r="E971" s="25">
        <v>428</v>
      </c>
      <c r="F971" s="25" t="s">
        <v>34</v>
      </c>
      <c r="G971" s="25">
        <v>29.1</v>
      </c>
      <c r="H971" s="25">
        <v>55.9</v>
      </c>
      <c r="I971" s="25" t="s">
        <v>38</v>
      </c>
      <c r="J971" s="25">
        <v>34</v>
      </c>
      <c r="K971" s="25">
        <v>176</v>
      </c>
      <c r="L971" s="25">
        <v>2</v>
      </c>
      <c r="M971" s="25" t="s">
        <v>21</v>
      </c>
      <c r="N971" s="25">
        <v>89.5</v>
      </c>
      <c r="O971" s="25">
        <v>123</v>
      </c>
      <c r="P971" s="25">
        <v>0</v>
      </c>
    </row>
    <row r="972" spans="1:16" x14ac:dyDescent="0.25">
      <c r="A972" s="26">
        <v>45372.497048611112</v>
      </c>
      <c r="B972" s="25" t="s">
        <v>64</v>
      </c>
      <c r="C972" s="25" t="s">
        <v>1975</v>
      </c>
      <c r="D972" s="25" t="s">
        <v>1976</v>
      </c>
      <c r="E972" s="25">
        <v>106</v>
      </c>
      <c r="F972" s="25" t="s">
        <v>34</v>
      </c>
      <c r="G972" s="25">
        <v>21.6</v>
      </c>
      <c r="H972" s="25">
        <v>79.3</v>
      </c>
      <c r="I972" s="25" t="s">
        <v>38</v>
      </c>
      <c r="J972" s="25">
        <v>51</v>
      </c>
      <c r="K972" s="25">
        <v>120</v>
      </c>
      <c r="L972" s="25">
        <v>9</v>
      </c>
      <c r="M972" s="25" t="s">
        <v>27</v>
      </c>
      <c r="N972" s="25">
        <v>96.2</v>
      </c>
      <c r="O972" s="25">
        <v>228</v>
      </c>
      <c r="P972" s="25">
        <v>0</v>
      </c>
    </row>
    <row r="973" spans="1:16" ht="30" customHeight="1" x14ac:dyDescent="0.25">
      <c r="A973" s="26">
        <v>45487.833773148152</v>
      </c>
      <c r="B973" s="25" t="s">
        <v>61</v>
      </c>
      <c r="C973" s="25" t="s">
        <v>1977</v>
      </c>
      <c r="D973" s="25" t="s">
        <v>1978</v>
      </c>
      <c r="E973" s="25">
        <v>154</v>
      </c>
      <c r="F973" s="25" t="s">
        <v>19</v>
      </c>
      <c r="G973" s="25">
        <v>25.8</v>
      </c>
      <c r="H973" s="25">
        <v>69</v>
      </c>
      <c r="I973" s="25" t="s">
        <v>38</v>
      </c>
      <c r="J973" s="25">
        <v>60</v>
      </c>
      <c r="K973" s="25">
        <v>357</v>
      </c>
      <c r="L973" s="25">
        <v>10</v>
      </c>
      <c r="M973" s="25" t="s">
        <v>51</v>
      </c>
      <c r="N973" s="25">
        <v>87.9</v>
      </c>
      <c r="O973" s="25">
        <v>269</v>
      </c>
      <c r="P973" s="25">
        <v>1</v>
      </c>
    </row>
    <row r="974" spans="1:16" x14ac:dyDescent="0.25">
      <c r="A974" s="26">
        <v>45619.802754629629</v>
      </c>
      <c r="B974" s="25" t="s">
        <v>28</v>
      </c>
      <c r="C974" s="25" t="s">
        <v>1979</v>
      </c>
      <c r="D974" s="25" t="s">
        <v>1980</v>
      </c>
      <c r="E974" s="25">
        <v>417</v>
      </c>
      <c r="F974" s="25" t="s">
        <v>25</v>
      </c>
      <c r="G974" s="25">
        <v>23.8</v>
      </c>
      <c r="H974" s="25">
        <v>50.7</v>
      </c>
      <c r="I974" s="25" t="s">
        <v>26</v>
      </c>
      <c r="J974" s="25">
        <v>47</v>
      </c>
      <c r="K974" s="25">
        <v>278</v>
      </c>
      <c r="L974" s="25">
        <v>2</v>
      </c>
      <c r="M974" s="25" t="s">
        <v>21</v>
      </c>
      <c r="N974" s="25">
        <v>88.7</v>
      </c>
      <c r="O974" s="25">
        <v>226</v>
      </c>
      <c r="P974" s="25">
        <v>1</v>
      </c>
    </row>
    <row r="975" spans="1:16" ht="30" customHeight="1" x14ac:dyDescent="0.25">
      <c r="A975" s="26">
        <v>45561.440185185187</v>
      </c>
      <c r="B975" s="25" t="s">
        <v>64</v>
      </c>
      <c r="C975" s="25" t="s">
        <v>1981</v>
      </c>
      <c r="D975" s="25" t="s">
        <v>1982</v>
      </c>
      <c r="E975" s="25">
        <v>438</v>
      </c>
      <c r="F975" s="25" t="s">
        <v>19</v>
      </c>
      <c r="G975" s="25">
        <v>20.6</v>
      </c>
      <c r="H975" s="25">
        <v>79.3</v>
      </c>
      <c r="I975" s="25" t="s">
        <v>26</v>
      </c>
      <c r="J975" s="25">
        <v>37</v>
      </c>
      <c r="K975" s="25">
        <v>431</v>
      </c>
      <c r="L975" s="25">
        <v>5</v>
      </c>
      <c r="M975" s="25" t="s">
        <v>51</v>
      </c>
      <c r="N975" s="25">
        <v>71.7</v>
      </c>
      <c r="O975" s="25">
        <v>246</v>
      </c>
      <c r="P975" s="25">
        <v>1</v>
      </c>
    </row>
    <row r="976" spans="1:16" x14ac:dyDescent="0.25">
      <c r="A976" s="26">
        <v>45513.700219907405</v>
      </c>
      <c r="B976" s="25" t="s">
        <v>64</v>
      </c>
      <c r="C976" s="25" t="s">
        <v>1983</v>
      </c>
      <c r="D976" s="25" t="s">
        <v>1984</v>
      </c>
      <c r="E976" s="25">
        <v>106</v>
      </c>
      <c r="F976" s="25" t="s">
        <v>19</v>
      </c>
      <c r="G976" s="25">
        <v>29.6</v>
      </c>
      <c r="H976" s="25">
        <v>62</v>
      </c>
      <c r="I976" s="25" t="s">
        <v>26</v>
      </c>
      <c r="J976" s="25">
        <v>54</v>
      </c>
      <c r="K976" s="25">
        <v>410</v>
      </c>
      <c r="L976" s="25">
        <v>9</v>
      </c>
      <c r="M976" s="25" t="s">
        <v>27</v>
      </c>
      <c r="N976" s="25">
        <v>62.3</v>
      </c>
      <c r="O976" s="25">
        <v>111</v>
      </c>
      <c r="P976" s="25">
        <v>1</v>
      </c>
    </row>
    <row r="977" spans="1:16" x14ac:dyDescent="0.25">
      <c r="A977" s="26">
        <v>45619.358067129629</v>
      </c>
      <c r="B977" s="25" t="s">
        <v>41</v>
      </c>
      <c r="C977" s="25" t="s">
        <v>1985</v>
      </c>
      <c r="D977" s="25" t="s">
        <v>1986</v>
      </c>
      <c r="E977" s="25">
        <v>147</v>
      </c>
      <c r="F977" s="25" t="s">
        <v>19</v>
      </c>
      <c r="G977" s="25">
        <v>27.5</v>
      </c>
      <c r="H977" s="25">
        <v>51.6</v>
      </c>
      <c r="I977" s="25" t="s">
        <v>38</v>
      </c>
      <c r="J977" s="25">
        <v>15</v>
      </c>
      <c r="K977" s="25">
        <v>496</v>
      </c>
      <c r="L977" s="25">
        <v>4</v>
      </c>
      <c r="M977" s="25" t="s">
        <v>35</v>
      </c>
      <c r="N977" s="25">
        <v>68.400000000000006</v>
      </c>
      <c r="O977" s="25">
        <v>238</v>
      </c>
      <c r="P977" s="25">
        <v>1</v>
      </c>
    </row>
    <row r="978" spans="1:16" x14ac:dyDescent="0.25">
      <c r="A978" s="26">
        <v>45581.950925925928</v>
      </c>
      <c r="B978" s="25" t="s">
        <v>16</v>
      </c>
      <c r="C978" s="25" t="s">
        <v>1987</v>
      </c>
      <c r="D978" s="25" t="s">
        <v>1988</v>
      </c>
      <c r="E978" s="25">
        <v>248</v>
      </c>
      <c r="F978" s="25" t="s">
        <v>34</v>
      </c>
      <c r="G978" s="25">
        <v>23</v>
      </c>
      <c r="H978" s="25">
        <v>72.3</v>
      </c>
      <c r="I978" s="25" t="s">
        <v>26</v>
      </c>
      <c r="J978" s="25">
        <v>35</v>
      </c>
      <c r="K978" s="25">
        <v>256</v>
      </c>
      <c r="L978" s="25">
        <v>3</v>
      </c>
      <c r="M978" s="25" t="s">
        <v>35</v>
      </c>
      <c r="N978" s="25">
        <v>99.2</v>
      </c>
      <c r="O978" s="25">
        <v>296</v>
      </c>
      <c r="P978" s="25">
        <v>1</v>
      </c>
    </row>
    <row r="979" spans="1:16" ht="30" customHeight="1" x14ac:dyDescent="0.25">
      <c r="A979" s="26">
        <v>45337.945138888892</v>
      </c>
      <c r="B979" s="25" t="s">
        <v>16</v>
      </c>
      <c r="C979" s="25" t="s">
        <v>1989</v>
      </c>
      <c r="D979" s="25" t="s">
        <v>1990</v>
      </c>
      <c r="E979" s="25">
        <v>299</v>
      </c>
      <c r="F979" s="25" t="s">
        <v>25</v>
      </c>
      <c r="G979" s="25">
        <v>20.5</v>
      </c>
      <c r="H979" s="25">
        <v>75.2</v>
      </c>
      <c r="I979" s="25" t="s">
        <v>38</v>
      </c>
      <c r="J979" s="25">
        <v>21</v>
      </c>
      <c r="K979" s="25">
        <v>148</v>
      </c>
      <c r="L979" s="25">
        <v>6</v>
      </c>
      <c r="M979" s="25" t="s">
        <v>51</v>
      </c>
      <c r="N979" s="25">
        <v>67.5</v>
      </c>
      <c r="O979" s="25">
        <v>150</v>
      </c>
      <c r="P979" s="25">
        <v>0</v>
      </c>
    </row>
    <row r="980" spans="1:16" x14ac:dyDescent="0.25">
      <c r="A980" s="26">
        <v>45458.118298611109</v>
      </c>
      <c r="B980" s="25" t="s">
        <v>16</v>
      </c>
      <c r="C980" s="25" t="s">
        <v>1991</v>
      </c>
      <c r="D980" s="25" t="s">
        <v>1992</v>
      </c>
      <c r="E980" s="25">
        <v>382</v>
      </c>
      <c r="F980" s="25" t="s">
        <v>34</v>
      </c>
      <c r="G980" s="25">
        <v>20.6</v>
      </c>
      <c r="H980" s="25">
        <v>72.8</v>
      </c>
      <c r="I980" s="25" t="s">
        <v>26</v>
      </c>
      <c r="J980" s="25">
        <v>10</v>
      </c>
      <c r="K980" s="25">
        <v>128</v>
      </c>
      <c r="L980" s="25">
        <v>1</v>
      </c>
      <c r="M980" s="25" t="s">
        <v>27</v>
      </c>
      <c r="N980" s="25">
        <v>79.2</v>
      </c>
      <c r="O980" s="25">
        <v>157</v>
      </c>
      <c r="P980" s="25">
        <v>1</v>
      </c>
    </row>
    <row r="981" spans="1:16" x14ac:dyDescent="0.25">
      <c r="A981" s="26">
        <v>45469.832546296297</v>
      </c>
      <c r="B981" s="25" t="s">
        <v>48</v>
      </c>
      <c r="C981" s="25" t="s">
        <v>1993</v>
      </c>
      <c r="D981" s="25" t="s">
        <v>1994</v>
      </c>
      <c r="E981" s="25">
        <v>236</v>
      </c>
      <c r="F981" s="25" t="s">
        <v>34</v>
      </c>
      <c r="G981" s="25">
        <v>19.399999999999999</v>
      </c>
      <c r="H981" s="25">
        <v>57.2</v>
      </c>
      <c r="I981" s="25" t="s">
        <v>26</v>
      </c>
      <c r="J981" s="25">
        <v>13</v>
      </c>
      <c r="K981" s="25">
        <v>368</v>
      </c>
      <c r="L981" s="25">
        <v>2</v>
      </c>
      <c r="M981" s="25" t="s">
        <v>27</v>
      </c>
      <c r="N981" s="25">
        <v>83.7</v>
      </c>
      <c r="O981" s="25">
        <v>276</v>
      </c>
      <c r="P981" s="25">
        <v>1</v>
      </c>
    </row>
    <row r="982" spans="1:16" ht="30" customHeight="1" x14ac:dyDescent="0.25">
      <c r="A982" s="26">
        <v>45627.527048611111</v>
      </c>
      <c r="B982" s="25" t="s">
        <v>41</v>
      </c>
      <c r="C982" s="25" t="s">
        <v>1995</v>
      </c>
      <c r="D982" s="25" t="s">
        <v>1996</v>
      </c>
      <c r="E982" s="25">
        <v>122</v>
      </c>
      <c r="F982" s="25" t="s">
        <v>19</v>
      </c>
      <c r="G982" s="25">
        <v>28.3</v>
      </c>
      <c r="H982" s="25">
        <v>80</v>
      </c>
      <c r="I982" s="25" t="s">
        <v>20</v>
      </c>
      <c r="J982" s="25">
        <v>43</v>
      </c>
      <c r="K982" s="25">
        <v>444</v>
      </c>
      <c r="L982" s="25">
        <v>10</v>
      </c>
      <c r="M982" s="25" t="s">
        <v>51</v>
      </c>
      <c r="N982" s="25">
        <v>91.6</v>
      </c>
      <c r="O982" s="25">
        <v>141</v>
      </c>
      <c r="P982" s="25">
        <v>1</v>
      </c>
    </row>
    <row r="983" spans="1:16" x14ac:dyDescent="0.25">
      <c r="A983" s="26">
        <v>45504.154976851853</v>
      </c>
      <c r="B983" s="25" t="s">
        <v>28</v>
      </c>
      <c r="C983" s="25" t="s">
        <v>1997</v>
      </c>
      <c r="D983" s="25" t="s">
        <v>1998</v>
      </c>
      <c r="E983" s="25">
        <v>201</v>
      </c>
      <c r="F983" s="25" t="s">
        <v>25</v>
      </c>
      <c r="G983" s="25">
        <v>24.4</v>
      </c>
      <c r="H983" s="25">
        <v>50.8</v>
      </c>
      <c r="I983" s="25" t="s">
        <v>26</v>
      </c>
      <c r="J983" s="25">
        <v>13</v>
      </c>
      <c r="K983" s="25">
        <v>367</v>
      </c>
      <c r="L983" s="25">
        <v>2</v>
      </c>
      <c r="M983" s="25" t="s">
        <v>21</v>
      </c>
      <c r="N983" s="25">
        <v>88.3</v>
      </c>
      <c r="O983" s="25">
        <v>174</v>
      </c>
      <c r="P983" s="25">
        <v>1</v>
      </c>
    </row>
    <row r="984" spans="1:16" x14ac:dyDescent="0.25">
      <c r="A984" s="26">
        <v>45367.555902777778</v>
      </c>
      <c r="B984" s="25" t="s">
        <v>31</v>
      </c>
      <c r="C984" s="25" t="s">
        <v>1999</v>
      </c>
      <c r="D984" s="25" t="s">
        <v>2000</v>
      </c>
      <c r="E984" s="25">
        <v>226</v>
      </c>
      <c r="F984" s="25" t="s">
        <v>25</v>
      </c>
      <c r="G984" s="25">
        <v>18.600000000000001</v>
      </c>
      <c r="H984" s="25">
        <v>77.900000000000006</v>
      </c>
      <c r="I984" s="25" t="s">
        <v>26</v>
      </c>
      <c r="J984" s="25">
        <v>30</v>
      </c>
      <c r="K984" s="25">
        <v>252</v>
      </c>
      <c r="L984" s="25">
        <v>10</v>
      </c>
      <c r="M984" s="25" t="s">
        <v>21</v>
      </c>
      <c r="N984" s="25">
        <v>67.3</v>
      </c>
      <c r="O984" s="25">
        <v>145</v>
      </c>
      <c r="P984" s="25">
        <v>1</v>
      </c>
    </row>
    <row r="985" spans="1:16" x14ac:dyDescent="0.25">
      <c r="A985" s="26">
        <v>45460.613321759258</v>
      </c>
      <c r="B985" s="25" t="s">
        <v>31</v>
      </c>
      <c r="C985" s="25" t="s">
        <v>2001</v>
      </c>
      <c r="D985" s="25" t="s">
        <v>2002</v>
      </c>
      <c r="E985" s="25">
        <v>266</v>
      </c>
      <c r="F985" s="25" t="s">
        <v>34</v>
      </c>
      <c r="G985" s="25">
        <v>23.5</v>
      </c>
      <c r="H985" s="25">
        <v>60.2</v>
      </c>
      <c r="I985" s="25" t="s">
        <v>26</v>
      </c>
      <c r="J985" s="25">
        <v>57</v>
      </c>
      <c r="K985" s="25">
        <v>108</v>
      </c>
      <c r="L985" s="25">
        <v>2</v>
      </c>
      <c r="M985" s="25" t="s">
        <v>35</v>
      </c>
      <c r="N985" s="25">
        <v>65.5</v>
      </c>
      <c r="O985" s="25">
        <v>202</v>
      </c>
      <c r="P985" s="25">
        <v>1</v>
      </c>
    </row>
    <row r="986" spans="1:16" ht="30" customHeight="1" x14ac:dyDescent="0.25">
      <c r="A986" s="26">
        <v>45317.208402777775</v>
      </c>
      <c r="B986" s="25" t="s">
        <v>56</v>
      </c>
      <c r="C986" s="25" t="s">
        <v>2003</v>
      </c>
      <c r="D986" s="25" t="s">
        <v>2004</v>
      </c>
      <c r="E986" s="25">
        <v>277</v>
      </c>
      <c r="F986" s="25" t="s">
        <v>34</v>
      </c>
      <c r="G986" s="25">
        <v>29.2</v>
      </c>
      <c r="H986" s="25">
        <v>56.9</v>
      </c>
      <c r="I986" s="25" t="s">
        <v>20</v>
      </c>
      <c r="J986" s="25">
        <v>24</v>
      </c>
      <c r="K986" s="25">
        <v>100</v>
      </c>
      <c r="L986" s="25">
        <v>2</v>
      </c>
      <c r="M986" s="25" t="s">
        <v>51</v>
      </c>
      <c r="N986" s="25">
        <v>84.2</v>
      </c>
      <c r="O986" s="25">
        <v>164</v>
      </c>
      <c r="P986" s="25">
        <v>0</v>
      </c>
    </row>
    <row r="987" spans="1:16" x14ac:dyDescent="0.25">
      <c r="A987" s="26">
        <v>45360.414259259262</v>
      </c>
      <c r="B987" s="25" t="s">
        <v>41</v>
      </c>
      <c r="C987" s="25" t="s">
        <v>2005</v>
      </c>
      <c r="D987" s="25" t="s">
        <v>2006</v>
      </c>
      <c r="E987" s="25">
        <v>475</v>
      </c>
      <c r="F987" s="25" t="s">
        <v>25</v>
      </c>
      <c r="G987" s="25">
        <v>24.3</v>
      </c>
      <c r="H987" s="25">
        <v>52.6</v>
      </c>
      <c r="I987" s="25" t="s">
        <v>26</v>
      </c>
      <c r="J987" s="25">
        <v>55</v>
      </c>
      <c r="K987" s="25">
        <v>283</v>
      </c>
      <c r="L987" s="25">
        <v>6</v>
      </c>
      <c r="M987" s="25" t="s">
        <v>27</v>
      </c>
      <c r="N987" s="25">
        <v>95.9</v>
      </c>
      <c r="O987" s="25">
        <v>173</v>
      </c>
      <c r="P987" s="25">
        <v>1</v>
      </c>
    </row>
    <row r="988" spans="1:16" x14ac:dyDescent="0.25">
      <c r="A988" s="26">
        <v>45532.307638888888</v>
      </c>
      <c r="B988" s="25" t="s">
        <v>56</v>
      </c>
      <c r="C988" s="25" t="s">
        <v>2007</v>
      </c>
      <c r="D988" s="25" t="s">
        <v>2008</v>
      </c>
      <c r="E988" s="25">
        <v>387</v>
      </c>
      <c r="F988" s="25" t="s">
        <v>34</v>
      </c>
      <c r="G988" s="25">
        <v>28.1</v>
      </c>
      <c r="H988" s="25">
        <v>64.7</v>
      </c>
      <c r="I988" s="25" t="s">
        <v>38</v>
      </c>
      <c r="J988" s="25">
        <v>51</v>
      </c>
      <c r="K988" s="25">
        <v>340</v>
      </c>
      <c r="L988" s="25">
        <v>10</v>
      </c>
      <c r="M988" s="25" t="s">
        <v>27</v>
      </c>
      <c r="N988" s="25">
        <v>61.1</v>
      </c>
      <c r="O988" s="25">
        <v>243</v>
      </c>
      <c r="P988" s="25">
        <v>0</v>
      </c>
    </row>
    <row r="989" spans="1:16" x14ac:dyDescent="0.25">
      <c r="A989" s="26">
        <v>45304.790995370371</v>
      </c>
      <c r="B989" s="25" t="s">
        <v>22</v>
      </c>
      <c r="C989" s="25" t="s">
        <v>2009</v>
      </c>
      <c r="D989" s="25" t="s">
        <v>2010</v>
      </c>
      <c r="E989" s="25">
        <v>286</v>
      </c>
      <c r="F989" s="25" t="s">
        <v>25</v>
      </c>
      <c r="G989" s="25">
        <v>25</v>
      </c>
      <c r="H989" s="25">
        <v>68.400000000000006</v>
      </c>
      <c r="I989" s="25" t="s">
        <v>26</v>
      </c>
      <c r="J989" s="25">
        <v>50</v>
      </c>
      <c r="K989" s="25">
        <v>382</v>
      </c>
      <c r="L989" s="25">
        <v>5</v>
      </c>
      <c r="M989" s="25" t="s">
        <v>27</v>
      </c>
      <c r="N989" s="25">
        <v>71.900000000000006</v>
      </c>
      <c r="O989" s="25">
        <v>283</v>
      </c>
      <c r="P989" s="25">
        <v>1</v>
      </c>
    </row>
    <row r="990" spans="1:16" ht="30" customHeight="1" x14ac:dyDescent="0.25">
      <c r="A990" s="26">
        <v>45647.450416666667</v>
      </c>
      <c r="B990" s="25" t="s">
        <v>16</v>
      </c>
      <c r="C990" s="25" t="s">
        <v>2011</v>
      </c>
      <c r="D990" s="25" t="s">
        <v>2012</v>
      </c>
      <c r="E990" s="25">
        <v>367</v>
      </c>
      <c r="F990" s="25" t="s">
        <v>19</v>
      </c>
      <c r="G990" s="25">
        <v>27</v>
      </c>
      <c r="H990" s="25">
        <v>55.1</v>
      </c>
      <c r="I990" s="25" t="s">
        <v>26</v>
      </c>
      <c r="J990" s="25">
        <v>47</v>
      </c>
      <c r="K990" s="25">
        <v>449</v>
      </c>
      <c r="L990" s="25">
        <v>9</v>
      </c>
      <c r="M990" s="25" t="s">
        <v>51</v>
      </c>
      <c r="N990" s="25">
        <v>99.7</v>
      </c>
      <c r="O990" s="25">
        <v>109</v>
      </c>
      <c r="P990" s="25">
        <v>1</v>
      </c>
    </row>
    <row r="991" spans="1:16" x14ac:dyDescent="0.25">
      <c r="A991" s="26">
        <v>45654.736215277779</v>
      </c>
      <c r="B991" s="25" t="s">
        <v>41</v>
      </c>
      <c r="C991" s="25" t="s">
        <v>2013</v>
      </c>
      <c r="D991" s="25" t="s">
        <v>2014</v>
      </c>
      <c r="E991" s="25">
        <v>371</v>
      </c>
      <c r="F991" s="25" t="s">
        <v>19</v>
      </c>
      <c r="G991" s="25">
        <v>27.4</v>
      </c>
      <c r="H991" s="25">
        <v>50.9</v>
      </c>
      <c r="I991" s="25" t="s">
        <v>38</v>
      </c>
      <c r="J991" s="25">
        <v>40</v>
      </c>
      <c r="K991" s="25">
        <v>463</v>
      </c>
      <c r="L991" s="25">
        <v>8</v>
      </c>
      <c r="M991" s="25" t="s">
        <v>27</v>
      </c>
      <c r="N991" s="25">
        <v>90.7</v>
      </c>
      <c r="O991" s="25">
        <v>144</v>
      </c>
      <c r="P991" s="25">
        <v>1</v>
      </c>
    </row>
    <row r="992" spans="1:16" x14ac:dyDescent="0.25">
      <c r="A992" s="26">
        <v>45522.244293981479</v>
      </c>
      <c r="B992" s="25" t="s">
        <v>16</v>
      </c>
      <c r="C992" s="25" t="s">
        <v>2015</v>
      </c>
      <c r="D992" s="25" t="s">
        <v>2016</v>
      </c>
      <c r="E992" s="25">
        <v>315</v>
      </c>
      <c r="F992" s="25" t="s">
        <v>34</v>
      </c>
      <c r="G992" s="25">
        <v>23.5</v>
      </c>
      <c r="H992" s="25">
        <v>68.599999999999994</v>
      </c>
      <c r="I992" s="25" t="s">
        <v>26</v>
      </c>
      <c r="J992" s="25">
        <v>20</v>
      </c>
      <c r="K992" s="25">
        <v>372</v>
      </c>
      <c r="L992" s="25">
        <v>1</v>
      </c>
      <c r="M992" s="25" t="s">
        <v>21</v>
      </c>
      <c r="N992" s="25">
        <v>63.8</v>
      </c>
      <c r="O992" s="25">
        <v>221</v>
      </c>
      <c r="P992" s="25">
        <v>1</v>
      </c>
    </row>
    <row r="993" spans="1:16" x14ac:dyDescent="0.25">
      <c r="A993" s="26">
        <v>45544.231446759259</v>
      </c>
      <c r="B993" s="25" t="s">
        <v>22</v>
      </c>
      <c r="C993" s="25" t="s">
        <v>2017</v>
      </c>
      <c r="D993" s="25" t="s">
        <v>2018</v>
      </c>
      <c r="E993" s="25">
        <v>262</v>
      </c>
      <c r="F993" s="25" t="s">
        <v>25</v>
      </c>
      <c r="G993" s="25">
        <v>24.5</v>
      </c>
      <c r="H993" s="25">
        <v>50.1</v>
      </c>
      <c r="I993" s="25" t="s">
        <v>26</v>
      </c>
      <c r="J993" s="25">
        <v>20</v>
      </c>
      <c r="K993" s="25">
        <v>387</v>
      </c>
      <c r="L993" s="25">
        <v>2</v>
      </c>
      <c r="M993" s="25" t="s">
        <v>27</v>
      </c>
      <c r="N993" s="25">
        <v>95</v>
      </c>
      <c r="O993" s="25">
        <v>145</v>
      </c>
      <c r="P993" s="25">
        <v>1</v>
      </c>
    </row>
    <row r="994" spans="1:16" ht="30" customHeight="1" x14ac:dyDescent="0.25">
      <c r="A994" s="26">
        <v>45566.389652777776</v>
      </c>
      <c r="B994" s="25" t="s">
        <v>16</v>
      </c>
      <c r="C994" s="25" t="s">
        <v>2019</v>
      </c>
      <c r="D994" s="25" t="s">
        <v>2020</v>
      </c>
      <c r="E994" s="25">
        <v>201</v>
      </c>
      <c r="F994" s="25" t="s">
        <v>19</v>
      </c>
      <c r="G994" s="25">
        <v>23.9</v>
      </c>
      <c r="H994" s="25">
        <v>57.8</v>
      </c>
      <c r="I994" s="25" t="s">
        <v>26</v>
      </c>
      <c r="J994" s="25">
        <v>24</v>
      </c>
      <c r="K994" s="25">
        <v>170</v>
      </c>
      <c r="L994" s="25">
        <v>1</v>
      </c>
      <c r="M994" s="25" t="s">
        <v>51</v>
      </c>
      <c r="N994" s="25">
        <v>90.8</v>
      </c>
      <c r="O994" s="25">
        <v>104</v>
      </c>
      <c r="P994" s="25">
        <v>1</v>
      </c>
    </row>
    <row r="995" spans="1:16" x14ac:dyDescent="0.25">
      <c r="A995" s="26">
        <v>45579.431446759256</v>
      </c>
      <c r="B995" s="25" t="s">
        <v>41</v>
      </c>
      <c r="C995" s="25" t="s">
        <v>2021</v>
      </c>
      <c r="D995" s="25" t="s">
        <v>2022</v>
      </c>
      <c r="E995" s="25">
        <v>420</v>
      </c>
      <c r="F995" s="25" t="s">
        <v>19</v>
      </c>
      <c r="G995" s="25">
        <v>21.6</v>
      </c>
      <c r="H995" s="25">
        <v>62.8</v>
      </c>
      <c r="I995" s="25" t="s">
        <v>38</v>
      </c>
      <c r="J995" s="25">
        <v>31</v>
      </c>
      <c r="K995" s="25">
        <v>242</v>
      </c>
      <c r="L995" s="25">
        <v>10</v>
      </c>
      <c r="M995" s="25" t="s">
        <v>27</v>
      </c>
      <c r="N995" s="25">
        <v>95.6</v>
      </c>
      <c r="O995" s="25">
        <v>221</v>
      </c>
      <c r="P995" s="25">
        <v>1</v>
      </c>
    </row>
    <row r="996" spans="1:16" x14ac:dyDescent="0.25">
      <c r="A996" s="26">
        <v>45456.020185185182</v>
      </c>
      <c r="B996" s="25" t="s">
        <v>95</v>
      </c>
      <c r="C996" s="25" t="s">
        <v>2023</v>
      </c>
      <c r="D996" s="25" t="s">
        <v>2024</v>
      </c>
      <c r="E996" s="25">
        <v>143</v>
      </c>
      <c r="F996" s="25" t="s">
        <v>34</v>
      </c>
      <c r="G996" s="25">
        <v>21.6</v>
      </c>
      <c r="H996" s="25">
        <v>64.099999999999994</v>
      </c>
      <c r="I996" s="25" t="s">
        <v>20</v>
      </c>
      <c r="J996" s="25">
        <v>32</v>
      </c>
      <c r="K996" s="25">
        <v>307</v>
      </c>
      <c r="L996" s="25">
        <v>10</v>
      </c>
      <c r="M996" s="25" t="s">
        <v>35</v>
      </c>
      <c r="N996" s="25">
        <v>64</v>
      </c>
      <c r="O996" s="25">
        <v>168</v>
      </c>
      <c r="P996" s="25">
        <v>0</v>
      </c>
    </row>
    <row r="997" spans="1:16" x14ac:dyDescent="0.25">
      <c r="A997" s="26">
        <v>45495.6875</v>
      </c>
      <c r="B997" s="25" t="s">
        <v>22</v>
      </c>
      <c r="C997" s="25" t="s">
        <v>2025</v>
      </c>
      <c r="D997" s="25" t="s">
        <v>2026</v>
      </c>
      <c r="E997" s="25">
        <v>264</v>
      </c>
      <c r="F997" s="25" t="s">
        <v>34</v>
      </c>
      <c r="G997" s="25">
        <v>26.9</v>
      </c>
      <c r="H997" s="25">
        <v>70</v>
      </c>
      <c r="I997" s="25" t="s">
        <v>26</v>
      </c>
      <c r="J997" s="25">
        <v>32</v>
      </c>
      <c r="K997" s="25">
        <v>188</v>
      </c>
      <c r="L997" s="25">
        <v>1</v>
      </c>
      <c r="M997" s="25" t="s">
        <v>27</v>
      </c>
      <c r="N997" s="25">
        <v>79.2</v>
      </c>
      <c r="O997" s="25">
        <v>213</v>
      </c>
      <c r="P997" s="25">
        <v>1</v>
      </c>
    </row>
    <row r="998" spans="1:16" x14ac:dyDescent="0.25">
      <c r="A998" s="26">
        <v>45412.207615740743</v>
      </c>
      <c r="B998" s="25" t="s">
        <v>64</v>
      </c>
      <c r="C998" s="25" t="s">
        <v>2027</v>
      </c>
      <c r="D998" s="25" t="s">
        <v>2028</v>
      </c>
      <c r="E998" s="25">
        <v>479</v>
      </c>
      <c r="F998" s="25" t="s">
        <v>34</v>
      </c>
      <c r="G998" s="25">
        <v>23.7</v>
      </c>
      <c r="H998" s="25">
        <v>77.900000000000006</v>
      </c>
      <c r="I998" s="25" t="s">
        <v>20</v>
      </c>
      <c r="J998" s="25">
        <v>56</v>
      </c>
      <c r="K998" s="25">
        <v>276</v>
      </c>
      <c r="L998" s="25">
        <v>7</v>
      </c>
      <c r="M998" s="25" t="s">
        <v>27</v>
      </c>
      <c r="N998" s="25">
        <v>83.7</v>
      </c>
      <c r="O998" s="25">
        <v>272</v>
      </c>
      <c r="P998" s="25">
        <v>0</v>
      </c>
    </row>
    <row r="999" spans="1:16" x14ac:dyDescent="0.25">
      <c r="A999" s="26">
        <v>45592.923067129632</v>
      </c>
      <c r="B999" s="25" t="s">
        <v>48</v>
      </c>
      <c r="C999" s="25" t="s">
        <v>2029</v>
      </c>
      <c r="D999" s="25" t="s">
        <v>2030</v>
      </c>
      <c r="E999" s="25">
        <v>347</v>
      </c>
      <c r="F999" s="25" t="s">
        <v>25</v>
      </c>
      <c r="G999" s="25">
        <v>21</v>
      </c>
      <c r="H999" s="25">
        <v>63.1</v>
      </c>
      <c r="I999" s="25" t="s">
        <v>20</v>
      </c>
      <c r="J999" s="25">
        <v>35</v>
      </c>
      <c r="K999" s="25">
        <v>382</v>
      </c>
      <c r="L999" s="25">
        <v>5</v>
      </c>
      <c r="M999" s="25" t="s">
        <v>21</v>
      </c>
      <c r="N999" s="25">
        <v>74.8</v>
      </c>
      <c r="O999" s="25">
        <v>275</v>
      </c>
      <c r="P999" s="25">
        <v>0</v>
      </c>
    </row>
    <row r="1000" spans="1:16" x14ac:dyDescent="0.25">
      <c r="A1000" s="26">
        <v>45400.963148148148</v>
      </c>
      <c r="B1000" s="25" t="s">
        <v>48</v>
      </c>
      <c r="C1000" s="25" t="s">
        <v>2031</v>
      </c>
      <c r="D1000" s="25" t="s">
        <v>2032</v>
      </c>
      <c r="E1000" s="25">
        <v>276</v>
      </c>
      <c r="F1000" s="25" t="s">
        <v>34</v>
      </c>
      <c r="G1000" s="25">
        <v>18</v>
      </c>
      <c r="H1000" s="25">
        <v>64.3</v>
      </c>
      <c r="I1000" s="25" t="s">
        <v>26</v>
      </c>
      <c r="J1000" s="25">
        <v>10</v>
      </c>
      <c r="K1000" s="25">
        <v>361</v>
      </c>
      <c r="L1000" s="25">
        <v>5</v>
      </c>
      <c r="M1000" s="25" t="s">
        <v>21</v>
      </c>
      <c r="N1000" s="25">
        <v>88.6</v>
      </c>
      <c r="O1000" s="25">
        <v>242</v>
      </c>
      <c r="P1000" s="25">
        <v>1</v>
      </c>
    </row>
    <row r="1001" spans="1:16" ht="30" customHeight="1" x14ac:dyDescent="0.25">
      <c r="A1001" s="26">
        <v>45553.819027777776</v>
      </c>
      <c r="B1001" s="25" t="s">
        <v>56</v>
      </c>
      <c r="C1001" s="25" t="s">
        <v>2033</v>
      </c>
      <c r="D1001" s="25" t="s">
        <v>2034</v>
      </c>
      <c r="E1001" s="25">
        <v>157</v>
      </c>
      <c r="F1001" s="25" t="s">
        <v>19</v>
      </c>
      <c r="G1001" s="25">
        <v>18.7</v>
      </c>
      <c r="H1001" s="25">
        <v>73.599999999999994</v>
      </c>
      <c r="I1001" s="25" t="s">
        <v>38</v>
      </c>
      <c r="J1001" s="25">
        <v>55</v>
      </c>
      <c r="K1001" s="25">
        <v>323</v>
      </c>
      <c r="L1001" s="25">
        <v>9</v>
      </c>
      <c r="M1001" s="25" t="s">
        <v>51</v>
      </c>
      <c r="N1001" s="25">
        <v>81.3</v>
      </c>
      <c r="O1001" s="25">
        <v>141</v>
      </c>
      <c r="P1001" s="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D8" sqref="D8"/>
    </sheetView>
  </sheetViews>
  <sheetFormatPr baseColWidth="10" defaultRowHeight="15" x14ac:dyDescent="0.25"/>
  <cols>
    <col min="1" max="1" width="24.5703125" bestFit="1" customWidth="1"/>
    <col min="2" max="2" width="39" bestFit="1" customWidth="1"/>
    <col min="3" max="3" width="17.42578125" bestFit="1" customWidth="1"/>
  </cols>
  <sheetData>
    <row r="1" spans="1:3" x14ac:dyDescent="0.25">
      <c r="A1" s="1" t="s">
        <v>2035</v>
      </c>
      <c r="B1" s="1" t="s">
        <v>2036</v>
      </c>
      <c r="C1" s="2" t="s">
        <v>2053</v>
      </c>
    </row>
    <row r="2" spans="1:3" x14ac:dyDescent="0.25">
      <c r="A2" s="3" t="s">
        <v>0</v>
      </c>
      <c r="B2" s="3" t="s">
        <v>2037</v>
      </c>
      <c r="C2" s="4" t="s">
        <v>2054</v>
      </c>
    </row>
    <row r="3" spans="1:3" x14ac:dyDescent="0.25">
      <c r="A3" s="5" t="s">
        <v>1</v>
      </c>
      <c r="B3" s="5" t="s">
        <v>2038</v>
      </c>
      <c r="C3" s="6" t="s">
        <v>2055</v>
      </c>
    </row>
    <row r="4" spans="1:3" x14ac:dyDescent="0.25">
      <c r="A4" s="3" t="s">
        <v>2</v>
      </c>
      <c r="B4" s="3" t="s">
        <v>2039</v>
      </c>
      <c r="C4" s="4" t="s">
        <v>2056</v>
      </c>
    </row>
    <row r="5" spans="1:3" x14ac:dyDescent="0.25">
      <c r="A5" s="5" t="s">
        <v>3</v>
      </c>
      <c r="B5" s="5" t="s">
        <v>2040</v>
      </c>
      <c r="C5" s="6" t="s">
        <v>2056</v>
      </c>
    </row>
    <row r="6" spans="1:3" x14ac:dyDescent="0.25">
      <c r="A6" s="3" t="s">
        <v>4</v>
      </c>
      <c r="B6" s="3" t="s">
        <v>2041</v>
      </c>
      <c r="C6" s="4" t="s">
        <v>2057</v>
      </c>
    </row>
    <row r="7" spans="1:3" x14ac:dyDescent="0.25">
      <c r="A7" s="5" t="s">
        <v>5</v>
      </c>
      <c r="B7" s="5" t="s">
        <v>2042</v>
      </c>
      <c r="C7" s="6" t="s">
        <v>2055</v>
      </c>
    </row>
    <row r="8" spans="1:3" x14ac:dyDescent="0.25">
      <c r="A8" s="3" t="s">
        <v>6</v>
      </c>
      <c r="B8" s="3" t="s">
        <v>2043</v>
      </c>
      <c r="C8" s="4" t="s">
        <v>2056</v>
      </c>
    </row>
    <row r="9" spans="1:3" x14ac:dyDescent="0.25">
      <c r="A9" s="5" t="s">
        <v>7</v>
      </c>
      <c r="B9" s="5" t="s">
        <v>2044</v>
      </c>
      <c r="C9" s="6" t="s">
        <v>2056</v>
      </c>
    </row>
    <row r="10" spans="1:3" x14ac:dyDescent="0.25">
      <c r="A10" s="3" t="s">
        <v>8</v>
      </c>
      <c r="B10" s="3" t="s">
        <v>2045</v>
      </c>
      <c r="C10" s="4" t="s">
        <v>2055</v>
      </c>
    </row>
    <row r="11" spans="1:3" x14ac:dyDescent="0.25">
      <c r="A11" s="5" t="s">
        <v>9</v>
      </c>
      <c r="B11" s="5" t="s">
        <v>2046</v>
      </c>
      <c r="C11" s="6" t="s">
        <v>2056</v>
      </c>
    </row>
    <row r="12" spans="1:3" x14ac:dyDescent="0.25">
      <c r="A12" s="3" t="s">
        <v>10</v>
      </c>
      <c r="B12" s="3" t="s">
        <v>2047</v>
      </c>
      <c r="C12" s="4" t="s">
        <v>2058</v>
      </c>
    </row>
    <row r="13" spans="1:3" x14ac:dyDescent="0.25">
      <c r="A13" s="5" t="s">
        <v>11</v>
      </c>
      <c r="B13" s="5" t="s">
        <v>2048</v>
      </c>
      <c r="C13" s="6" t="s">
        <v>2057</v>
      </c>
    </row>
    <row r="14" spans="1:3" x14ac:dyDescent="0.25">
      <c r="A14" s="3" t="s">
        <v>12</v>
      </c>
      <c r="B14" s="3" t="s">
        <v>2049</v>
      </c>
      <c r="C14" s="4" t="s">
        <v>2055</v>
      </c>
    </row>
    <row r="15" spans="1:3" x14ac:dyDescent="0.25">
      <c r="A15" s="5" t="s">
        <v>13</v>
      </c>
      <c r="B15" s="5" t="s">
        <v>2050</v>
      </c>
      <c r="C15" s="6" t="s">
        <v>2056</v>
      </c>
    </row>
    <row r="16" spans="1:3" x14ac:dyDescent="0.25">
      <c r="A16" s="3" t="s">
        <v>14</v>
      </c>
      <c r="B16" s="3" t="s">
        <v>2051</v>
      </c>
      <c r="C16" s="4" t="s">
        <v>2056</v>
      </c>
    </row>
    <row r="17" spans="1:3" x14ac:dyDescent="0.25">
      <c r="A17" s="7" t="s">
        <v>15</v>
      </c>
      <c r="B17" s="7" t="s">
        <v>2052</v>
      </c>
      <c r="C17" s="8" t="s">
        <v>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1"/>
  <sheetViews>
    <sheetView zoomScale="85" zoomScaleNormal="85" workbookViewId="0">
      <selection activeCell="F3" sqref="F3"/>
    </sheetView>
  </sheetViews>
  <sheetFormatPr baseColWidth="10" defaultRowHeight="15" x14ac:dyDescent="0.25"/>
  <cols>
    <col min="1" max="1" width="15.7109375" bestFit="1" customWidth="1"/>
    <col min="2" max="2" width="11" bestFit="1" customWidth="1"/>
    <col min="3" max="3" width="10.5703125" bestFit="1" customWidth="1"/>
    <col min="4" max="4" width="12.140625" bestFit="1" customWidth="1"/>
    <col min="5" max="5" width="17.5703125" bestFit="1" customWidth="1"/>
    <col min="6" max="6" width="18.42578125" bestFit="1" customWidth="1"/>
    <col min="7" max="7" width="14.85546875" bestFit="1" customWidth="1"/>
    <col min="9" max="9" width="15.140625" customWidth="1"/>
    <col min="10" max="10" width="15.7109375" bestFit="1" customWidth="1"/>
    <col min="11" max="12" width="27" bestFit="1" customWidth="1"/>
    <col min="13" max="13" width="24.42578125" bestFit="1" customWidth="1"/>
    <col min="14" max="14" width="18.5703125" bestFit="1" customWidth="1"/>
    <col min="15" max="15" width="19" customWidth="1"/>
    <col min="16" max="16" width="16.5703125" customWidth="1"/>
    <col min="17" max="17" width="19.42578125" bestFit="1" customWidth="1"/>
  </cols>
  <sheetData>
    <row r="1" spans="1:18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2097</v>
      </c>
    </row>
    <row r="2" spans="1:18" x14ac:dyDescent="0.25">
      <c r="A2" s="11">
        <v>45371.007800925923</v>
      </c>
      <c r="B2" s="10" t="s">
        <v>16</v>
      </c>
      <c r="C2" s="10" t="s">
        <v>17</v>
      </c>
      <c r="D2" s="10" t="s">
        <v>18</v>
      </c>
      <c r="E2" s="10">
        <v>390</v>
      </c>
      <c r="F2" s="10" t="s">
        <v>19</v>
      </c>
      <c r="G2" s="10">
        <v>27</v>
      </c>
      <c r="H2" s="10">
        <v>67.8</v>
      </c>
      <c r="I2" s="10" t="s">
        <v>20</v>
      </c>
      <c r="J2" s="10">
        <v>38</v>
      </c>
      <c r="K2" s="10">
        <v>320</v>
      </c>
      <c r="L2" s="10">
        <v>4</v>
      </c>
      <c r="M2" s="10" t="s">
        <v>21</v>
      </c>
      <c r="N2" s="10">
        <v>60.1</v>
      </c>
      <c r="O2" s="10">
        <v>285</v>
      </c>
      <c r="P2" s="10">
        <v>1</v>
      </c>
      <c r="Q2" s="10" t="str">
        <f>+IF(Tabla2[[#This Row],[Demand_Forecast]]&lt;= 125,"Low demand",IF(Tabla2[[#This Row],[Demand_Forecast]] &gt;=285,"High demand","Mid demand"))</f>
        <v>High demand</v>
      </c>
      <c r="R2">
        <f>+COUNT(Tabla2[])</f>
        <v>10000</v>
      </c>
    </row>
    <row r="3" spans="1:18" x14ac:dyDescent="0.25">
      <c r="A3" s="11">
        <v>45595.329062500001</v>
      </c>
      <c r="B3" s="10" t="s">
        <v>22</v>
      </c>
      <c r="C3" s="10" t="s">
        <v>23</v>
      </c>
      <c r="D3" s="10" t="s">
        <v>24</v>
      </c>
      <c r="E3" s="10">
        <v>491</v>
      </c>
      <c r="F3" s="10" t="s">
        <v>25</v>
      </c>
      <c r="G3" s="10">
        <v>22.5</v>
      </c>
      <c r="H3" s="10">
        <v>54.3</v>
      </c>
      <c r="I3" s="10" t="s">
        <v>26</v>
      </c>
      <c r="J3" s="10">
        <v>16</v>
      </c>
      <c r="K3" s="10">
        <v>439</v>
      </c>
      <c r="L3" s="10">
        <v>7</v>
      </c>
      <c r="M3" s="10" t="s">
        <v>27</v>
      </c>
      <c r="N3" s="10">
        <v>80.900000000000006</v>
      </c>
      <c r="O3" s="10">
        <v>174</v>
      </c>
      <c r="P3" s="10">
        <v>1</v>
      </c>
      <c r="Q3" s="10" t="str">
        <f>+IF(Tabla2[[#This Row],[Demand_Forecast]]&lt;= 125,"Low demand",IF(Tabla2[[#This Row],[Demand_Forecast]] &gt;=285,"High demand","Mid demand"))</f>
        <v>Mid demand</v>
      </c>
    </row>
    <row r="4" spans="1:18" x14ac:dyDescent="0.25">
      <c r="A4" s="11">
        <v>45502.779722222222</v>
      </c>
      <c r="B4" s="10" t="s">
        <v>28</v>
      </c>
      <c r="C4" s="10" t="s">
        <v>29</v>
      </c>
      <c r="D4" s="10" t="s">
        <v>30</v>
      </c>
      <c r="E4" s="10">
        <v>190</v>
      </c>
      <c r="F4" s="10" t="s">
        <v>25</v>
      </c>
      <c r="G4" s="10">
        <v>25.2</v>
      </c>
      <c r="H4" s="10">
        <v>62.2</v>
      </c>
      <c r="I4" s="10" t="s">
        <v>20</v>
      </c>
      <c r="J4" s="10">
        <v>34</v>
      </c>
      <c r="K4" s="10">
        <v>355</v>
      </c>
      <c r="L4" s="10">
        <v>3</v>
      </c>
      <c r="M4" s="10" t="s">
        <v>21</v>
      </c>
      <c r="N4" s="10">
        <v>99.2</v>
      </c>
      <c r="O4" s="10">
        <v>260</v>
      </c>
      <c r="P4" s="10">
        <v>0</v>
      </c>
      <c r="Q4" s="10" t="str">
        <f>+IF(Tabla2[[#This Row],[Demand_Forecast]]&lt;= 125,"Low demand",IF(Tabla2[[#This Row],[Demand_Forecast]] &gt;=285,"High demand","Mid demand"))</f>
        <v>Mid demand</v>
      </c>
    </row>
    <row r="5" spans="1:18" x14ac:dyDescent="0.25">
      <c r="A5" s="11">
        <v>45593.03534722222</v>
      </c>
      <c r="B5" s="10" t="s">
        <v>31</v>
      </c>
      <c r="C5" s="10" t="s">
        <v>32</v>
      </c>
      <c r="D5" s="10" t="s">
        <v>33</v>
      </c>
      <c r="E5" s="10">
        <v>330</v>
      </c>
      <c r="F5" s="10" t="s">
        <v>34</v>
      </c>
      <c r="G5" s="10">
        <v>25.4</v>
      </c>
      <c r="H5" s="10">
        <v>52.3</v>
      </c>
      <c r="I5" s="10" t="s">
        <v>26</v>
      </c>
      <c r="J5" s="10">
        <v>37</v>
      </c>
      <c r="K5" s="10">
        <v>227</v>
      </c>
      <c r="L5" s="10">
        <v>5</v>
      </c>
      <c r="M5" s="10" t="s">
        <v>35</v>
      </c>
      <c r="N5" s="10">
        <v>97.4</v>
      </c>
      <c r="O5" s="10">
        <v>160</v>
      </c>
      <c r="P5" s="10">
        <v>1</v>
      </c>
      <c r="Q5" s="10" t="str">
        <f>+IF(Tabla2[[#This Row],[Demand_Forecast]]&lt;= 125,"Low demand",IF(Tabla2[[#This Row],[Demand_Forecast]] &gt;=285,"High demand","Mid demand"))</f>
        <v>Mid demand</v>
      </c>
    </row>
    <row r="6" spans="1:18" x14ac:dyDescent="0.25">
      <c r="A6" s="11">
        <v>45562.661782407406</v>
      </c>
      <c r="B6" s="10" t="s">
        <v>16</v>
      </c>
      <c r="C6" s="10" t="s">
        <v>36</v>
      </c>
      <c r="D6" s="10" t="s">
        <v>37</v>
      </c>
      <c r="E6" s="10">
        <v>480</v>
      </c>
      <c r="F6" s="10" t="s">
        <v>19</v>
      </c>
      <c r="G6" s="10">
        <v>20.5</v>
      </c>
      <c r="H6" s="10">
        <v>57.2</v>
      </c>
      <c r="I6" s="10" t="s">
        <v>38</v>
      </c>
      <c r="J6" s="10">
        <v>56</v>
      </c>
      <c r="K6" s="10">
        <v>197</v>
      </c>
      <c r="L6" s="10">
        <v>6</v>
      </c>
      <c r="M6" s="10" t="s">
        <v>21</v>
      </c>
      <c r="N6" s="10">
        <v>71.599999999999994</v>
      </c>
      <c r="O6" s="10">
        <v>270</v>
      </c>
      <c r="P6" s="10">
        <v>1</v>
      </c>
      <c r="Q6" s="10" t="str">
        <f>+IF(Tabla2[[#This Row],[Demand_Forecast]]&lt;= 125,"Low demand",IF(Tabla2[[#This Row],[Demand_Forecast]] &gt;=285,"High demand","Mid demand"))</f>
        <v>Mid demand</v>
      </c>
    </row>
    <row r="7" spans="1:18" x14ac:dyDescent="0.25">
      <c r="A7" s="11">
        <v>45552.251562500001</v>
      </c>
      <c r="B7" s="10" t="s">
        <v>16</v>
      </c>
      <c r="C7" s="10" t="s">
        <v>39</v>
      </c>
      <c r="D7" s="10" t="s">
        <v>40</v>
      </c>
      <c r="E7" s="10">
        <v>118</v>
      </c>
      <c r="F7" s="10" t="s">
        <v>25</v>
      </c>
      <c r="G7" s="10">
        <v>24.3</v>
      </c>
      <c r="H7" s="10">
        <v>61.8</v>
      </c>
      <c r="I7" s="10" t="s">
        <v>38</v>
      </c>
      <c r="J7" s="10">
        <v>56</v>
      </c>
      <c r="K7" s="10">
        <v>258</v>
      </c>
      <c r="L7" s="10">
        <v>10</v>
      </c>
      <c r="M7" s="10" t="s">
        <v>21</v>
      </c>
      <c r="N7" s="10">
        <v>66.8</v>
      </c>
      <c r="O7" s="10">
        <v>189</v>
      </c>
      <c r="P7" s="10">
        <v>0</v>
      </c>
      <c r="Q7" s="10" t="str">
        <f>+IF(Tabla2[[#This Row],[Demand_Forecast]]&lt;= 125,"Low demand",IF(Tabla2[[#This Row],[Demand_Forecast]] &gt;=285,"High demand","Mid demand"))</f>
        <v>Mid demand</v>
      </c>
    </row>
    <row r="8" spans="1:18" x14ac:dyDescent="0.25">
      <c r="A8" s="11">
        <v>45327.36037037037</v>
      </c>
      <c r="B8" s="10" t="s">
        <v>41</v>
      </c>
      <c r="C8" s="10" t="s">
        <v>42</v>
      </c>
      <c r="D8" s="10" t="s">
        <v>43</v>
      </c>
      <c r="E8" s="10">
        <v>480</v>
      </c>
      <c r="F8" s="10" t="s">
        <v>19</v>
      </c>
      <c r="G8" s="10">
        <v>20.7</v>
      </c>
      <c r="H8" s="10">
        <v>75.400000000000006</v>
      </c>
      <c r="I8" s="10" t="s">
        <v>38</v>
      </c>
      <c r="J8" s="10">
        <v>32</v>
      </c>
      <c r="K8" s="10">
        <v>263</v>
      </c>
      <c r="L8" s="10">
        <v>3</v>
      </c>
      <c r="M8" s="10" t="s">
        <v>21</v>
      </c>
      <c r="N8" s="10">
        <v>73.3</v>
      </c>
      <c r="O8" s="10">
        <v>198</v>
      </c>
      <c r="P8" s="10">
        <v>1</v>
      </c>
      <c r="Q8" s="10" t="str">
        <f>+IF(Tabla2[[#This Row],[Demand_Forecast]]&lt;= 125,"Low demand",IF(Tabla2[[#This Row],[Demand_Forecast]] &gt;=285,"High demand","Mid demand"))</f>
        <v>Mid demand</v>
      </c>
    </row>
    <row r="9" spans="1:18" x14ac:dyDescent="0.25">
      <c r="A9" s="11">
        <v>45563.38082175926</v>
      </c>
      <c r="B9" s="10" t="s">
        <v>31</v>
      </c>
      <c r="C9" s="10" t="s">
        <v>44</v>
      </c>
      <c r="D9" s="10" t="s">
        <v>45</v>
      </c>
      <c r="E9" s="10">
        <v>222</v>
      </c>
      <c r="F9" s="10" t="s">
        <v>25</v>
      </c>
      <c r="G9" s="10">
        <v>23.3</v>
      </c>
      <c r="H9" s="10">
        <v>64.2</v>
      </c>
      <c r="I9" s="10" t="s">
        <v>20</v>
      </c>
      <c r="J9" s="10">
        <v>30</v>
      </c>
      <c r="K9" s="10">
        <v>459</v>
      </c>
      <c r="L9" s="10">
        <v>9</v>
      </c>
      <c r="M9" s="10" t="s">
        <v>35</v>
      </c>
      <c r="N9" s="10">
        <v>73.8</v>
      </c>
      <c r="O9" s="10">
        <v>253</v>
      </c>
      <c r="P9" s="10">
        <v>0</v>
      </c>
      <c r="Q9" s="10" t="str">
        <f>+IF(Tabla2[[#This Row],[Demand_Forecast]]&lt;= 125,"Low demand",IF(Tabla2[[#This Row],[Demand_Forecast]] &gt;=285,"High demand","Mid demand"))</f>
        <v>Mid demand</v>
      </c>
    </row>
    <row r="10" spans="1:18" x14ac:dyDescent="0.25">
      <c r="A10" s="11">
        <v>45309.352129629631</v>
      </c>
      <c r="B10" s="10" t="s">
        <v>31</v>
      </c>
      <c r="C10" s="10" t="s">
        <v>46</v>
      </c>
      <c r="D10" s="10" t="s">
        <v>47</v>
      </c>
      <c r="E10" s="10">
        <v>245</v>
      </c>
      <c r="F10" s="10" t="s">
        <v>34</v>
      </c>
      <c r="G10" s="10">
        <v>26.4</v>
      </c>
      <c r="H10" s="10">
        <v>77.2</v>
      </c>
      <c r="I10" s="10" t="s">
        <v>38</v>
      </c>
      <c r="J10" s="10">
        <v>14</v>
      </c>
      <c r="K10" s="10">
        <v>183</v>
      </c>
      <c r="L10" s="10">
        <v>2</v>
      </c>
      <c r="M10" s="10" t="s">
        <v>21</v>
      </c>
      <c r="N10" s="10">
        <v>69.599999999999994</v>
      </c>
      <c r="O10" s="10">
        <v>206</v>
      </c>
      <c r="P10" s="10">
        <v>0</v>
      </c>
      <c r="Q10" s="10" t="str">
        <f>+IF(Tabla2[[#This Row],[Demand_Forecast]]&lt;= 125,"Low demand",IF(Tabla2[[#This Row],[Demand_Forecast]] &gt;=285,"High demand","Mid demand"))</f>
        <v>Mid demand</v>
      </c>
    </row>
    <row r="11" spans="1:18" x14ac:dyDescent="0.25">
      <c r="A11" s="11">
        <v>45605.033634259256</v>
      </c>
      <c r="B11" s="10" t="s">
        <v>48</v>
      </c>
      <c r="C11" s="10" t="s">
        <v>49</v>
      </c>
      <c r="D11" s="10" t="s">
        <v>50</v>
      </c>
      <c r="E11" s="10">
        <v>389</v>
      </c>
      <c r="F11" s="10" t="s">
        <v>25</v>
      </c>
      <c r="G11" s="10">
        <v>21.9</v>
      </c>
      <c r="H11" s="10">
        <v>57.3</v>
      </c>
      <c r="I11" s="10" t="s">
        <v>38</v>
      </c>
      <c r="J11" s="10">
        <v>52</v>
      </c>
      <c r="K11" s="10">
        <v>127</v>
      </c>
      <c r="L11" s="10">
        <v>7</v>
      </c>
      <c r="M11" s="10" t="s">
        <v>51</v>
      </c>
      <c r="N11" s="10">
        <v>63.1</v>
      </c>
      <c r="O11" s="10">
        <v>224</v>
      </c>
      <c r="P11" s="10">
        <v>0</v>
      </c>
      <c r="Q11" s="10" t="str">
        <f>+IF(Tabla2[[#This Row],[Demand_Forecast]]&lt;= 125,"Low demand",IF(Tabla2[[#This Row],[Demand_Forecast]] &gt;=285,"High demand","Mid demand"))</f>
        <v>Mid demand</v>
      </c>
    </row>
    <row r="12" spans="1:18" x14ac:dyDescent="0.25">
      <c r="A12" s="11">
        <v>45300.972025462965</v>
      </c>
      <c r="B12" s="10" t="s">
        <v>31</v>
      </c>
      <c r="C12" s="10" t="s">
        <v>52</v>
      </c>
      <c r="D12" s="10" t="s">
        <v>53</v>
      </c>
      <c r="E12" s="10">
        <v>319</v>
      </c>
      <c r="F12" s="10" t="s">
        <v>19</v>
      </c>
      <c r="G12" s="10">
        <v>22</v>
      </c>
      <c r="H12" s="10">
        <v>53.5</v>
      </c>
      <c r="I12" s="10" t="s">
        <v>38</v>
      </c>
      <c r="J12" s="10">
        <v>28</v>
      </c>
      <c r="K12" s="10">
        <v>360</v>
      </c>
      <c r="L12" s="10">
        <v>4</v>
      </c>
      <c r="M12" s="10" t="s">
        <v>21</v>
      </c>
      <c r="N12" s="10">
        <v>69.8</v>
      </c>
      <c r="O12" s="10">
        <v>171</v>
      </c>
      <c r="P12" s="10">
        <v>1</v>
      </c>
      <c r="Q12" s="10" t="str">
        <f>+IF(Tabla2[[#This Row],[Demand_Forecast]]&lt;= 125,"Low demand",IF(Tabla2[[#This Row],[Demand_Forecast]] &gt;=285,"High demand","Mid demand"))</f>
        <v>Mid demand</v>
      </c>
    </row>
    <row r="13" spans="1:18" x14ac:dyDescent="0.25">
      <c r="A13" s="11">
        <v>45324.936296296299</v>
      </c>
      <c r="B13" s="10" t="s">
        <v>28</v>
      </c>
      <c r="C13" s="10" t="s">
        <v>54</v>
      </c>
      <c r="D13" s="10" t="s">
        <v>55</v>
      </c>
      <c r="E13" s="10">
        <v>234</v>
      </c>
      <c r="F13" s="10" t="s">
        <v>34</v>
      </c>
      <c r="G13" s="10">
        <v>29.7</v>
      </c>
      <c r="H13" s="10">
        <v>63.6</v>
      </c>
      <c r="I13" s="10" t="s">
        <v>20</v>
      </c>
      <c r="J13" s="10">
        <v>13</v>
      </c>
      <c r="K13" s="10">
        <v>406</v>
      </c>
      <c r="L13" s="10">
        <v>10</v>
      </c>
      <c r="M13" s="10" t="s">
        <v>35</v>
      </c>
      <c r="N13" s="10">
        <v>85.5</v>
      </c>
      <c r="O13" s="10">
        <v>238</v>
      </c>
      <c r="P13" s="10">
        <v>0</v>
      </c>
      <c r="Q13" s="10" t="str">
        <f>+IF(Tabla2[[#This Row],[Demand_Forecast]]&lt;= 125,"Low demand",IF(Tabla2[[#This Row],[Demand_Forecast]] &gt;=285,"High demand","Mid demand"))</f>
        <v>Mid demand</v>
      </c>
    </row>
    <row r="14" spans="1:18" x14ac:dyDescent="0.25">
      <c r="A14" s="11">
        <v>45339.885208333333</v>
      </c>
      <c r="B14" s="10" t="s">
        <v>56</v>
      </c>
      <c r="C14" s="10" t="s">
        <v>57</v>
      </c>
      <c r="D14" s="10" t="s">
        <v>58</v>
      </c>
      <c r="E14" s="10">
        <v>154</v>
      </c>
      <c r="F14" s="10" t="s">
        <v>25</v>
      </c>
      <c r="G14" s="10">
        <v>21.5</v>
      </c>
      <c r="H14" s="10">
        <v>74.2</v>
      </c>
      <c r="I14" s="10" t="s">
        <v>20</v>
      </c>
      <c r="J14" s="10">
        <v>38</v>
      </c>
      <c r="K14" s="10">
        <v>215</v>
      </c>
      <c r="L14" s="10">
        <v>3</v>
      </c>
      <c r="M14" s="10" t="s">
        <v>27</v>
      </c>
      <c r="N14" s="10">
        <v>84.4</v>
      </c>
      <c r="O14" s="10">
        <v>114</v>
      </c>
      <c r="P14" s="10">
        <v>0</v>
      </c>
      <c r="Q14" s="10" t="str">
        <f>+IF(Tabla2[[#This Row],[Demand_Forecast]]&lt;= 125,"Low demand",IF(Tabla2[[#This Row],[Demand_Forecast]] &gt;=285,"High demand","Mid demand"))</f>
        <v>Low demand</v>
      </c>
    </row>
    <row r="15" spans="1:18" x14ac:dyDescent="0.25">
      <c r="A15" s="11">
        <v>45355.281134259261</v>
      </c>
      <c r="B15" s="10" t="s">
        <v>48</v>
      </c>
      <c r="C15" s="10" t="s">
        <v>59</v>
      </c>
      <c r="D15" s="10" t="s">
        <v>60</v>
      </c>
      <c r="E15" s="10">
        <v>348</v>
      </c>
      <c r="F15" s="10" t="s">
        <v>34</v>
      </c>
      <c r="G15" s="10">
        <v>27.3</v>
      </c>
      <c r="H15" s="10">
        <v>71.599999999999994</v>
      </c>
      <c r="I15" s="10" t="s">
        <v>20</v>
      </c>
      <c r="J15" s="10">
        <v>30</v>
      </c>
      <c r="K15" s="10">
        <v>211</v>
      </c>
      <c r="L15" s="10">
        <v>2</v>
      </c>
      <c r="M15" s="10" t="s">
        <v>21</v>
      </c>
      <c r="N15" s="10">
        <v>96.4</v>
      </c>
      <c r="O15" s="10">
        <v>115</v>
      </c>
      <c r="P15" s="10">
        <v>0</v>
      </c>
      <c r="Q15" s="10" t="str">
        <f>+IF(Tabla2[[#This Row],[Demand_Forecast]]&lt;= 125,"Low demand",IF(Tabla2[[#This Row],[Demand_Forecast]] &gt;=285,"High demand","Mid demand"))</f>
        <v>Low demand</v>
      </c>
    </row>
    <row r="16" spans="1:18" x14ac:dyDescent="0.25">
      <c r="A16" s="11">
        <v>45532.513356481482</v>
      </c>
      <c r="B16" s="10" t="s">
        <v>61</v>
      </c>
      <c r="C16" s="10" t="s">
        <v>62</v>
      </c>
      <c r="D16" s="10" t="s">
        <v>63</v>
      </c>
      <c r="E16" s="10">
        <v>163</v>
      </c>
      <c r="F16" s="10" t="s">
        <v>25</v>
      </c>
      <c r="G16" s="10">
        <v>25.1</v>
      </c>
      <c r="H16" s="10">
        <v>76.8</v>
      </c>
      <c r="I16" s="10" t="s">
        <v>26</v>
      </c>
      <c r="J16" s="10">
        <v>54</v>
      </c>
      <c r="K16" s="10">
        <v>320</v>
      </c>
      <c r="L16" s="10">
        <v>5</v>
      </c>
      <c r="M16" s="10" t="s">
        <v>27</v>
      </c>
      <c r="N16" s="10">
        <v>93.2</v>
      </c>
      <c r="O16" s="10">
        <v>231</v>
      </c>
      <c r="P16" s="10">
        <v>1</v>
      </c>
      <c r="Q16" s="10" t="str">
        <f>+IF(Tabla2[[#This Row],[Demand_Forecast]]&lt;= 125,"Low demand",IF(Tabla2[[#This Row],[Demand_Forecast]] &gt;=285,"High demand","Mid demand"))</f>
        <v>Mid demand</v>
      </c>
    </row>
    <row r="17" spans="1:17" x14ac:dyDescent="0.25">
      <c r="A17" s="11">
        <v>45295.953275462962</v>
      </c>
      <c r="B17" s="10" t="s">
        <v>64</v>
      </c>
      <c r="C17" s="10" t="s">
        <v>65</v>
      </c>
      <c r="D17" s="10" t="s">
        <v>66</v>
      </c>
      <c r="E17" s="10">
        <v>130</v>
      </c>
      <c r="F17" s="10" t="s">
        <v>19</v>
      </c>
      <c r="G17" s="10">
        <v>23.7</v>
      </c>
      <c r="H17" s="10">
        <v>68.099999999999994</v>
      </c>
      <c r="I17" s="10" t="s">
        <v>38</v>
      </c>
      <c r="J17" s="10">
        <v>45</v>
      </c>
      <c r="K17" s="10">
        <v>487</v>
      </c>
      <c r="L17" s="10">
        <v>4</v>
      </c>
      <c r="M17" s="10" t="s">
        <v>35</v>
      </c>
      <c r="N17" s="10">
        <v>84.1</v>
      </c>
      <c r="O17" s="10">
        <v>256</v>
      </c>
      <c r="P17" s="10">
        <v>1</v>
      </c>
      <c r="Q17" s="10" t="str">
        <f>+IF(Tabla2[[#This Row],[Demand_Forecast]]&lt;= 125,"Low demand",IF(Tabla2[[#This Row],[Demand_Forecast]] &gt;=285,"High demand","Mid demand"))</f>
        <v>Mid demand</v>
      </c>
    </row>
    <row r="18" spans="1:17" x14ac:dyDescent="0.25">
      <c r="A18" s="11">
        <v>45595.744479166664</v>
      </c>
      <c r="B18" s="10" t="s">
        <v>41</v>
      </c>
      <c r="C18" s="10" t="s">
        <v>67</v>
      </c>
      <c r="D18" s="10" t="s">
        <v>68</v>
      </c>
      <c r="E18" s="10">
        <v>391</v>
      </c>
      <c r="F18" s="10" t="s">
        <v>19</v>
      </c>
      <c r="G18" s="10">
        <v>21.6</v>
      </c>
      <c r="H18" s="10">
        <v>72.5</v>
      </c>
      <c r="I18" s="10" t="s">
        <v>38</v>
      </c>
      <c r="J18" s="10">
        <v>58</v>
      </c>
      <c r="K18" s="10">
        <v>298</v>
      </c>
      <c r="L18" s="10">
        <v>7</v>
      </c>
      <c r="M18" s="10" t="s">
        <v>35</v>
      </c>
      <c r="N18" s="10">
        <v>61.5</v>
      </c>
      <c r="O18" s="10">
        <v>170</v>
      </c>
      <c r="P18" s="10">
        <v>1</v>
      </c>
      <c r="Q18" s="10" t="str">
        <f>+IF(Tabla2[[#This Row],[Demand_Forecast]]&lt;= 125,"Low demand",IF(Tabla2[[#This Row],[Demand_Forecast]] &gt;=285,"High demand","Mid demand"))</f>
        <v>Mid demand</v>
      </c>
    </row>
    <row r="19" spans="1:17" x14ac:dyDescent="0.25">
      <c r="A19" s="11">
        <v>45488.654189814813</v>
      </c>
      <c r="B19" s="10" t="s">
        <v>16</v>
      </c>
      <c r="C19" s="10" t="s">
        <v>69</v>
      </c>
      <c r="D19" s="10" t="s">
        <v>70</v>
      </c>
      <c r="E19" s="10">
        <v>344</v>
      </c>
      <c r="F19" s="10" t="s">
        <v>19</v>
      </c>
      <c r="G19" s="10">
        <v>21.4</v>
      </c>
      <c r="H19" s="10">
        <v>53.5</v>
      </c>
      <c r="I19" s="10" t="s">
        <v>20</v>
      </c>
      <c r="J19" s="10">
        <v>23</v>
      </c>
      <c r="K19" s="10">
        <v>461</v>
      </c>
      <c r="L19" s="10">
        <v>9</v>
      </c>
      <c r="M19" s="10" t="s">
        <v>21</v>
      </c>
      <c r="N19" s="10">
        <v>93.4</v>
      </c>
      <c r="O19" s="10">
        <v>106</v>
      </c>
      <c r="P19" s="10">
        <v>1</v>
      </c>
      <c r="Q19" s="10" t="str">
        <f>+IF(Tabla2[[#This Row],[Demand_Forecast]]&lt;= 125,"Low demand",IF(Tabla2[[#This Row],[Demand_Forecast]] &gt;=285,"High demand","Mid demand"))</f>
        <v>Low demand</v>
      </c>
    </row>
    <row r="20" spans="1:17" x14ac:dyDescent="0.25">
      <c r="A20" s="11">
        <v>45310.279513888891</v>
      </c>
      <c r="B20" s="10" t="s">
        <v>64</v>
      </c>
      <c r="C20" s="10" t="s">
        <v>71</v>
      </c>
      <c r="D20" s="10" t="s">
        <v>72</v>
      </c>
      <c r="E20" s="10">
        <v>409</v>
      </c>
      <c r="F20" s="10" t="s">
        <v>19</v>
      </c>
      <c r="G20" s="10">
        <v>27.5</v>
      </c>
      <c r="H20" s="10">
        <v>66.599999999999994</v>
      </c>
      <c r="I20" s="10" t="s">
        <v>20</v>
      </c>
      <c r="J20" s="10">
        <v>29</v>
      </c>
      <c r="K20" s="10">
        <v>492</v>
      </c>
      <c r="L20" s="10">
        <v>3</v>
      </c>
      <c r="M20" s="10" t="s">
        <v>21</v>
      </c>
      <c r="N20" s="10">
        <v>72.599999999999994</v>
      </c>
      <c r="O20" s="10">
        <v>204</v>
      </c>
      <c r="P20" s="10">
        <v>1</v>
      </c>
      <c r="Q20" s="10" t="str">
        <f>+IF(Tabla2[[#This Row],[Demand_Forecast]]&lt;= 125,"Low demand",IF(Tabla2[[#This Row],[Demand_Forecast]] &gt;=285,"High demand","Mid demand"))</f>
        <v>Mid demand</v>
      </c>
    </row>
    <row r="21" spans="1:17" x14ac:dyDescent="0.25">
      <c r="A21" s="11">
        <v>45410.891365740739</v>
      </c>
      <c r="B21" s="10" t="s">
        <v>28</v>
      </c>
      <c r="C21" s="10" t="s">
        <v>73</v>
      </c>
      <c r="D21" s="10" t="s">
        <v>74</v>
      </c>
      <c r="E21" s="10">
        <v>457</v>
      </c>
      <c r="F21" s="10" t="s">
        <v>25</v>
      </c>
      <c r="G21" s="10">
        <v>25.5</v>
      </c>
      <c r="H21" s="10">
        <v>75.900000000000006</v>
      </c>
      <c r="I21" s="10" t="s">
        <v>38</v>
      </c>
      <c r="J21" s="10">
        <v>21</v>
      </c>
      <c r="K21" s="10">
        <v>315</v>
      </c>
      <c r="L21" s="10">
        <v>3</v>
      </c>
      <c r="M21" s="10" t="s">
        <v>35</v>
      </c>
      <c r="N21" s="10">
        <v>83.4</v>
      </c>
      <c r="O21" s="10">
        <v>248</v>
      </c>
      <c r="P21" s="10">
        <v>0</v>
      </c>
      <c r="Q21" s="10" t="str">
        <f>+IF(Tabla2[[#This Row],[Demand_Forecast]]&lt;= 125,"Low demand",IF(Tabla2[[#This Row],[Demand_Forecast]] &gt;=285,"High demand","Mid demand"))</f>
        <v>Mid demand</v>
      </c>
    </row>
    <row r="22" spans="1:17" x14ac:dyDescent="0.25">
      <c r="A22" s="11">
        <v>45357.833634259259</v>
      </c>
      <c r="B22" s="10" t="s">
        <v>64</v>
      </c>
      <c r="C22" s="10" t="s">
        <v>75</v>
      </c>
      <c r="D22" s="10" t="s">
        <v>76</v>
      </c>
      <c r="E22" s="10">
        <v>207</v>
      </c>
      <c r="F22" s="10" t="s">
        <v>34</v>
      </c>
      <c r="G22" s="10">
        <v>29.3</v>
      </c>
      <c r="H22" s="10">
        <v>59.4</v>
      </c>
      <c r="I22" s="10" t="s">
        <v>20</v>
      </c>
      <c r="J22" s="10">
        <v>31</v>
      </c>
      <c r="K22" s="10">
        <v>174</v>
      </c>
      <c r="L22" s="10">
        <v>5</v>
      </c>
      <c r="M22" s="10" t="s">
        <v>51</v>
      </c>
      <c r="N22" s="10">
        <v>65.900000000000006</v>
      </c>
      <c r="O22" s="10">
        <v>195</v>
      </c>
      <c r="P22" s="10">
        <v>0</v>
      </c>
      <c r="Q22" s="10" t="str">
        <f>+IF(Tabla2[[#This Row],[Demand_Forecast]]&lt;= 125,"Low demand",IF(Tabla2[[#This Row],[Demand_Forecast]] &gt;=285,"High demand","Mid demand"))</f>
        <v>Mid demand</v>
      </c>
    </row>
    <row r="23" spans="1:17" x14ac:dyDescent="0.25">
      <c r="A23" s="11">
        <v>45616.693136574075</v>
      </c>
      <c r="B23" s="10" t="s">
        <v>56</v>
      </c>
      <c r="C23" s="10" t="s">
        <v>77</v>
      </c>
      <c r="D23" s="10" t="s">
        <v>78</v>
      </c>
      <c r="E23" s="10">
        <v>155</v>
      </c>
      <c r="F23" s="10" t="s">
        <v>34</v>
      </c>
      <c r="G23" s="10">
        <v>19.399999999999999</v>
      </c>
      <c r="H23" s="10">
        <v>53.2</v>
      </c>
      <c r="I23" s="10" t="s">
        <v>26</v>
      </c>
      <c r="J23" s="10">
        <v>20</v>
      </c>
      <c r="K23" s="10">
        <v>152</v>
      </c>
      <c r="L23" s="10">
        <v>1</v>
      </c>
      <c r="M23" s="10" t="s">
        <v>51</v>
      </c>
      <c r="N23" s="10">
        <v>99.3</v>
      </c>
      <c r="O23" s="10">
        <v>235</v>
      </c>
      <c r="P23" s="10">
        <v>1</v>
      </c>
      <c r="Q23" s="10" t="str">
        <f>+IF(Tabla2[[#This Row],[Demand_Forecast]]&lt;= 125,"Low demand",IF(Tabla2[[#This Row],[Demand_Forecast]] &gt;=285,"High demand","Mid demand"))</f>
        <v>Mid demand</v>
      </c>
    </row>
    <row r="24" spans="1:17" x14ac:dyDescent="0.25">
      <c r="A24" s="11">
        <v>45298.384351851855</v>
      </c>
      <c r="B24" s="10" t="s">
        <v>22</v>
      </c>
      <c r="C24" s="10" t="s">
        <v>79</v>
      </c>
      <c r="D24" s="10" t="s">
        <v>80</v>
      </c>
      <c r="E24" s="10">
        <v>314</v>
      </c>
      <c r="F24" s="10" t="s">
        <v>34</v>
      </c>
      <c r="G24" s="10">
        <v>19.899999999999999</v>
      </c>
      <c r="H24" s="10">
        <v>64.8</v>
      </c>
      <c r="I24" s="10" t="s">
        <v>20</v>
      </c>
      <c r="J24" s="10">
        <v>57</v>
      </c>
      <c r="K24" s="10">
        <v>396</v>
      </c>
      <c r="L24" s="10">
        <v>10</v>
      </c>
      <c r="M24" s="10" t="s">
        <v>27</v>
      </c>
      <c r="N24" s="10">
        <v>78.599999999999994</v>
      </c>
      <c r="O24" s="10">
        <v>135</v>
      </c>
      <c r="P24" s="10">
        <v>0</v>
      </c>
      <c r="Q24" s="10" t="str">
        <f>+IF(Tabla2[[#This Row],[Demand_Forecast]]&lt;= 125,"Low demand",IF(Tabla2[[#This Row],[Demand_Forecast]] &gt;=285,"High demand","Mid demand"))</f>
        <v>Mid demand</v>
      </c>
    </row>
    <row r="25" spans="1:17" x14ac:dyDescent="0.25">
      <c r="A25" s="11">
        <v>45560.633472222224</v>
      </c>
      <c r="B25" s="10" t="s">
        <v>28</v>
      </c>
      <c r="C25" s="10" t="s">
        <v>81</v>
      </c>
      <c r="D25" s="10" t="s">
        <v>82</v>
      </c>
      <c r="E25" s="10">
        <v>156</v>
      </c>
      <c r="F25" s="10" t="s">
        <v>25</v>
      </c>
      <c r="G25" s="10">
        <v>27.2</v>
      </c>
      <c r="H25" s="10">
        <v>74.400000000000006</v>
      </c>
      <c r="I25" s="10" t="s">
        <v>38</v>
      </c>
      <c r="J25" s="10">
        <v>35</v>
      </c>
      <c r="K25" s="10">
        <v>354</v>
      </c>
      <c r="L25" s="10">
        <v>2</v>
      </c>
      <c r="M25" s="10" t="s">
        <v>27</v>
      </c>
      <c r="N25" s="10">
        <v>63.1</v>
      </c>
      <c r="O25" s="10">
        <v>282</v>
      </c>
      <c r="P25" s="10">
        <v>0</v>
      </c>
      <c r="Q25" s="10" t="str">
        <f>+IF(Tabla2[[#This Row],[Demand_Forecast]]&lt;= 125,"Low demand",IF(Tabla2[[#This Row],[Demand_Forecast]] &gt;=285,"High demand","Mid demand"))</f>
        <v>Mid demand</v>
      </c>
    </row>
    <row r="26" spans="1:17" x14ac:dyDescent="0.25">
      <c r="A26" s="11">
        <v>45333.562708333331</v>
      </c>
      <c r="B26" s="10" t="s">
        <v>48</v>
      </c>
      <c r="C26" s="10" t="s">
        <v>83</v>
      </c>
      <c r="D26" s="10" t="s">
        <v>84</v>
      </c>
      <c r="E26" s="10">
        <v>119</v>
      </c>
      <c r="F26" s="10" t="s">
        <v>25</v>
      </c>
      <c r="G26" s="10">
        <v>28.1</v>
      </c>
      <c r="H26" s="10">
        <v>72.400000000000006</v>
      </c>
      <c r="I26" s="10" t="s">
        <v>20</v>
      </c>
      <c r="J26" s="10">
        <v>41</v>
      </c>
      <c r="K26" s="10">
        <v>176</v>
      </c>
      <c r="L26" s="10">
        <v>2</v>
      </c>
      <c r="M26" s="10" t="s">
        <v>21</v>
      </c>
      <c r="N26" s="10">
        <v>60.9</v>
      </c>
      <c r="O26" s="10">
        <v>238</v>
      </c>
      <c r="P26" s="10">
        <v>0</v>
      </c>
      <c r="Q26" s="10" t="str">
        <f>+IF(Tabla2[[#This Row],[Demand_Forecast]]&lt;= 125,"Low demand",IF(Tabla2[[#This Row],[Demand_Forecast]] &gt;=285,"High demand","Mid demand"))</f>
        <v>Mid demand</v>
      </c>
    </row>
    <row r="27" spans="1:17" x14ac:dyDescent="0.25">
      <c r="A27" s="11">
        <v>45616.473761574074</v>
      </c>
      <c r="B27" s="10" t="s">
        <v>61</v>
      </c>
      <c r="C27" s="10" t="s">
        <v>85</v>
      </c>
      <c r="D27" s="10" t="s">
        <v>86</v>
      </c>
      <c r="E27" s="10">
        <v>112</v>
      </c>
      <c r="F27" s="10" t="s">
        <v>25</v>
      </c>
      <c r="G27" s="10">
        <v>19.7</v>
      </c>
      <c r="H27" s="10">
        <v>76.599999999999994</v>
      </c>
      <c r="I27" s="10" t="s">
        <v>20</v>
      </c>
      <c r="J27" s="10">
        <v>22</v>
      </c>
      <c r="K27" s="10">
        <v>121</v>
      </c>
      <c r="L27" s="10">
        <v>3</v>
      </c>
      <c r="M27" s="10" t="s">
        <v>35</v>
      </c>
      <c r="N27" s="10">
        <v>80.900000000000006</v>
      </c>
      <c r="O27" s="10">
        <v>262</v>
      </c>
      <c r="P27" s="10">
        <v>0</v>
      </c>
      <c r="Q27" s="10" t="str">
        <f>+IF(Tabla2[[#This Row],[Demand_Forecast]]&lt;= 125,"Low demand",IF(Tabla2[[#This Row],[Demand_Forecast]] &gt;=285,"High demand","Mid demand"))</f>
        <v>Mid demand</v>
      </c>
    </row>
    <row r="28" spans="1:17" x14ac:dyDescent="0.25">
      <c r="A28" s="11">
        <v>45468.101678240739</v>
      </c>
      <c r="B28" s="10" t="s">
        <v>61</v>
      </c>
      <c r="C28" s="10" t="s">
        <v>87</v>
      </c>
      <c r="D28" s="10" t="s">
        <v>88</v>
      </c>
      <c r="E28" s="10">
        <v>435</v>
      </c>
      <c r="F28" s="10" t="s">
        <v>34</v>
      </c>
      <c r="G28" s="10">
        <v>25.8</v>
      </c>
      <c r="H28" s="10">
        <v>78.599999999999994</v>
      </c>
      <c r="I28" s="10" t="s">
        <v>26</v>
      </c>
      <c r="J28" s="10">
        <v>22</v>
      </c>
      <c r="K28" s="10">
        <v>220</v>
      </c>
      <c r="L28" s="10">
        <v>7</v>
      </c>
      <c r="M28" s="10" t="s">
        <v>35</v>
      </c>
      <c r="N28" s="10">
        <v>90.8</v>
      </c>
      <c r="O28" s="10">
        <v>101</v>
      </c>
      <c r="P28" s="10">
        <v>1</v>
      </c>
      <c r="Q28" s="10" t="str">
        <f>+IF(Tabla2[[#This Row],[Demand_Forecast]]&lt;= 125,"Low demand",IF(Tabla2[[#This Row],[Demand_Forecast]] &gt;=285,"High demand","Mid demand"))</f>
        <v>Low demand</v>
      </c>
    </row>
    <row r="29" spans="1:17" x14ac:dyDescent="0.25">
      <c r="A29" s="11">
        <v>45468.000833333332</v>
      </c>
      <c r="B29" s="10" t="s">
        <v>31</v>
      </c>
      <c r="C29" s="10" t="s">
        <v>89</v>
      </c>
      <c r="D29" s="10" t="s">
        <v>90</v>
      </c>
      <c r="E29" s="10">
        <v>422</v>
      </c>
      <c r="F29" s="10" t="s">
        <v>34</v>
      </c>
      <c r="G29" s="10">
        <v>20</v>
      </c>
      <c r="H29" s="10">
        <v>62.9</v>
      </c>
      <c r="I29" s="10" t="s">
        <v>26</v>
      </c>
      <c r="J29" s="10">
        <v>14</v>
      </c>
      <c r="K29" s="10">
        <v>184</v>
      </c>
      <c r="L29" s="10">
        <v>9</v>
      </c>
      <c r="M29" s="10" t="s">
        <v>35</v>
      </c>
      <c r="N29" s="10">
        <v>64</v>
      </c>
      <c r="O29" s="10">
        <v>248</v>
      </c>
      <c r="P29" s="10">
        <v>1</v>
      </c>
      <c r="Q29" s="10" t="str">
        <f>+IF(Tabla2[[#This Row],[Demand_Forecast]]&lt;= 125,"Low demand",IF(Tabla2[[#This Row],[Demand_Forecast]] &gt;=285,"High demand","Mid demand"))</f>
        <v>Mid demand</v>
      </c>
    </row>
    <row r="30" spans="1:17" x14ac:dyDescent="0.25">
      <c r="A30" s="11">
        <v>45414.106898148151</v>
      </c>
      <c r="B30" s="10" t="s">
        <v>41</v>
      </c>
      <c r="C30" s="10" t="s">
        <v>91</v>
      </c>
      <c r="D30" s="10" t="s">
        <v>92</v>
      </c>
      <c r="E30" s="10">
        <v>353</v>
      </c>
      <c r="F30" s="10" t="s">
        <v>25</v>
      </c>
      <c r="G30" s="10">
        <v>20.5</v>
      </c>
      <c r="H30" s="10">
        <v>52</v>
      </c>
      <c r="I30" s="10" t="s">
        <v>26</v>
      </c>
      <c r="J30" s="10">
        <v>26</v>
      </c>
      <c r="K30" s="10">
        <v>392</v>
      </c>
      <c r="L30" s="10">
        <v>7</v>
      </c>
      <c r="M30" s="10" t="s">
        <v>35</v>
      </c>
      <c r="N30" s="10">
        <v>76.400000000000006</v>
      </c>
      <c r="O30" s="10">
        <v>155</v>
      </c>
      <c r="P30" s="10">
        <v>1</v>
      </c>
      <c r="Q30" s="10" t="str">
        <f>+IF(Tabla2[[#This Row],[Demand_Forecast]]&lt;= 125,"Low demand",IF(Tabla2[[#This Row],[Demand_Forecast]] &gt;=285,"High demand","Mid demand"))</f>
        <v>Mid demand</v>
      </c>
    </row>
    <row r="31" spans="1:17" x14ac:dyDescent="0.25">
      <c r="A31" s="11">
        <v>45514.003240740742</v>
      </c>
      <c r="B31" s="10" t="s">
        <v>56</v>
      </c>
      <c r="C31" s="10" t="s">
        <v>93</v>
      </c>
      <c r="D31" s="10" t="s">
        <v>94</v>
      </c>
      <c r="E31" s="10">
        <v>299</v>
      </c>
      <c r="F31" s="10" t="s">
        <v>19</v>
      </c>
      <c r="G31" s="10">
        <v>23.9</v>
      </c>
      <c r="H31" s="10">
        <v>50.1</v>
      </c>
      <c r="I31" s="10" t="s">
        <v>26</v>
      </c>
      <c r="J31" s="10">
        <v>17</v>
      </c>
      <c r="K31" s="10">
        <v>315</v>
      </c>
      <c r="L31" s="10">
        <v>6</v>
      </c>
      <c r="M31" s="10" t="s">
        <v>21</v>
      </c>
      <c r="N31" s="10">
        <v>88.3</v>
      </c>
      <c r="O31" s="10">
        <v>252</v>
      </c>
      <c r="P31" s="10">
        <v>1</v>
      </c>
      <c r="Q31" s="10" t="str">
        <f>+IF(Tabla2[[#This Row],[Demand_Forecast]]&lt;= 125,"Low demand",IF(Tabla2[[#This Row],[Demand_Forecast]] &gt;=285,"High demand","Mid demand"))</f>
        <v>Mid demand</v>
      </c>
    </row>
    <row r="32" spans="1:17" x14ac:dyDescent="0.25">
      <c r="A32" s="11">
        <v>45425.139131944445</v>
      </c>
      <c r="B32" s="10" t="s">
        <v>95</v>
      </c>
      <c r="C32" s="10" t="s">
        <v>96</v>
      </c>
      <c r="D32" s="10" t="s">
        <v>97</v>
      </c>
      <c r="E32" s="10">
        <v>261</v>
      </c>
      <c r="F32" s="10" t="s">
        <v>19</v>
      </c>
      <c r="G32" s="10">
        <v>22.5</v>
      </c>
      <c r="H32" s="10">
        <v>78.400000000000006</v>
      </c>
      <c r="I32" s="10" t="s">
        <v>38</v>
      </c>
      <c r="J32" s="10">
        <v>41</v>
      </c>
      <c r="K32" s="10">
        <v>209</v>
      </c>
      <c r="L32" s="10">
        <v>6</v>
      </c>
      <c r="M32" s="10" t="s">
        <v>51</v>
      </c>
      <c r="N32" s="10">
        <v>71.8</v>
      </c>
      <c r="O32" s="10">
        <v>240</v>
      </c>
      <c r="P32" s="10">
        <v>1</v>
      </c>
      <c r="Q32" s="10" t="str">
        <f>+IF(Tabla2[[#This Row],[Demand_Forecast]]&lt;= 125,"Low demand",IF(Tabla2[[#This Row],[Demand_Forecast]] &gt;=285,"High demand","Mid demand"))</f>
        <v>Mid demand</v>
      </c>
    </row>
    <row r="33" spans="1:17" x14ac:dyDescent="0.25">
      <c r="A33" s="11">
        <v>45628.356099537035</v>
      </c>
      <c r="B33" s="10" t="s">
        <v>56</v>
      </c>
      <c r="C33" s="10" t="s">
        <v>98</v>
      </c>
      <c r="D33" s="10" t="s">
        <v>99</v>
      </c>
      <c r="E33" s="10">
        <v>425</v>
      </c>
      <c r="F33" s="10" t="s">
        <v>19</v>
      </c>
      <c r="G33" s="10">
        <v>19.3</v>
      </c>
      <c r="H33" s="10">
        <v>51.1</v>
      </c>
      <c r="I33" s="10" t="s">
        <v>26</v>
      </c>
      <c r="J33" s="10">
        <v>39</v>
      </c>
      <c r="K33" s="10">
        <v>235</v>
      </c>
      <c r="L33" s="10">
        <v>9</v>
      </c>
      <c r="M33" s="10" t="s">
        <v>51</v>
      </c>
      <c r="N33" s="10">
        <v>88.3</v>
      </c>
      <c r="O33" s="10">
        <v>242</v>
      </c>
      <c r="P33" s="10">
        <v>1</v>
      </c>
      <c r="Q33" s="10" t="str">
        <f>+IF(Tabla2[[#This Row],[Demand_Forecast]]&lt;= 125,"Low demand",IF(Tabla2[[#This Row],[Demand_Forecast]] &gt;=285,"High demand","Mid demand"))</f>
        <v>Mid demand</v>
      </c>
    </row>
    <row r="34" spans="1:17" x14ac:dyDescent="0.25">
      <c r="A34" s="11">
        <v>45334.266284722224</v>
      </c>
      <c r="B34" s="10" t="s">
        <v>16</v>
      </c>
      <c r="C34" s="10" t="s">
        <v>100</v>
      </c>
      <c r="D34" s="10" t="s">
        <v>101</v>
      </c>
      <c r="E34" s="10">
        <v>369</v>
      </c>
      <c r="F34" s="10" t="s">
        <v>34</v>
      </c>
      <c r="G34" s="10">
        <v>26.3</v>
      </c>
      <c r="H34" s="10">
        <v>52.1</v>
      </c>
      <c r="I34" s="10" t="s">
        <v>20</v>
      </c>
      <c r="J34" s="10">
        <v>48</v>
      </c>
      <c r="K34" s="10">
        <v>104</v>
      </c>
      <c r="L34" s="10">
        <v>7</v>
      </c>
      <c r="M34" s="10" t="s">
        <v>21</v>
      </c>
      <c r="N34" s="10">
        <v>66.7</v>
      </c>
      <c r="O34" s="10">
        <v>220</v>
      </c>
      <c r="P34" s="10">
        <v>0</v>
      </c>
      <c r="Q34" s="10" t="str">
        <f>+IF(Tabla2[[#This Row],[Demand_Forecast]]&lt;= 125,"Low demand",IF(Tabla2[[#This Row],[Demand_Forecast]] &gt;=285,"High demand","Mid demand"))</f>
        <v>Mid demand</v>
      </c>
    </row>
    <row r="35" spans="1:17" x14ac:dyDescent="0.25">
      <c r="A35" s="11">
        <v>45406.262060185189</v>
      </c>
      <c r="B35" s="10" t="s">
        <v>28</v>
      </c>
      <c r="C35" s="10" t="s">
        <v>102</v>
      </c>
      <c r="D35" s="10" t="s">
        <v>103</v>
      </c>
      <c r="E35" s="10">
        <v>223</v>
      </c>
      <c r="F35" s="10" t="s">
        <v>19</v>
      </c>
      <c r="G35" s="10">
        <v>24</v>
      </c>
      <c r="H35" s="10">
        <v>60.2</v>
      </c>
      <c r="I35" s="10" t="s">
        <v>26</v>
      </c>
      <c r="J35" s="10">
        <v>45</v>
      </c>
      <c r="K35" s="10">
        <v>292</v>
      </c>
      <c r="L35" s="10">
        <v>6</v>
      </c>
      <c r="M35" s="10" t="s">
        <v>27</v>
      </c>
      <c r="N35" s="10">
        <v>78.400000000000006</v>
      </c>
      <c r="O35" s="10">
        <v>205</v>
      </c>
      <c r="P35" s="10">
        <v>1</v>
      </c>
      <c r="Q35" s="10" t="str">
        <f>+IF(Tabla2[[#This Row],[Demand_Forecast]]&lt;= 125,"Low demand",IF(Tabla2[[#This Row],[Demand_Forecast]] &gt;=285,"High demand","Mid demand"))</f>
        <v>Mid demand</v>
      </c>
    </row>
    <row r="36" spans="1:17" x14ac:dyDescent="0.25">
      <c r="A36" s="11">
        <v>45632.795289351852</v>
      </c>
      <c r="B36" s="10" t="s">
        <v>48</v>
      </c>
      <c r="C36" s="10" t="s">
        <v>104</v>
      </c>
      <c r="D36" s="10" t="s">
        <v>105</v>
      </c>
      <c r="E36" s="10">
        <v>200</v>
      </c>
      <c r="F36" s="10" t="s">
        <v>34</v>
      </c>
      <c r="G36" s="10">
        <v>28.1</v>
      </c>
      <c r="H36" s="10">
        <v>72.099999999999994</v>
      </c>
      <c r="I36" s="10" t="s">
        <v>20</v>
      </c>
      <c r="J36" s="10">
        <v>28</v>
      </c>
      <c r="K36" s="10">
        <v>129</v>
      </c>
      <c r="L36" s="10">
        <v>9</v>
      </c>
      <c r="M36" s="10" t="s">
        <v>21</v>
      </c>
      <c r="N36" s="10">
        <v>74.3</v>
      </c>
      <c r="O36" s="10">
        <v>134</v>
      </c>
      <c r="P36" s="10">
        <v>0</v>
      </c>
      <c r="Q36" s="10" t="str">
        <f>+IF(Tabla2[[#This Row],[Demand_Forecast]]&lt;= 125,"Low demand",IF(Tabla2[[#This Row],[Demand_Forecast]] &gt;=285,"High demand","Mid demand"))</f>
        <v>Mid demand</v>
      </c>
    </row>
    <row r="37" spans="1:17" x14ac:dyDescent="0.25">
      <c r="A37" s="11">
        <v>45412.495335648149</v>
      </c>
      <c r="B37" s="10" t="s">
        <v>31</v>
      </c>
      <c r="C37" s="10" t="s">
        <v>106</v>
      </c>
      <c r="D37" s="10" t="s">
        <v>107</v>
      </c>
      <c r="E37" s="10">
        <v>466</v>
      </c>
      <c r="F37" s="10" t="s">
        <v>25</v>
      </c>
      <c r="G37" s="10">
        <v>26.1</v>
      </c>
      <c r="H37" s="10">
        <v>72.099999999999994</v>
      </c>
      <c r="I37" s="10" t="s">
        <v>20</v>
      </c>
      <c r="J37" s="10">
        <v>54</v>
      </c>
      <c r="K37" s="10">
        <v>475</v>
      </c>
      <c r="L37" s="10">
        <v>9</v>
      </c>
      <c r="M37" s="10" t="s">
        <v>51</v>
      </c>
      <c r="N37" s="10">
        <v>83.4</v>
      </c>
      <c r="O37" s="10">
        <v>222</v>
      </c>
      <c r="P37" s="10">
        <v>0</v>
      </c>
      <c r="Q37" s="10" t="str">
        <f>+IF(Tabla2[[#This Row],[Demand_Forecast]]&lt;= 125,"Low demand",IF(Tabla2[[#This Row],[Demand_Forecast]] &gt;=285,"High demand","Mid demand"))</f>
        <v>Mid demand</v>
      </c>
    </row>
    <row r="38" spans="1:17" x14ac:dyDescent="0.25">
      <c r="A38" s="11">
        <v>45554.954062500001</v>
      </c>
      <c r="B38" s="10" t="s">
        <v>56</v>
      </c>
      <c r="C38" s="10" t="s">
        <v>108</v>
      </c>
      <c r="D38" s="10" t="s">
        <v>109</v>
      </c>
      <c r="E38" s="10">
        <v>474</v>
      </c>
      <c r="F38" s="10" t="s">
        <v>25</v>
      </c>
      <c r="G38" s="10">
        <v>27.7</v>
      </c>
      <c r="H38" s="10">
        <v>71.2</v>
      </c>
      <c r="I38" s="10" t="s">
        <v>26</v>
      </c>
      <c r="J38" s="10">
        <v>50</v>
      </c>
      <c r="K38" s="10">
        <v>311</v>
      </c>
      <c r="L38" s="10">
        <v>3</v>
      </c>
      <c r="M38" s="10" t="s">
        <v>51</v>
      </c>
      <c r="N38" s="10">
        <v>91.6</v>
      </c>
      <c r="O38" s="10">
        <v>266</v>
      </c>
      <c r="P38" s="10">
        <v>1</v>
      </c>
      <c r="Q38" s="10" t="str">
        <f>+IF(Tabla2[[#This Row],[Demand_Forecast]]&lt;= 125,"Low demand",IF(Tabla2[[#This Row],[Demand_Forecast]] &gt;=285,"High demand","Mid demand"))</f>
        <v>Mid demand</v>
      </c>
    </row>
    <row r="39" spans="1:17" x14ac:dyDescent="0.25">
      <c r="A39" s="11">
        <v>45648.63071759259</v>
      </c>
      <c r="B39" s="10" t="s">
        <v>22</v>
      </c>
      <c r="C39" s="10" t="s">
        <v>110</v>
      </c>
      <c r="D39" s="10" t="s">
        <v>111</v>
      </c>
      <c r="E39" s="10">
        <v>490</v>
      </c>
      <c r="F39" s="10" t="s">
        <v>34</v>
      </c>
      <c r="G39" s="10">
        <v>23.1</v>
      </c>
      <c r="H39" s="10">
        <v>75.2</v>
      </c>
      <c r="I39" s="10" t="s">
        <v>26</v>
      </c>
      <c r="J39" s="10">
        <v>14</v>
      </c>
      <c r="K39" s="10">
        <v>460</v>
      </c>
      <c r="L39" s="10">
        <v>7</v>
      </c>
      <c r="M39" s="10" t="s">
        <v>21</v>
      </c>
      <c r="N39" s="10">
        <v>87.8</v>
      </c>
      <c r="O39" s="10">
        <v>261</v>
      </c>
      <c r="P39" s="10">
        <v>1</v>
      </c>
      <c r="Q39" s="10" t="str">
        <f>+IF(Tabla2[[#This Row],[Demand_Forecast]]&lt;= 125,"Low demand",IF(Tabla2[[#This Row],[Demand_Forecast]] &gt;=285,"High demand","Mid demand"))</f>
        <v>Mid demand</v>
      </c>
    </row>
    <row r="40" spans="1:17" x14ac:dyDescent="0.25">
      <c r="A40" s="11">
        <v>45519.239629629628</v>
      </c>
      <c r="B40" s="10" t="s">
        <v>64</v>
      </c>
      <c r="C40" s="10" t="s">
        <v>112</v>
      </c>
      <c r="D40" s="10" t="s">
        <v>113</v>
      </c>
      <c r="E40" s="10">
        <v>126</v>
      </c>
      <c r="F40" s="10" t="s">
        <v>34</v>
      </c>
      <c r="G40" s="10">
        <v>29.6</v>
      </c>
      <c r="H40" s="10">
        <v>67.599999999999994</v>
      </c>
      <c r="I40" s="10" t="s">
        <v>20</v>
      </c>
      <c r="J40" s="10">
        <v>19</v>
      </c>
      <c r="K40" s="10">
        <v>201</v>
      </c>
      <c r="L40" s="10">
        <v>9</v>
      </c>
      <c r="M40" s="10" t="s">
        <v>27</v>
      </c>
      <c r="N40" s="10">
        <v>84.1</v>
      </c>
      <c r="O40" s="10">
        <v>255</v>
      </c>
      <c r="P40" s="10">
        <v>0</v>
      </c>
      <c r="Q40" s="10" t="str">
        <f>+IF(Tabla2[[#This Row],[Demand_Forecast]]&lt;= 125,"Low demand",IF(Tabla2[[#This Row],[Demand_Forecast]] &gt;=285,"High demand","Mid demand"))</f>
        <v>Mid demand</v>
      </c>
    </row>
    <row r="41" spans="1:17" x14ac:dyDescent="0.25">
      <c r="A41" s="11">
        <v>45367.470625000002</v>
      </c>
      <c r="B41" s="10" t="s">
        <v>16</v>
      </c>
      <c r="C41" s="10" t="s">
        <v>114</v>
      </c>
      <c r="D41" s="10" t="s">
        <v>115</v>
      </c>
      <c r="E41" s="10">
        <v>164</v>
      </c>
      <c r="F41" s="10" t="s">
        <v>25</v>
      </c>
      <c r="G41" s="10">
        <v>18.2</v>
      </c>
      <c r="H41" s="10">
        <v>76.400000000000006</v>
      </c>
      <c r="I41" s="10" t="s">
        <v>38</v>
      </c>
      <c r="J41" s="10">
        <v>45</v>
      </c>
      <c r="K41" s="10">
        <v>466</v>
      </c>
      <c r="L41" s="10">
        <v>7</v>
      </c>
      <c r="M41" s="10" t="s">
        <v>21</v>
      </c>
      <c r="N41" s="10">
        <v>98.1</v>
      </c>
      <c r="O41" s="10">
        <v>196</v>
      </c>
      <c r="P41" s="10">
        <v>0</v>
      </c>
      <c r="Q41" s="10" t="str">
        <f>+IF(Tabla2[[#This Row],[Demand_Forecast]]&lt;= 125,"Low demand",IF(Tabla2[[#This Row],[Demand_Forecast]] &gt;=285,"High demand","Mid demand"))</f>
        <v>Mid demand</v>
      </c>
    </row>
    <row r="42" spans="1:17" x14ac:dyDescent="0.25">
      <c r="A42" s="11">
        <v>45654.486747685187</v>
      </c>
      <c r="B42" s="10" t="s">
        <v>48</v>
      </c>
      <c r="C42" s="10" t="s">
        <v>116</v>
      </c>
      <c r="D42" s="10" t="s">
        <v>117</v>
      </c>
      <c r="E42" s="10">
        <v>477</v>
      </c>
      <c r="F42" s="10" t="s">
        <v>19</v>
      </c>
      <c r="G42" s="10">
        <v>19.2</v>
      </c>
      <c r="H42" s="10">
        <v>79.400000000000006</v>
      </c>
      <c r="I42" s="10" t="s">
        <v>38</v>
      </c>
      <c r="J42" s="10">
        <v>12</v>
      </c>
      <c r="K42" s="10">
        <v>310</v>
      </c>
      <c r="L42" s="10">
        <v>5</v>
      </c>
      <c r="M42" s="10" t="s">
        <v>51</v>
      </c>
      <c r="N42" s="10">
        <v>63.7</v>
      </c>
      <c r="O42" s="10">
        <v>129</v>
      </c>
      <c r="P42" s="10">
        <v>1</v>
      </c>
      <c r="Q42" s="10" t="str">
        <f>+IF(Tabla2[[#This Row],[Demand_Forecast]]&lt;= 125,"Low demand",IF(Tabla2[[#This Row],[Demand_Forecast]] &gt;=285,"High demand","Mid demand"))</f>
        <v>Mid demand</v>
      </c>
    </row>
    <row r="43" spans="1:17" x14ac:dyDescent="0.25">
      <c r="A43" s="11">
        <v>45326.788865740738</v>
      </c>
      <c r="B43" s="10" t="s">
        <v>64</v>
      </c>
      <c r="C43" s="10" t="s">
        <v>118</v>
      </c>
      <c r="D43" s="10" t="s">
        <v>119</v>
      </c>
      <c r="E43" s="10">
        <v>245</v>
      </c>
      <c r="F43" s="10" t="s">
        <v>25</v>
      </c>
      <c r="G43" s="10">
        <v>24.2</v>
      </c>
      <c r="H43" s="10">
        <v>56.9</v>
      </c>
      <c r="I43" s="10" t="s">
        <v>20</v>
      </c>
      <c r="J43" s="10">
        <v>39</v>
      </c>
      <c r="K43" s="10">
        <v>379</v>
      </c>
      <c r="L43" s="10">
        <v>2</v>
      </c>
      <c r="M43" s="10" t="s">
        <v>35</v>
      </c>
      <c r="N43" s="10">
        <v>66.400000000000006</v>
      </c>
      <c r="O43" s="10">
        <v>183</v>
      </c>
      <c r="P43" s="10">
        <v>0</v>
      </c>
      <c r="Q43" s="10" t="str">
        <f>+IF(Tabla2[[#This Row],[Demand_Forecast]]&lt;= 125,"Low demand",IF(Tabla2[[#This Row],[Demand_Forecast]] &gt;=285,"High demand","Mid demand"))</f>
        <v>Mid demand</v>
      </c>
    </row>
    <row r="44" spans="1:17" x14ac:dyDescent="0.25">
      <c r="A44" s="11">
        <v>45482.092291666668</v>
      </c>
      <c r="B44" s="10" t="s">
        <v>64</v>
      </c>
      <c r="C44" s="10" t="s">
        <v>120</v>
      </c>
      <c r="D44" s="10" t="s">
        <v>121</v>
      </c>
      <c r="E44" s="10">
        <v>172</v>
      </c>
      <c r="F44" s="10" t="s">
        <v>19</v>
      </c>
      <c r="G44" s="10">
        <v>25.2</v>
      </c>
      <c r="H44" s="10">
        <v>67.599999999999994</v>
      </c>
      <c r="I44" s="10" t="s">
        <v>38</v>
      </c>
      <c r="J44" s="10">
        <v>40</v>
      </c>
      <c r="K44" s="10">
        <v>274</v>
      </c>
      <c r="L44" s="10">
        <v>7</v>
      </c>
      <c r="M44" s="10" t="s">
        <v>27</v>
      </c>
      <c r="N44" s="10">
        <v>66.3</v>
      </c>
      <c r="O44" s="10">
        <v>170</v>
      </c>
      <c r="P44" s="10">
        <v>1</v>
      </c>
      <c r="Q44" s="10" t="str">
        <f>+IF(Tabla2[[#This Row],[Demand_Forecast]]&lt;= 125,"Low demand",IF(Tabla2[[#This Row],[Demand_Forecast]] &gt;=285,"High demand","Mid demand"))</f>
        <v>Mid demand</v>
      </c>
    </row>
    <row r="45" spans="1:17" x14ac:dyDescent="0.25">
      <c r="A45" s="11">
        <v>45627.996018518519</v>
      </c>
      <c r="B45" s="10" t="s">
        <v>16</v>
      </c>
      <c r="C45" s="10" t="s">
        <v>122</v>
      </c>
      <c r="D45" s="10" t="s">
        <v>123</v>
      </c>
      <c r="E45" s="10">
        <v>206</v>
      </c>
      <c r="F45" s="10" t="s">
        <v>19</v>
      </c>
      <c r="G45" s="10">
        <v>20.7</v>
      </c>
      <c r="H45" s="10">
        <v>77.5</v>
      </c>
      <c r="I45" s="10" t="s">
        <v>38</v>
      </c>
      <c r="J45" s="10">
        <v>15</v>
      </c>
      <c r="K45" s="10">
        <v>308</v>
      </c>
      <c r="L45" s="10">
        <v>2</v>
      </c>
      <c r="M45" s="10" t="s">
        <v>51</v>
      </c>
      <c r="N45" s="10">
        <v>63.9</v>
      </c>
      <c r="O45" s="10">
        <v>209</v>
      </c>
      <c r="P45" s="10">
        <v>1</v>
      </c>
      <c r="Q45" s="10" t="str">
        <f>+IF(Tabla2[[#This Row],[Demand_Forecast]]&lt;= 125,"Low demand",IF(Tabla2[[#This Row],[Demand_Forecast]] &gt;=285,"High demand","Mid demand"))</f>
        <v>Mid demand</v>
      </c>
    </row>
    <row r="46" spans="1:17" x14ac:dyDescent="0.25">
      <c r="A46" s="11">
        <v>45465.559745370374</v>
      </c>
      <c r="B46" s="10" t="s">
        <v>22</v>
      </c>
      <c r="C46" s="10" t="s">
        <v>124</v>
      </c>
      <c r="D46" s="10" t="s">
        <v>125</v>
      </c>
      <c r="E46" s="10">
        <v>310</v>
      </c>
      <c r="F46" s="10" t="s">
        <v>25</v>
      </c>
      <c r="G46" s="10">
        <v>18.7</v>
      </c>
      <c r="H46" s="10">
        <v>54.7</v>
      </c>
      <c r="I46" s="10" t="s">
        <v>38</v>
      </c>
      <c r="J46" s="10">
        <v>52</v>
      </c>
      <c r="K46" s="10">
        <v>232</v>
      </c>
      <c r="L46" s="10">
        <v>9</v>
      </c>
      <c r="M46" s="10" t="s">
        <v>35</v>
      </c>
      <c r="N46" s="10">
        <v>72.599999999999994</v>
      </c>
      <c r="O46" s="10">
        <v>113</v>
      </c>
      <c r="P46" s="10">
        <v>0</v>
      </c>
      <c r="Q46" s="10" t="str">
        <f>+IF(Tabla2[[#This Row],[Demand_Forecast]]&lt;= 125,"Low demand",IF(Tabla2[[#This Row],[Demand_Forecast]] &gt;=285,"High demand","Mid demand"))</f>
        <v>Low demand</v>
      </c>
    </row>
    <row r="47" spans="1:17" x14ac:dyDescent="0.25">
      <c r="A47" s="11">
        <v>45500.660254629627</v>
      </c>
      <c r="B47" s="10" t="s">
        <v>48</v>
      </c>
      <c r="C47" s="10" t="s">
        <v>126</v>
      </c>
      <c r="D47" s="10" t="s">
        <v>127</v>
      </c>
      <c r="E47" s="10">
        <v>225</v>
      </c>
      <c r="F47" s="10" t="s">
        <v>34</v>
      </c>
      <c r="G47" s="10">
        <v>19</v>
      </c>
      <c r="H47" s="10">
        <v>63</v>
      </c>
      <c r="I47" s="10" t="s">
        <v>26</v>
      </c>
      <c r="J47" s="10">
        <v>17</v>
      </c>
      <c r="K47" s="10">
        <v>282</v>
      </c>
      <c r="L47" s="10">
        <v>6</v>
      </c>
      <c r="M47" s="10" t="s">
        <v>27</v>
      </c>
      <c r="N47" s="10">
        <v>99.6</v>
      </c>
      <c r="O47" s="10">
        <v>265</v>
      </c>
      <c r="P47" s="10">
        <v>1</v>
      </c>
      <c r="Q47" s="10" t="str">
        <f>+IF(Tabla2[[#This Row],[Demand_Forecast]]&lt;= 125,"Low demand",IF(Tabla2[[#This Row],[Demand_Forecast]] &gt;=285,"High demand","Mid demand"))</f>
        <v>Mid demand</v>
      </c>
    </row>
    <row r="48" spans="1:17" x14ac:dyDescent="0.25">
      <c r="A48" s="11">
        <v>45540.591666666667</v>
      </c>
      <c r="B48" s="10" t="s">
        <v>61</v>
      </c>
      <c r="C48" s="10" t="s">
        <v>128</v>
      </c>
      <c r="D48" s="10" t="s">
        <v>129</v>
      </c>
      <c r="E48" s="10">
        <v>303</v>
      </c>
      <c r="F48" s="10" t="s">
        <v>19</v>
      </c>
      <c r="G48" s="10">
        <v>20.7</v>
      </c>
      <c r="H48" s="10">
        <v>70.599999999999994</v>
      </c>
      <c r="I48" s="10" t="s">
        <v>38</v>
      </c>
      <c r="J48" s="10">
        <v>47</v>
      </c>
      <c r="K48" s="10">
        <v>143</v>
      </c>
      <c r="L48" s="10">
        <v>10</v>
      </c>
      <c r="M48" s="10" t="s">
        <v>21</v>
      </c>
      <c r="N48" s="10">
        <v>98.1</v>
      </c>
      <c r="O48" s="10">
        <v>123</v>
      </c>
      <c r="P48" s="10">
        <v>1</v>
      </c>
      <c r="Q48" s="10" t="str">
        <f>+IF(Tabla2[[#This Row],[Demand_Forecast]]&lt;= 125,"Low demand",IF(Tabla2[[#This Row],[Demand_Forecast]] &gt;=285,"High demand","Mid demand"))</f>
        <v>Low demand</v>
      </c>
    </row>
    <row r="49" spans="1:17" x14ac:dyDescent="0.25">
      <c r="A49" s="11">
        <v>45607.923530092594</v>
      </c>
      <c r="B49" s="10" t="s">
        <v>95</v>
      </c>
      <c r="C49" s="10" t="s">
        <v>130</v>
      </c>
      <c r="D49" s="10" t="s">
        <v>131</v>
      </c>
      <c r="E49" s="10">
        <v>237</v>
      </c>
      <c r="F49" s="10" t="s">
        <v>19</v>
      </c>
      <c r="G49" s="10">
        <v>20.7</v>
      </c>
      <c r="H49" s="10">
        <v>78.3</v>
      </c>
      <c r="I49" s="10" t="s">
        <v>26</v>
      </c>
      <c r="J49" s="10">
        <v>35</v>
      </c>
      <c r="K49" s="10">
        <v>491</v>
      </c>
      <c r="L49" s="10">
        <v>2</v>
      </c>
      <c r="M49" s="10" t="s">
        <v>21</v>
      </c>
      <c r="N49" s="10">
        <v>80.7</v>
      </c>
      <c r="O49" s="10">
        <v>189</v>
      </c>
      <c r="P49" s="10">
        <v>1</v>
      </c>
      <c r="Q49" s="10" t="str">
        <f>+IF(Tabla2[[#This Row],[Demand_Forecast]]&lt;= 125,"Low demand",IF(Tabla2[[#This Row],[Demand_Forecast]] &gt;=285,"High demand","Mid demand"))</f>
        <v>Mid demand</v>
      </c>
    </row>
    <row r="50" spans="1:17" x14ac:dyDescent="0.25">
      <c r="A50" s="11">
        <v>45413.934849537036</v>
      </c>
      <c r="B50" s="10" t="s">
        <v>22</v>
      </c>
      <c r="C50" s="10" t="s">
        <v>132</v>
      </c>
      <c r="D50" s="10" t="s">
        <v>133</v>
      </c>
      <c r="E50" s="10">
        <v>172</v>
      </c>
      <c r="F50" s="10" t="s">
        <v>34</v>
      </c>
      <c r="G50" s="10">
        <v>18.2</v>
      </c>
      <c r="H50" s="10">
        <v>79.900000000000006</v>
      </c>
      <c r="I50" s="10" t="s">
        <v>38</v>
      </c>
      <c r="J50" s="10">
        <v>46</v>
      </c>
      <c r="K50" s="10">
        <v>258</v>
      </c>
      <c r="L50" s="10">
        <v>3</v>
      </c>
      <c r="M50" s="10" t="s">
        <v>51</v>
      </c>
      <c r="N50" s="10">
        <v>60.1</v>
      </c>
      <c r="O50" s="10">
        <v>154</v>
      </c>
      <c r="P50" s="10">
        <v>0</v>
      </c>
      <c r="Q50" s="10" t="str">
        <f>+IF(Tabla2[[#This Row],[Demand_Forecast]]&lt;= 125,"Low demand",IF(Tabla2[[#This Row],[Demand_Forecast]] &gt;=285,"High demand","Mid demand"))</f>
        <v>Mid demand</v>
      </c>
    </row>
    <row r="51" spans="1:17" x14ac:dyDescent="0.25">
      <c r="A51" s="11">
        <v>45499.846539351849</v>
      </c>
      <c r="B51" s="10" t="s">
        <v>31</v>
      </c>
      <c r="C51" s="10" t="s">
        <v>134</v>
      </c>
      <c r="D51" s="10" t="s">
        <v>135</v>
      </c>
      <c r="E51" s="10">
        <v>214</v>
      </c>
      <c r="F51" s="10" t="s">
        <v>25</v>
      </c>
      <c r="G51" s="10">
        <v>21.7</v>
      </c>
      <c r="H51" s="10">
        <v>77</v>
      </c>
      <c r="I51" s="10" t="s">
        <v>26</v>
      </c>
      <c r="J51" s="10">
        <v>47</v>
      </c>
      <c r="K51" s="10">
        <v>187</v>
      </c>
      <c r="L51" s="10">
        <v>10</v>
      </c>
      <c r="M51" s="10" t="s">
        <v>21</v>
      </c>
      <c r="N51" s="10">
        <v>97.4</v>
      </c>
      <c r="O51" s="10">
        <v>175</v>
      </c>
      <c r="P51" s="10">
        <v>1</v>
      </c>
      <c r="Q51" s="10" t="str">
        <f>+IF(Tabla2[[#This Row],[Demand_Forecast]]&lt;= 125,"Low demand",IF(Tabla2[[#This Row],[Demand_Forecast]] &gt;=285,"High demand","Mid demand"))</f>
        <v>Mid demand</v>
      </c>
    </row>
    <row r="52" spans="1:17" x14ac:dyDescent="0.25">
      <c r="A52" s="11">
        <v>45513.05327546296</v>
      </c>
      <c r="B52" s="10" t="s">
        <v>61</v>
      </c>
      <c r="C52" s="10" t="s">
        <v>136</v>
      </c>
      <c r="D52" s="10" t="s">
        <v>137</v>
      </c>
      <c r="E52" s="10">
        <v>330</v>
      </c>
      <c r="F52" s="10" t="s">
        <v>19</v>
      </c>
      <c r="G52" s="10">
        <v>24</v>
      </c>
      <c r="H52" s="10">
        <v>52.9</v>
      </c>
      <c r="I52" s="10" t="s">
        <v>26</v>
      </c>
      <c r="J52" s="10">
        <v>14</v>
      </c>
      <c r="K52" s="10">
        <v>425</v>
      </c>
      <c r="L52" s="10">
        <v>1</v>
      </c>
      <c r="M52" s="10" t="s">
        <v>51</v>
      </c>
      <c r="N52" s="10">
        <v>89.8</v>
      </c>
      <c r="O52" s="10">
        <v>289</v>
      </c>
      <c r="P52" s="10">
        <v>1</v>
      </c>
      <c r="Q52" s="10" t="str">
        <f>+IF(Tabla2[[#This Row],[Demand_Forecast]]&lt;= 125,"Low demand",IF(Tabla2[[#This Row],[Demand_Forecast]] &gt;=285,"High demand","Mid demand"))</f>
        <v>High demand</v>
      </c>
    </row>
    <row r="53" spans="1:17" x14ac:dyDescent="0.25">
      <c r="A53" s="11">
        <v>45320.877870370372</v>
      </c>
      <c r="B53" s="10" t="s">
        <v>64</v>
      </c>
      <c r="C53" s="10" t="s">
        <v>138</v>
      </c>
      <c r="D53" s="10" t="s">
        <v>139</v>
      </c>
      <c r="E53" s="10">
        <v>130</v>
      </c>
      <c r="F53" s="10" t="s">
        <v>34</v>
      </c>
      <c r="G53" s="10">
        <v>18.100000000000001</v>
      </c>
      <c r="H53" s="10">
        <v>78.3</v>
      </c>
      <c r="I53" s="10" t="s">
        <v>26</v>
      </c>
      <c r="J53" s="10">
        <v>39</v>
      </c>
      <c r="K53" s="10">
        <v>424</v>
      </c>
      <c r="L53" s="10">
        <v>9</v>
      </c>
      <c r="M53" s="10" t="s">
        <v>35</v>
      </c>
      <c r="N53" s="10">
        <v>92.3</v>
      </c>
      <c r="O53" s="10">
        <v>143</v>
      </c>
      <c r="P53" s="10">
        <v>1</v>
      </c>
      <c r="Q53" s="10" t="str">
        <f>+IF(Tabla2[[#This Row],[Demand_Forecast]]&lt;= 125,"Low demand",IF(Tabla2[[#This Row],[Demand_Forecast]] &gt;=285,"High demand","Mid demand"))</f>
        <v>Mid demand</v>
      </c>
    </row>
    <row r="54" spans="1:17" x14ac:dyDescent="0.25">
      <c r="A54" s="11">
        <v>45374.533032407409</v>
      </c>
      <c r="B54" s="10" t="s">
        <v>48</v>
      </c>
      <c r="C54" s="10" t="s">
        <v>140</v>
      </c>
      <c r="D54" s="10" t="s">
        <v>141</v>
      </c>
      <c r="E54" s="10">
        <v>364</v>
      </c>
      <c r="F54" s="10" t="s">
        <v>19</v>
      </c>
      <c r="G54" s="10">
        <v>26.9</v>
      </c>
      <c r="H54" s="10">
        <v>67.8</v>
      </c>
      <c r="I54" s="10" t="s">
        <v>38</v>
      </c>
      <c r="J54" s="10">
        <v>55</v>
      </c>
      <c r="K54" s="10">
        <v>467</v>
      </c>
      <c r="L54" s="10">
        <v>7</v>
      </c>
      <c r="M54" s="10" t="s">
        <v>27</v>
      </c>
      <c r="N54" s="10">
        <v>95.2</v>
      </c>
      <c r="O54" s="10">
        <v>128</v>
      </c>
      <c r="P54" s="10">
        <v>1</v>
      </c>
      <c r="Q54" s="10" t="str">
        <f>+IF(Tabla2[[#This Row],[Demand_Forecast]]&lt;= 125,"Low demand",IF(Tabla2[[#This Row],[Demand_Forecast]] &gt;=285,"High demand","Mid demand"))</f>
        <v>Mid demand</v>
      </c>
    </row>
    <row r="55" spans="1:17" x14ac:dyDescent="0.25">
      <c r="A55" s="11">
        <v>45582.557303240741</v>
      </c>
      <c r="B55" s="10" t="s">
        <v>56</v>
      </c>
      <c r="C55" s="10" t="s">
        <v>142</v>
      </c>
      <c r="D55" s="10" t="s">
        <v>143</v>
      </c>
      <c r="E55" s="10">
        <v>430</v>
      </c>
      <c r="F55" s="10" t="s">
        <v>19</v>
      </c>
      <c r="G55" s="10">
        <v>26.4</v>
      </c>
      <c r="H55" s="10">
        <v>68.400000000000006</v>
      </c>
      <c r="I55" s="10" t="s">
        <v>26</v>
      </c>
      <c r="J55" s="10">
        <v>16</v>
      </c>
      <c r="K55" s="10">
        <v>277</v>
      </c>
      <c r="L55" s="10">
        <v>8</v>
      </c>
      <c r="M55" s="10" t="s">
        <v>21</v>
      </c>
      <c r="N55" s="10">
        <v>71.900000000000006</v>
      </c>
      <c r="O55" s="10">
        <v>137</v>
      </c>
      <c r="P55" s="10">
        <v>1</v>
      </c>
      <c r="Q55" s="10" t="str">
        <f>+IF(Tabla2[[#This Row],[Demand_Forecast]]&lt;= 125,"Low demand",IF(Tabla2[[#This Row],[Demand_Forecast]] &gt;=285,"High demand","Mid demand"))</f>
        <v>Mid demand</v>
      </c>
    </row>
    <row r="56" spans="1:17" x14ac:dyDescent="0.25">
      <c r="A56" s="11">
        <v>45484.296840277777</v>
      </c>
      <c r="B56" s="10" t="s">
        <v>56</v>
      </c>
      <c r="C56" s="10" t="s">
        <v>144</v>
      </c>
      <c r="D56" s="10" t="s">
        <v>145</v>
      </c>
      <c r="E56" s="10">
        <v>187</v>
      </c>
      <c r="F56" s="10" t="s">
        <v>25</v>
      </c>
      <c r="G56" s="10">
        <v>18.600000000000001</v>
      </c>
      <c r="H56" s="10">
        <v>67.7</v>
      </c>
      <c r="I56" s="10" t="s">
        <v>38</v>
      </c>
      <c r="J56" s="10">
        <v>12</v>
      </c>
      <c r="K56" s="10">
        <v>375</v>
      </c>
      <c r="L56" s="10">
        <v>5</v>
      </c>
      <c r="M56" s="10" t="s">
        <v>21</v>
      </c>
      <c r="N56" s="10">
        <v>85.4</v>
      </c>
      <c r="O56" s="10">
        <v>140</v>
      </c>
      <c r="P56" s="10">
        <v>0</v>
      </c>
      <c r="Q56" s="10" t="str">
        <f>+IF(Tabla2[[#This Row],[Demand_Forecast]]&lt;= 125,"Low demand",IF(Tabla2[[#This Row],[Demand_Forecast]] &gt;=285,"High demand","Mid demand"))</f>
        <v>Mid demand</v>
      </c>
    </row>
    <row r="57" spans="1:17" x14ac:dyDescent="0.25">
      <c r="A57" s="11">
        <v>45637.706805555557</v>
      </c>
      <c r="B57" s="10" t="s">
        <v>64</v>
      </c>
      <c r="C57" s="10" t="s">
        <v>146</v>
      </c>
      <c r="D57" s="10" t="s">
        <v>147</v>
      </c>
      <c r="E57" s="10">
        <v>323</v>
      </c>
      <c r="F57" s="10" t="s">
        <v>19</v>
      </c>
      <c r="G57" s="10">
        <v>28.3</v>
      </c>
      <c r="H57" s="10">
        <v>61.2</v>
      </c>
      <c r="I57" s="10" t="s">
        <v>20</v>
      </c>
      <c r="J57" s="10">
        <v>52</v>
      </c>
      <c r="K57" s="10">
        <v>139</v>
      </c>
      <c r="L57" s="10">
        <v>4</v>
      </c>
      <c r="M57" s="10" t="s">
        <v>27</v>
      </c>
      <c r="N57" s="10">
        <v>72.400000000000006</v>
      </c>
      <c r="O57" s="10">
        <v>127</v>
      </c>
      <c r="P57" s="10">
        <v>1</v>
      </c>
      <c r="Q57" s="10" t="str">
        <f>+IF(Tabla2[[#This Row],[Demand_Forecast]]&lt;= 125,"Low demand",IF(Tabla2[[#This Row],[Demand_Forecast]] &gt;=285,"High demand","Mid demand"))</f>
        <v>Mid demand</v>
      </c>
    </row>
    <row r="58" spans="1:17" x14ac:dyDescent="0.25">
      <c r="A58" s="11">
        <v>45301.045428240737</v>
      </c>
      <c r="B58" s="10" t="s">
        <v>31</v>
      </c>
      <c r="C58" s="10" t="s">
        <v>148</v>
      </c>
      <c r="D58" s="10" t="s">
        <v>149</v>
      </c>
      <c r="E58" s="10">
        <v>386</v>
      </c>
      <c r="F58" s="10" t="s">
        <v>34</v>
      </c>
      <c r="G58" s="10">
        <v>26.6</v>
      </c>
      <c r="H58" s="10">
        <v>78.2</v>
      </c>
      <c r="I58" s="10" t="s">
        <v>20</v>
      </c>
      <c r="J58" s="10">
        <v>19</v>
      </c>
      <c r="K58" s="10">
        <v>456</v>
      </c>
      <c r="L58" s="10">
        <v>7</v>
      </c>
      <c r="M58" s="10" t="s">
        <v>35</v>
      </c>
      <c r="N58" s="10">
        <v>87.6</v>
      </c>
      <c r="O58" s="10">
        <v>290</v>
      </c>
      <c r="P58" s="10">
        <v>0</v>
      </c>
      <c r="Q58" s="10" t="str">
        <f>+IF(Tabla2[[#This Row],[Demand_Forecast]]&lt;= 125,"Low demand",IF(Tabla2[[#This Row],[Demand_Forecast]] &gt;=285,"High demand","Mid demand"))</f>
        <v>High demand</v>
      </c>
    </row>
    <row r="59" spans="1:17" x14ac:dyDescent="0.25">
      <c r="A59" s="11">
        <v>45460.332916666666</v>
      </c>
      <c r="B59" s="10" t="s">
        <v>31</v>
      </c>
      <c r="C59" s="10" t="s">
        <v>150</v>
      </c>
      <c r="D59" s="10" t="s">
        <v>151</v>
      </c>
      <c r="E59" s="10">
        <v>422</v>
      </c>
      <c r="F59" s="10" t="s">
        <v>19</v>
      </c>
      <c r="G59" s="10">
        <v>19.600000000000001</v>
      </c>
      <c r="H59" s="10">
        <v>53.3</v>
      </c>
      <c r="I59" s="10" t="s">
        <v>26</v>
      </c>
      <c r="J59" s="10">
        <v>40</v>
      </c>
      <c r="K59" s="10">
        <v>205</v>
      </c>
      <c r="L59" s="10">
        <v>5</v>
      </c>
      <c r="M59" s="10" t="s">
        <v>27</v>
      </c>
      <c r="N59" s="10">
        <v>86.1</v>
      </c>
      <c r="O59" s="10">
        <v>242</v>
      </c>
      <c r="P59" s="10">
        <v>1</v>
      </c>
      <c r="Q59" s="10" t="str">
        <f>+IF(Tabla2[[#This Row],[Demand_Forecast]]&lt;= 125,"Low demand",IF(Tabla2[[#This Row],[Demand_Forecast]] &gt;=285,"High demand","Mid demand"))</f>
        <v>Mid demand</v>
      </c>
    </row>
    <row r="60" spans="1:17" x14ac:dyDescent="0.25">
      <c r="A60" s="11">
        <v>45468.078101851854</v>
      </c>
      <c r="B60" s="10" t="s">
        <v>31</v>
      </c>
      <c r="C60" s="10" t="s">
        <v>152</v>
      </c>
      <c r="D60" s="10" t="s">
        <v>153</v>
      </c>
      <c r="E60" s="10">
        <v>433</v>
      </c>
      <c r="F60" s="10" t="s">
        <v>19</v>
      </c>
      <c r="G60" s="10">
        <v>24</v>
      </c>
      <c r="H60" s="10">
        <v>77.8</v>
      </c>
      <c r="I60" s="10" t="s">
        <v>38</v>
      </c>
      <c r="J60" s="10">
        <v>37</v>
      </c>
      <c r="K60" s="10">
        <v>173</v>
      </c>
      <c r="L60" s="10">
        <v>9</v>
      </c>
      <c r="M60" s="10" t="s">
        <v>27</v>
      </c>
      <c r="N60" s="10">
        <v>89.6</v>
      </c>
      <c r="O60" s="10">
        <v>143</v>
      </c>
      <c r="P60" s="10">
        <v>1</v>
      </c>
      <c r="Q60" s="10" t="str">
        <f>+IF(Tabla2[[#This Row],[Demand_Forecast]]&lt;= 125,"Low demand",IF(Tabla2[[#This Row],[Demand_Forecast]] &gt;=285,"High demand","Mid demand"))</f>
        <v>Mid demand</v>
      </c>
    </row>
    <row r="61" spans="1:17" x14ac:dyDescent="0.25">
      <c r="A61" s="11">
        <v>45399.842569444445</v>
      </c>
      <c r="B61" s="10" t="s">
        <v>31</v>
      </c>
      <c r="C61" s="10" t="s">
        <v>154</v>
      </c>
      <c r="D61" s="10" t="s">
        <v>155</v>
      </c>
      <c r="E61" s="10">
        <v>318</v>
      </c>
      <c r="F61" s="10" t="s">
        <v>34</v>
      </c>
      <c r="G61" s="10">
        <v>26</v>
      </c>
      <c r="H61" s="10">
        <v>77.400000000000006</v>
      </c>
      <c r="I61" s="10" t="s">
        <v>38</v>
      </c>
      <c r="J61" s="10">
        <v>19</v>
      </c>
      <c r="K61" s="10">
        <v>314</v>
      </c>
      <c r="L61" s="10">
        <v>2</v>
      </c>
      <c r="M61" s="10" t="s">
        <v>21</v>
      </c>
      <c r="N61" s="10">
        <v>70.2</v>
      </c>
      <c r="O61" s="10">
        <v>250</v>
      </c>
      <c r="P61" s="10">
        <v>0</v>
      </c>
      <c r="Q61" s="10" t="str">
        <f>+IF(Tabla2[[#This Row],[Demand_Forecast]]&lt;= 125,"Low demand",IF(Tabla2[[#This Row],[Demand_Forecast]] &gt;=285,"High demand","Mid demand"))</f>
        <v>Mid demand</v>
      </c>
    </row>
    <row r="62" spans="1:17" x14ac:dyDescent="0.25">
      <c r="A62" s="11">
        <v>45574.768182870372</v>
      </c>
      <c r="B62" s="10" t="s">
        <v>31</v>
      </c>
      <c r="C62" s="10" t="s">
        <v>156</v>
      </c>
      <c r="D62" s="10" t="s">
        <v>157</v>
      </c>
      <c r="E62" s="10">
        <v>176</v>
      </c>
      <c r="F62" s="10" t="s">
        <v>25</v>
      </c>
      <c r="G62" s="10">
        <v>22.6</v>
      </c>
      <c r="H62" s="10">
        <v>73.3</v>
      </c>
      <c r="I62" s="10" t="s">
        <v>26</v>
      </c>
      <c r="J62" s="10">
        <v>37</v>
      </c>
      <c r="K62" s="10">
        <v>154</v>
      </c>
      <c r="L62" s="10">
        <v>4</v>
      </c>
      <c r="M62" s="10" t="s">
        <v>51</v>
      </c>
      <c r="N62" s="10">
        <v>91.4</v>
      </c>
      <c r="O62" s="10">
        <v>169</v>
      </c>
      <c r="P62" s="10">
        <v>1</v>
      </c>
      <c r="Q62" s="10" t="str">
        <f>+IF(Tabla2[[#This Row],[Demand_Forecast]]&lt;= 125,"Low demand",IF(Tabla2[[#This Row],[Demand_Forecast]] &gt;=285,"High demand","Mid demand"))</f>
        <v>Mid demand</v>
      </c>
    </row>
    <row r="63" spans="1:17" x14ac:dyDescent="0.25">
      <c r="A63" s="11">
        <v>45623.720682870371</v>
      </c>
      <c r="B63" s="10" t="s">
        <v>41</v>
      </c>
      <c r="C63" s="10" t="s">
        <v>158</v>
      </c>
      <c r="D63" s="10" t="s">
        <v>159</v>
      </c>
      <c r="E63" s="10">
        <v>125</v>
      </c>
      <c r="F63" s="10" t="s">
        <v>19</v>
      </c>
      <c r="G63" s="10">
        <v>23.4</v>
      </c>
      <c r="H63" s="10">
        <v>57.6</v>
      </c>
      <c r="I63" s="10" t="s">
        <v>26</v>
      </c>
      <c r="J63" s="10">
        <v>23</v>
      </c>
      <c r="K63" s="10">
        <v>191</v>
      </c>
      <c r="L63" s="10">
        <v>2</v>
      </c>
      <c r="M63" s="10" t="s">
        <v>35</v>
      </c>
      <c r="N63" s="10">
        <v>72</v>
      </c>
      <c r="O63" s="10">
        <v>241</v>
      </c>
      <c r="P63" s="10">
        <v>1</v>
      </c>
      <c r="Q63" s="10" t="str">
        <f>+IF(Tabla2[[#This Row],[Demand_Forecast]]&lt;= 125,"Low demand",IF(Tabla2[[#This Row],[Demand_Forecast]] &gt;=285,"High demand","Mid demand"))</f>
        <v>Mid demand</v>
      </c>
    </row>
    <row r="64" spans="1:17" x14ac:dyDescent="0.25">
      <c r="A64" s="11">
        <v>45455.117673611108</v>
      </c>
      <c r="B64" s="10" t="s">
        <v>22</v>
      </c>
      <c r="C64" s="10" t="s">
        <v>160</v>
      </c>
      <c r="D64" s="10" t="s">
        <v>161</v>
      </c>
      <c r="E64" s="10">
        <v>336</v>
      </c>
      <c r="F64" s="10" t="s">
        <v>25</v>
      </c>
      <c r="G64" s="10">
        <v>27.4</v>
      </c>
      <c r="H64" s="10">
        <v>58.9</v>
      </c>
      <c r="I64" s="10" t="s">
        <v>20</v>
      </c>
      <c r="J64" s="10">
        <v>49</v>
      </c>
      <c r="K64" s="10">
        <v>100</v>
      </c>
      <c r="L64" s="10">
        <v>10</v>
      </c>
      <c r="M64" s="10" t="s">
        <v>27</v>
      </c>
      <c r="N64" s="10">
        <v>70.7</v>
      </c>
      <c r="O64" s="10">
        <v>236</v>
      </c>
      <c r="P64" s="10">
        <v>0</v>
      </c>
      <c r="Q64" s="10" t="str">
        <f>+IF(Tabla2[[#This Row],[Demand_Forecast]]&lt;= 125,"Low demand",IF(Tabla2[[#This Row],[Demand_Forecast]] &gt;=285,"High demand","Mid demand"))</f>
        <v>Mid demand</v>
      </c>
    </row>
    <row r="65" spans="1:17" x14ac:dyDescent="0.25">
      <c r="A65" s="11">
        <v>45598.888726851852</v>
      </c>
      <c r="B65" s="10" t="s">
        <v>16</v>
      </c>
      <c r="C65" s="10" t="s">
        <v>162</v>
      </c>
      <c r="D65" s="10" t="s">
        <v>163</v>
      </c>
      <c r="E65" s="10">
        <v>244</v>
      </c>
      <c r="F65" s="10" t="s">
        <v>34</v>
      </c>
      <c r="G65" s="10">
        <v>21.3</v>
      </c>
      <c r="H65" s="10">
        <v>73.8</v>
      </c>
      <c r="I65" s="10" t="s">
        <v>26</v>
      </c>
      <c r="J65" s="10">
        <v>39</v>
      </c>
      <c r="K65" s="10">
        <v>229</v>
      </c>
      <c r="L65" s="10">
        <v>7</v>
      </c>
      <c r="M65" s="10" t="s">
        <v>21</v>
      </c>
      <c r="N65" s="10">
        <v>98.1</v>
      </c>
      <c r="O65" s="10">
        <v>197</v>
      </c>
      <c r="P65" s="10">
        <v>1</v>
      </c>
      <c r="Q65" s="10" t="str">
        <f>+IF(Tabla2[[#This Row],[Demand_Forecast]]&lt;= 125,"Low demand",IF(Tabla2[[#This Row],[Demand_Forecast]] &gt;=285,"High demand","Mid demand"))</f>
        <v>Mid demand</v>
      </c>
    </row>
    <row r="66" spans="1:17" x14ac:dyDescent="0.25">
      <c r="A66" s="11">
        <v>45351.633958333332</v>
      </c>
      <c r="B66" s="10" t="s">
        <v>41</v>
      </c>
      <c r="C66" s="10" t="s">
        <v>164</v>
      </c>
      <c r="D66" s="10" t="s">
        <v>165</v>
      </c>
      <c r="E66" s="10">
        <v>391</v>
      </c>
      <c r="F66" s="10" t="s">
        <v>25</v>
      </c>
      <c r="G66" s="10">
        <v>20.5</v>
      </c>
      <c r="H66" s="10">
        <v>71.2</v>
      </c>
      <c r="I66" s="10" t="s">
        <v>20</v>
      </c>
      <c r="J66" s="10">
        <v>12</v>
      </c>
      <c r="K66" s="10">
        <v>112</v>
      </c>
      <c r="L66" s="10">
        <v>7</v>
      </c>
      <c r="M66" s="10" t="s">
        <v>21</v>
      </c>
      <c r="N66" s="10">
        <v>78.3</v>
      </c>
      <c r="O66" s="10">
        <v>267</v>
      </c>
      <c r="P66" s="10">
        <v>0</v>
      </c>
      <c r="Q66" s="10" t="str">
        <f>+IF(Tabla2[[#This Row],[Demand_Forecast]]&lt;= 125,"Low demand",IF(Tabla2[[#This Row],[Demand_Forecast]] &gt;=285,"High demand","Mid demand"))</f>
        <v>Mid demand</v>
      </c>
    </row>
    <row r="67" spans="1:17" x14ac:dyDescent="0.25">
      <c r="A67" s="11">
        <v>45368.99114583333</v>
      </c>
      <c r="B67" s="10" t="s">
        <v>22</v>
      </c>
      <c r="C67" s="10" t="s">
        <v>166</v>
      </c>
      <c r="D67" s="10" t="s">
        <v>167</v>
      </c>
      <c r="E67" s="10">
        <v>425</v>
      </c>
      <c r="F67" s="10" t="s">
        <v>34</v>
      </c>
      <c r="G67" s="10">
        <v>24.2</v>
      </c>
      <c r="H67" s="10">
        <v>54.6</v>
      </c>
      <c r="I67" s="10" t="s">
        <v>20</v>
      </c>
      <c r="J67" s="10">
        <v>32</v>
      </c>
      <c r="K67" s="10">
        <v>193</v>
      </c>
      <c r="L67" s="10">
        <v>3</v>
      </c>
      <c r="M67" s="10" t="s">
        <v>27</v>
      </c>
      <c r="N67" s="10">
        <v>69.900000000000006</v>
      </c>
      <c r="O67" s="10">
        <v>260</v>
      </c>
      <c r="P67" s="10">
        <v>0</v>
      </c>
      <c r="Q67" s="10" t="str">
        <f>+IF(Tabla2[[#This Row],[Demand_Forecast]]&lt;= 125,"Low demand",IF(Tabla2[[#This Row],[Demand_Forecast]] &gt;=285,"High demand","Mid demand"))</f>
        <v>Mid demand</v>
      </c>
    </row>
    <row r="68" spans="1:17" x14ac:dyDescent="0.25">
      <c r="A68" s="11">
        <v>45621.443854166668</v>
      </c>
      <c r="B68" s="10" t="s">
        <v>64</v>
      </c>
      <c r="C68" s="10" t="s">
        <v>168</v>
      </c>
      <c r="D68" s="10" t="s">
        <v>169</v>
      </c>
      <c r="E68" s="10">
        <v>403</v>
      </c>
      <c r="F68" s="10" t="s">
        <v>25</v>
      </c>
      <c r="G68" s="10">
        <v>26.9</v>
      </c>
      <c r="H68" s="10">
        <v>60.6</v>
      </c>
      <c r="I68" s="10" t="s">
        <v>38</v>
      </c>
      <c r="J68" s="10">
        <v>50</v>
      </c>
      <c r="K68" s="10">
        <v>418</v>
      </c>
      <c r="L68" s="10">
        <v>1</v>
      </c>
      <c r="M68" s="10" t="s">
        <v>35</v>
      </c>
      <c r="N68" s="10">
        <v>67.8</v>
      </c>
      <c r="O68" s="10">
        <v>182</v>
      </c>
      <c r="P68" s="10">
        <v>0</v>
      </c>
      <c r="Q68" s="10" t="str">
        <f>+IF(Tabla2[[#This Row],[Demand_Forecast]]&lt;= 125,"Low demand",IF(Tabla2[[#This Row],[Demand_Forecast]] &gt;=285,"High demand","Mid demand"))</f>
        <v>Mid demand</v>
      </c>
    </row>
    <row r="69" spans="1:17" x14ac:dyDescent="0.25">
      <c r="A69" s="11">
        <v>45477.765648148146</v>
      </c>
      <c r="B69" s="10" t="s">
        <v>41</v>
      </c>
      <c r="C69" s="10" t="s">
        <v>170</v>
      </c>
      <c r="D69" s="10" t="s">
        <v>171</v>
      </c>
      <c r="E69" s="10">
        <v>438</v>
      </c>
      <c r="F69" s="10" t="s">
        <v>19</v>
      </c>
      <c r="G69" s="10">
        <v>26.5</v>
      </c>
      <c r="H69" s="10">
        <v>69.3</v>
      </c>
      <c r="I69" s="10" t="s">
        <v>26</v>
      </c>
      <c r="J69" s="10">
        <v>34</v>
      </c>
      <c r="K69" s="10">
        <v>378</v>
      </c>
      <c r="L69" s="10">
        <v>5</v>
      </c>
      <c r="M69" s="10" t="s">
        <v>27</v>
      </c>
      <c r="N69" s="10">
        <v>88.7</v>
      </c>
      <c r="O69" s="10">
        <v>256</v>
      </c>
      <c r="P69" s="10">
        <v>1</v>
      </c>
      <c r="Q69" s="10" t="str">
        <f>+IF(Tabla2[[#This Row],[Demand_Forecast]]&lt;= 125,"Low demand",IF(Tabla2[[#This Row],[Demand_Forecast]] &gt;=285,"High demand","Mid demand"))</f>
        <v>Mid demand</v>
      </c>
    </row>
    <row r="70" spans="1:17" x14ac:dyDescent="0.25">
      <c r="A70" s="11">
        <v>45370.224942129629</v>
      </c>
      <c r="B70" s="10" t="s">
        <v>95</v>
      </c>
      <c r="C70" s="10" t="s">
        <v>172</v>
      </c>
      <c r="D70" s="10" t="s">
        <v>173</v>
      </c>
      <c r="E70" s="10">
        <v>339</v>
      </c>
      <c r="F70" s="10" t="s">
        <v>25</v>
      </c>
      <c r="G70" s="10">
        <v>26.8</v>
      </c>
      <c r="H70" s="10">
        <v>64.5</v>
      </c>
      <c r="I70" s="10" t="s">
        <v>20</v>
      </c>
      <c r="J70" s="10">
        <v>24</v>
      </c>
      <c r="K70" s="10">
        <v>235</v>
      </c>
      <c r="L70" s="10">
        <v>6</v>
      </c>
      <c r="M70" s="10" t="s">
        <v>35</v>
      </c>
      <c r="N70" s="10">
        <v>69.3</v>
      </c>
      <c r="O70" s="10">
        <v>212</v>
      </c>
      <c r="P70" s="10">
        <v>0</v>
      </c>
      <c r="Q70" s="10" t="str">
        <f>+IF(Tabla2[[#This Row],[Demand_Forecast]]&lt;= 125,"Low demand",IF(Tabla2[[#This Row],[Demand_Forecast]] &gt;=285,"High demand","Mid demand"))</f>
        <v>Mid demand</v>
      </c>
    </row>
    <row r="71" spans="1:17" x14ac:dyDescent="0.25">
      <c r="A71" s="11">
        <v>45371.059293981481</v>
      </c>
      <c r="B71" s="10" t="s">
        <v>31</v>
      </c>
      <c r="C71" s="10" t="s">
        <v>174</v>
      </c>
      <c r="D71" s="10" t="s">
        <v>175</v>
      </c>
      <c r="E71" s="10">
        <v>203</v>
      </c>
      <c r="F71" s="10" t="s">
        <v>25</v>
      </c>
      <c r="G71" s="10">
        <v>18</v>
      </c>
      <c r="H71" s="10">
        <v>68.900000000000006</v>
      </c>
      <c r="I71" s="10" t="s">
        <v>26</v>
      </c>
      <c r="J71" s="10">
        <v>19</v>
      </c>
      <c r="K71" s="10">
        <v>370</v>
      </c>
      <c r="L71" s="10">
        <v>3</v>
      </c>
      <c r="M71" s="10" t="s">
        <v>35</v>
      </c>
      <c r="N71" s="10">
        <v>74.400000000000006</v>
      </c>
      <c r="O71" s="10">
        <v>254</v>
      </c>
      <c r="P71" s="10">
        <v>1</v>
      </c>
      <c r="Q71" s="10" t="str">
        <f>+IF(Tabla2[[#This Row],[Demand_Forecast]]&lt;= 125,"Low demand",IF(Tabla2[[#This Row],[Demand_Forecast]] &gt;=285,"High demand","Mid demand"))</f>
        <v>Mid demand</v>
      </c>
    </row>
    <row r="72" spans="1:17" x14ac:dyDescent="0.25">
      <c r="A72" s="11">
        <v>45491.47011574074</v>
      </c>
      <c r="B72" s="10" t="s">
        <v>41</v>
      </c>
      <c r="C72" s="10" t="s">
        <v>176</v>
      </c>
      <c r="D72" s="10" t="s">
        <v>177</v>
      </c>
      <c r="E72" s="10">
        <v>313</v>
      </c>
      <c r="F72" s="10" t="s">
        <v>34</v>
      </c>
      <c r="G72" s="10">
        <v>23.6</v>
      </c>
      <c r="H72" s="10">
        <v>65.2</v>
      </c>
      <c r="I72" s="10" t="s">
        <v>38</v>
      </c>
      <c r="J72" s="10">
        <v>49</v>
      </c>
      <c r="K72" s="10">
        <v>137</v>
      </c>
      <c r="L72" s="10">
        <v>6</v>
      </c>
      <c r="M72" s="10" t="s">
        <v>21</v>
      </c>
      <c r="N72" s="10">
        <v>100</v>
      </c>
      <c r="O72" s="10">
        <v>122</v>
      </c>
      <c r="P72" s="10">
        <v>0</v>
      </c>
      <c r="Q72" s="10" t="str">
        <f>+IF(Tabla2[[#This Row],[Demand_Forecast]]&lt;= 125,"Low demand",IF(Tabla2[[#This Row],[Demand_Forecast]] &gt;=285,"High demand","Mid demand"))</f>
        <v>Low demand</v>
      </c>
    </row>
    <row r="73" spans="1:17" x14ac:dyDescent="0.25">
      <c r="A73" s="11">
        <v>45514.36141203704</v>
      </c>
      <c r="B73" s="10" t="s">
        <v>48</v>
      </c>
      <c r="C73" s="10" t="s">
        <v>178</v>
      </c>
      <c r="D73" s="10" t="s">
        <v>179</v>
      </c>
      <c r="E73" s="10">
        <v>261</v>
      </c>
      <c r="F73" s="10" t="s">
        <v>34</v>
      </c>
      <c r="G73" s="10">
        <v>27.1</v>
      </c>
      <c r="H73" s="10">
        <v>67.3</v>
      </c>
      <c r="I73" s="10" t="s">
        <v>20</v>
      </c>
      <c r="J73" s="10">
        <v>35</v>
      </c>
      <c r="K73" s="10">
        <v>496</v>
      </c>
      <c r="L73" s="10">
        <v>2</v>
      </c>
      <c r="M73" s="10" t="s">
        <v>27</v>
      </c>
      <c r="N73" s="10">
        <v>71.3</v>
      </c>
      <c r="O73" s="10">
        <v>264</v>
      </c>
      <c r="P73" s="10">
        <v>0</v>
      </c>
      <c r="Q73" s="10" t="str">
        <f>+IF(Tabla2[[#This Row],[Demand_Forecast]]&lt;= 125,"Low demand",IF(Tabla2[[#This Row],[Demand_Forecast]] &gt;=285,"High demand","Mid demand"))</f>
        <v>Mid demand</v>
      </c>
    </row>
    <row r="74" spans="1:17" x14ac:dyDescent="0.25">
      <c r="A74" s="11">
        <v>45342.341134259259</v>
      </c>
      <c r="B74" s="10" t="s">
        <v>56</v>
      </c>
      <c r="C74" s="10" t="s">
        <v>180</v>
      </c>
      <c r="D74" s="10" t="s">
        <v>181</v>
      </c>
      <c r="E74" s="10">
        <v>179</v>
      </c>
      <c r="F74" s="10" t="s">
        <v>25</v>
      </c>
      <c r="G74" s="10">
        <v>28.5</v>
      </c>
      <c r="H74" s="10">
        <v>51</v>
      </c>
      <c r="I74" s="10" t="s">
        <v>20</v>
      </c>
      <c r="J74" s="10">
        <v>12</v>
      </c>
      <c r="K74" s="10">
        <v>354</v>
      </c>
      <c r="L74" s="10">
        <v>3</v>
      </c>
      <c r="M74" s="10" t="s">
        <v>27</v>
      </c>
      <c r="N74" s="10">
        <v>92.8</v>
      </c>
      <c r="O74" s="10">
        <v>225</v>
      </c>
      <c r="P74" s="10">
        <v>0</v>
      </c>
      <c r="Q74" s="10" t="str">
        <f>+IF(Tabla2[[#This Row],[Demand_Forecast]]&lt;= 125,"Low demand",IF(Tabla2[[#This Row],[Demand_Forecast]] &gt;=285,"High demand","Mid demand"))</f>
        <v>Mid demand</v>
      </c>
    </row>
    <row r="75" spans="1:17" x14ac:dyDescent="0.25">
      <c r="A75" s="11">
        <v>45644.099594907406</v>
      </c>
      <c r="B75" s="10" t="s">
        <v>22</v>
      </c>
      <c r="C75" s="10" t="s">
        <v>182</v>
      </c>
      <c r="D75" s="10" t="s">
        <v>183</v>
      </c>
      <c r="E75" s="10">
        <v>442</v>
      </c>
      <c r="F75" s="10" t="s">
        <v>25</v>
      </c>
      <c r="G75" s="10">
        <v>18.3</v>
      </c>
      <c r="H75" s="10">
        <v>50.3</v>
      </c>
      <c r="I75" s="10" t="s">
        <v>38</v>
      </c>
      <c r="J75" s="10">
        <v>56</v>
      </c>
      <c r="K75" s="10">
        <v>469</v>
      </c>
      <c r="L75" s="10">
        <v>2</v>
      </c>
      <c r="M75" s="10" t="s">
        <v>21</v>
      </c>
      <c r="N75" s="10">
        <v>96.3</v>
      </c>
      <c r="O75" s="10">
        <v>192</v>
      </c>
      <c r="P75" s="10">
        <v>0</v>
      </c>
      <c r="Q75" s="10" t="str">
        <f>+IF(Tabla2[[#This Row],[Demand_Forecast]]&lt;= 125,"Low demand",IF(Tabla2[[#This Row],[Demand_Forecast]] &gt;=285,"High demand","Mid demand"))</f>
        <v>Mid demand</v>
      </c>
    </row>
    <row r="76" spans="1:17" x14ac:dyDescent="0.25">
      <c r="A76" s="11">
        <v>45524.679594907408</v>
      </c>
      <c r="B76" s="10" t="s">
        <v>64</v>
      </c>
      <c r="C76" s="10" t="s">
        <v>184</v>
      </c>
      <c r="D76" s="10" t="s">
        <v>185</v>
      </c>
      <c r="E76" s="10">
        <v>291</v>
      </c>
      <c r="F76" s="10" t="s">
        <v>34</v>
      </c>
      <c r="G76" s="10">
        <v>28.5</v>
      </c>
      <c r="H76" s="10">
        <v>54.6</v>
      </c>
      <c r="I76" s="10" t="s">
        <v>26</v>
      </c>
      <c r="J76" s="10">
        <v>14</v>
      </c>
      <c r="K76" s="10">
        <v>316</v>
      </c>
      <c r="L76" s="10">
        <v>7</v>
      </c>
      <c r="M76" s="10" t="s">
        <v>21</v>
      </c>
      <c r="N76" s="10">
        <v>77.5</v>
      </c>
      <c r="O76" s="10">
        <v>288</v>
      </c>
      <c r="P76" s="10">
        <v>1</v>
      </c>
      <c r="Q76" s="10" t="str">
        <f>+IF(Tabla2[[#This Row],[Demand_Forecast]]&lt;= 125,"Low demand",IF(Tabla2[[#This Row],[Demand_Forecast]] &gt;=285,"High demand","Mid demand"))</f>
        <v>High demand</v>
      </c>
    </row>
    <row r="77" spans="1:17" x14ac:dyDescent="0.25">
      <c r="A77" s="11">
        <v>45602.319918981484</v>
      </c>
      <c r="B77" s="10" t="s">
        <v>64</v>
      </c>
      <c r="C77" s="10" t="s">
        <v>186</v>
      </c>
      <c r="D77" s="10" t="s">
        <v>187</v>
      </c>
      <c r="E77" s="10">
        <v>348</v>
      </c>
      <c r="F77" s="10" t="s">
        <v>34</v>
      </c>
      <c r="G77" s="10">
        <v>28.2</v>
      </c>
      <c r="H77" s="10">
        <v>68.3</v>
      </c>
      <c r="I77" s="10" t="s">
        <v>38</v>
      </c>
      <c r="J77" s="10">
        <v>22</v>
      </c>
      <c r="K77" s="10">
        <v>415</v>
      </c>
      <c r="L77" s="10">
        <v>4</v>
      </c>
      <c r="M77" s="10" t="s">
        <v>35</v>
      </c>
      <c r="N77" s="10">
        <v>67.400000000000006</v>
      </c>
      <c r="O77" s="10">
        <v>204</v>
      </c>
      <c r="P77" s="10">
        <v>0</v>
      </c>
      <c r="Q77" s="10" t="str">
        <f>+IF(Tabla2[[#This Row],[Demand_Forecast]]&lt;= 125,"Low demand",IF(Tabla2[[#This Row],[Demand_Forecast]] &gt;=285,"High demand","Mid demand"))</f>
        <v>Mid demand</v>
      </c>
    </row>
    <row r="78" spans="1:17" x14ac:dyDescent="0.25">
      <c r="A78" s="11">
        <v>45640.631261574075</v>
      </c>
      <c r="B78" s="10" t="s">
        <v>22</v>
      </c>
      <c r="C78" s="10" t="s">
        <v>188</v>
      </c>
      <c r="D78" s="10" t="s">
        <v>189</v>
      </c>
      <c r="E78" s="10">
        <v>454</v>
      </c>
      <c r="F78" s="10" t="s">
        <v>25</v>
      </c>
      <c r="G78" s="10">
        <v>23.7</v>
      </c>
      <c r="H78" s="10">
        <v>51.9</v>
      </c>
      <c r="I78" s="10" t="s">
        <v>38</v>
      </c>
      <c r="J78" s="10">
        <v>51</v>
      </c>
      <c r="K78" s="10">
        <v>232</v>
      </c>
      <c r="L78" s="10">
        <v>7</v>
      </c>
      <c r="M78" s="10" t="s">
        <v>27</v>
      </c>
      <c r="N78" s="10">
        <v>78.7</v>
      </c>
      <c r="O78" s="10">
        <v>172</v>
      </c>
      <c r="P78" s="10">
        <v>0</v>
      </c>
      <c r="Q78" s="10" t="str">
        <f>+IF(Tabla2[[#This Row],[Demand_Forecast]]&lt;= 125,"Low demand",IF(Tabla2[[#This Row],[Demand_Forecast]] &gt;=285,"High demand","Mid demand"))</f>
        <v>Mid demand</v>
      </c>
    </row>
    <row r="79" spans="1:17" x14ac:dyDescent="0.25">
      <c r="A79" s="11">
        <v>45306.500983796293</v>
      </c>
      <c r="B79" s="10" t="s">
        <v>95</v>
      </c>
      <c r="C79" s="10" t="s">
        <v>190</v>
      </c>
      <c r="D79" s="10" t="s">
        <v>191</v>
      </c>
      <c r="E79" s="10">
        <v>486</v>
      </c>
      <c r="F79" s="10" t="s">
        <v>34</v>
      </c>
      <c r="G79" s="10">
        <v>29.1</v>
      </c>
      <c r="H79" s="10">
        <v>78.400000000000006</v>
      </c>
      <c r="I79" s="10" t="s">
        <v>38</v>
      </c>
      <c r="J79" s="10">
        <v>21</v>
      </c>
      <c r="K79" s="10">
        <v>158</v>
      </c>
      <c r="L79" s="10">
        <v>7</v>
      </c>
      <c r="M79" s="10" t="s">
        <v>21</v>
      </c>
      <c r="N79" s="10">
        <v>62.6</v>
      </c>
      <c r="O79" s="10">
        <v>243</v>
      </c>
      <c r="P79" s="10">
        <v>0</v>
      </c>
      <c r="Q79" s="10" t="str">
        <f>+IF(Tabla2[[#This Row],[Demand_Forecast]]&lt;= 125,"Low demand",IF(Tabla2[[#This Row],[Demand_Forecast]] &gt;=285,"High demand","Mid demand"))</f>
        <v>Mid demand</v>
      </c>
    </row>
    <row r="80" spans="1:17" x14ac:dyDescent="0.25">
      <c r="A80" s="11">
        <v>45430.417268518519</v>
      </c>
      <c r="B80" s="10" t="s">
        <v>28</v>
      </c>
      <c r="C80" s="10" t="s">
        <v>192</v>
      </c>
      <c r="D80" s="10" t="s">
        <v>193</v>
      </c>
      <c r="E80" s="10">
        <v>483</v>
      </c>
      <c r="F80" s="10" t="s">
        <v>25</v>
      </c>
      <c r="G80" s="10">
        <v>29.2</v>
      </c>
      <c r="H80" s="10">
        <v>65</v>
      </c>
      <c r="I80" s="10" t="s">
        <v>26</v>
      </c>
      <c r="J80" s="10">
        <v>57</v>
      </c>
      <c r="K80" s="10">
        <v>167</v>
      </c>
      <c r="L80" s="10">
        <v>8</v>
      </c>
      <c r="M80" s="10" t="s">
        <v>51</v>
      </c>
      <c r="N80" s="10">
        <v>96.8</v>
      </c>
      <c r="O80" s="10">
        <v>245</v>
      </c>
      <c r="P80" s="10">
        <v>1</v>
      </c>
      <c r="Q80" s="10" t="str">
        <f>+IF(Tabla2[[#This Row],[Demand_Forecast]]&lt;= 125,"Low demand",IF(Tabla2[[#This Row],[Demand_Forecast]] &gt;=285,"High demand","Mid demand"))</f>
        <v>Mid demand</v>
      </c>
    </row>
    <row r="81" spans="1:17" x14ac:dyDescent="0.25">
      <c r="A81" s="11">
        <v>45613.085046296299</v>
      </c>
      <c r="B81" s="10" t="s">
        <v>41</v>
      </c>
      <c r="C81" s="10" t="s">
        <v>194</v>
      </c>
      <c r="D81" s="10" t="s">
        <v>195</v>
      </c>
      <c r="E81" s="10">
        <v>472</v>
      </c>
      <c r="F81" s="10" t="s">
        <v>34</v>
      </c>
      <c r="G81" s="10">
        <v>23.5</v>
      </c>
      <c r="H81" s="10">
        <v>72</v>
      </c>
      <c r="I81" s="10" t="s">
        <v>38</v>
      </c>
      <c r="J81" s="10">
        <v>59</v>
      </c>
      <c r="K81" s="10">
        <v>485</v>
      </c>
      <c r="L81" s="10">
        <v>3</v>
      </c>
      <c r="M81" s="10" t="s">
        <v>27</v>
      </c>
      <c r="N81" s="10">
        <v>67.2</v>
      </c>
      <c r="O81" s="10">
        <v>248</v>
      </c>
      <c r="P81" s="10">
        <v>0</v>
      </c>
      <c r="Q81" s="10" t="str">
        <f>+IF(Tabla2[[#This Row],[Demand_Forecast]]&lt;= 125,"Low demand",IF(Tabla2[[#This Row],[Demand_Forecast]] &gt;=285,"High demand","Mid demand"))</f>
        <v>Mid demand</v>
      </c>
    </row>
    <row r="82" spans="1:17" x14ac:dyDescent="0.25">
      <c r="A82" s="11">
        <v>45526.841631944444</v>
      </c>
      <c r="B82" s="10" t="s">
        <v>64</v>
      </c>
      <c r="C82" s="10" t="s">
        <v>196</v>
      </c>
      <c r="D82" s="10" t="s">
        <v>197</v>
      </c>
      <c r="E82" s="10">
        <v>186</v>
      </c>
      <c r="F82" s="10" t="s">
        <v>25</v>
      </c>
      <c r="G82" s="10">
        <v>18.899999999999999</v>
      </c>
      <c r="H82" s="10">
        <v>70.5</v>
      </c>
      <c r="I82" s="10" t="s">
        <v>38</v>
      </c>
      <c r="J82" s="10">
        <v>38</v>
      </c>
      <c r="K82" s="10">
        <v>344</v>
      </c>
      <c r="L82" s="10">
        <v>1</v>
      </c>
      <c r="M82" s="10" t="s">
        <v>35</v>
      </c>
      <c r="N82" s="10">
        <v>95.6</v>
      </c>
      <c r="O82" s="10">
        <v>252</v>
      </c>
      <c r="P82" s="10">
        <v>0</v>
      </c>
      <c r="Q82" s="10" t="str">
        <f>+IF(Tabla2[[#This Row],[Demand_Forecast]]&lt;= 125,"Low demand",IF(Tabla2[[#This Row],[Demand_Forecast]] &gt;=285,"High demand","Mid demand"))</f>
        <v>Mid demand</v>
      </c>
    </row>
    <row r="83" spans="1:17" x14ac:dyDescent="0.25">
      <c r="A83" s="11">
        <v>45547.333877314813</v>
      </c>
      <c r="B83" s="10" t="s">
        <v>22</v>
      </c>
      <c r="C83" s="10" t="s">
        <v>198</v>
      </c>
      <c r="D83" s="10" t="s">
        <v>199</v>
      </c>
      <c r="E83" s="10">
        <v>366</v>
      </c>
      <c r="F83" s="10" t="s">
        <v>25</v>
      </c>
      <c r="G83" s="10">
        <v>22.8</v>
      </c>
      <c r="H83" s="10">
        <v>66.7</v>
      </c>
      <c r="I83" s="10" t="s">
        <v>38</v>
      </c>
      <c r="J83" s="10">
        <v>39</v>
      </c>
      <c r="K83" s="10">
        <v>219</v>
      </c>
      <c r="L83" s="10">
        <v>7</v>
      </c>
      <c r="M83" s="10" t="s">
        <v>35</v>
      </c>
      <c r="N83" s="10">
        <v>91</v>
      </c>
      <c r="O83" s="10">
        <v>211</v>
      </c>
      <c r="P83" s="10">
        <v>0</v>
      </c>
      <c r="Q83" s="10" t="str">
        <f>+IF(Tabla2[[#This Row],[Demand_Forecast]]&lt;= 125,"Low demand",IF(Tabla2[[#This Row],[Demand_Forecast]] &gt;=285,"High demand","Mid demand"))</f>
        <v>Mid demand</v>
      </c>
    </row>
    <row r="84" spans="1:17" x14ac:dyDescent="0.25">
      <c r="A84" s="11">
        <v>45513.912858796299</v>
      </c>
      <c r="B84" s="10" t="s">
        <v>64</v>
      </c>
      <c r="C84" s="10" t="s">
        <v>200</v>
      </c>
      <c r="D84" s="10" t="s">
        <v>201</v>
      </c>
      <c r="E84" s="10">
        <v>359</v>
      </c>
      <c r="F84" s="10" t="s">
        <v>34</v>
      </c>
      <c r="G84" s="10">
        <v>23</v>
      </c>
      <c r="H84" s="10">
        <v>71.7</v>
      </c>
      <c r="I84" s="10" t="s">
        <v>20</v>
      </c>
      <c r="J84" s="10">
        <v>50</v>
      </c>
      <c r="K84" s="10">
        <v>486</v>
      </c>
      <c r="L84" s="10">
        <v>10</v>
      </c>
      <c r="M84" s="10" t="s">
        <v>35</v>
      </c>
      <c r="N84" s="10">
        <v>64</v>
      </c>
      <c r="O84" s="10">
        <v>169</v>
      </c>
      <c r="P84" s="10">
        <v>0</v>
      </c>
      <c r="Q84" s="10" t="str">
        <f>+IF(Tabla2[[#This Row],[Demand_Forecast]]&lt;= 125,"Low demand",IF(Tabla2[[#This Row],[Demand_Forecast]] &gt;=285,"High demand","Mid demand"))</f>
        <v>Mid demand</v>
      </c>
    </row>
    <row r="85" spans="1:17" x14ac:dyDescent="0.25">
      <c r="A85" s="11">
        <v>45401.118391203701</v>
      </c>
      <c r="B85" s="10" t="s">
        <v>16</v>
      </c>
      <c r="C85" s="10" t="s">
        <v>202</v>
      </c>
      <c r="D85" s="10" t="s">
        <v>203</v>
      </c>
      <c r="E85" s="10">
        <v>422</v>
      </c>
      <c r="F85" s="10" t="s">
        <v>19</v>
      </c>
      <c r="G85" s="10">
        <v>26.5</v>
      </c>
      <c r="H85" s="10">
        <v>75</v>
      </c>
      <c r="I85" s="10" t="s">
        <v>26</v>
      </c>
      <c r="J85" s="10">
        <v>39</v>
      </c>
      <c r="K85" s="10">
        <v>100</v>
      </c>
      <c r="L85" s="10">
        <v>6</v>
      </c>
      <c r="M85" s="10" t="s">
        <v>21</v>
      </c>
      <c r="N85" s="10">
        <v>67.2</v>
      </c>
      <c r="O85" s="10">
        <v>127</v>
      </c>
      <c r="P85" s="10">
        <v>1</v>
      </c>
      <c r="Q85" s="10" t="str">
        <f>+IF(Tabla2[[#This Row],[Demand_Forecast]]&lt;= 125,"Low demand",IF(Tabla2[[#This Row],[Demand_Forecast]] &gt;=285,"High demand","Mid demand"))</f>
        <v>Mid demand</v>
      </c>
    </row>
    <row r="86" spans="1:17" x14ac:dyDescent="0.25">
      <c r="A86" s="11">
        <v>45565.471226851849</v>
      </c>
      <c r="B86" s="10" t="s">
        <v>22</v>
      </c>
      <c r="C86" s="10" t="s">
        <v>204</v>
      </c>
      <c r="D86" s="10" t="s">
        <v>205</v>
      </c>
      <c r="E86" s="10">
        <v>209</v>
      </c>
      <c r="F86" s="10" t="s">
        <v>25</v>
      </c>
      <c r="G86" s="10">
        <v>24.9</v>
      </c>
      <c r="H86" s="10">
        <v>76.8</v>
      </c>
      <c r="I86" s="10" t="s">
        <v>38</v>
      </c>
      <c r="J86" s="10">
        <v>51</v>
      </c>
      <c r="K86" s="10">
        <v>214</v>
      </c>
      <c r="L86" s="10">
        <v>2</v>
      </c>
      <c r="M86" s="10" t="s">
        <v>51</v>
      </c>
      <c r="N86" s="10">
        <v>86.5</v>
      </c>
      <c r="O86" s="10">
        <v>156</v>
      </c>
      <c r="P86" s="10">
        <v>0</v>
      </c>
      <c r="Q86" s="10" t="str">
        <f>+IF(Tabla2[[#This Row],[Demand_Forecast]]&lt;= 125,"Low demand",IF(Tabla2[[#This Row],[Demand_Forecast]] &gt;=285,"High demand","Mid demand"))</f>
        <v>Mid demand</v>
      </c>
    </row>
    <row r="87" spans="1:17" x14ac:dyDescent="0.25">
      <c r="A87" s="11">
        <v>45373.697013888886</v>
      </c>
      <c r="B87" s="10" t="s">
        <v>64</v>
      </c>
      <c r="C87" s="10" t="s">
        <v>206</v>
      </c>
      <c r="D87" s="10" t="s">
        <v>207</v>
      </c>
      <c r="E87" s="10">
        <v>324</v>
      </c>
      <c r="F87" s="10" t="s">
        <v>19</v>
      </c>
      <c r="G87" s="10">
        <v>20.7</v>
      </c>
      <c r="H87" s="10">
        <v>77.5</v>
      </c>
      <c r="I87" s="10" t="s">
        <v>26</v>
      </c>
      <c r="J87" s="10">
        <v>39</v>
      </c>
      <c r="K87" s="10">
        <v>387</v>
      </c>
      <c r="L87" s="10">
        <v>1</v>
      </c>
      <c r="M87" s="10" t="s">
        <v>21</v>
      </c>
      <c r="N87" s="10">
        <v>69.099999999999994</v>
      </c>
      <c r="O87" s="10">
        <v>138</v>
      </c>
      <c r="P87" s="10">
        <v>1</v>
      </c>
      <c r="Q87" s="10" t="str">
        <f>+IF(Tabla2[[#This Row],[Demand_Forecast]]&lt;= 125,"Low demand",IF(Tabla2[[#This Row],[Demand_Forecast]] &gt;=285,"High demand","Mid demand"))</f>
        <v>Mid demand</v>
      </c>
    </row>
    <row r="88" spans="1:17" x14ac:dyDescent="0.25">
      <c r="A88" s="11">
        <v>45580.168703703705</v>
      </c>
      <c r="B88" s="10" t="s">
        <v>16</v>
      </c>
      <c r="C88" s="10" t="s">
        <v>208</v>
      </c>
      <c r="D88" s="10" t="s">
        <v>209</v>
      </c>
      <c r="E88" s="10">
        <v>199</v>
      </c>
      <c r="F88" s="10" t="s">
        <v>25</v>
      </c>
      <c r="G88" s="10">
        <v>27.4</v>
      </c>
      <c r="H88" s="10">
        <v>57.1</v>
      </c>
      <c r="I88" s="10" t="s">
        <v>26</v>
      </c>
      <c r="J88" s="10">
        <v>28</v>
      </c>
      <c r="K88" s="10">
        <v>383</v>
      </c>
      <c r="L88" s="10">
        <v>6</v>
      </c>
      <c r="M88" s="10" t="s">
        <v>21</v>
      </c>
      <c r="N88" s="10">
        <v>61.9</v>
      </c>
      <c r="O88" s="10">
        <v>105</v>
      </c>
      <c r="P88" s="10">
        <v>1</v>
      </c>
      <c r="Q88" s="10" t="str">
        <f>+IF(Tabla2[[#This Row],[Demand_Forecast]]&lt;= 125,"Low demand",IF(Tabla2[[#This Row],[Demand_Forecast]] &gt;=285,"High demand","Mid demand"))</f>
        <v>Low demand</v>
      </c>
    </row>
    <row r="89" spans="1:17" x14ac:dyDescent="0.25">
      <c r="A89" s="11">
        <v>45644.792708333334</v>
      </c>
      <c r="B89" s="10" t="s">
        <v>64</v>
      </c>
      <c r="C89" s="10" t="s">
        <v>210</v>
      </c>
      <c r="D89" s="10" t="s">
        <v>211</v>
      </c>
      <c r="E89" s="10">
        <v>213</v>
      </c>
      <c r="F89" s="10" t="s">
        <v>19</v>
      </c>
      <c r="G89" s="10">
        <v>27.7</v>
      </c>
      <c r="H89" s="10">
        <v>58.1</v>
      </c>
      <c r="I89" s="10" t="s">
        <v>38</v>
      </c>
      <c r="J89" s="10">
        <v>41</v>
      </c>
      <c r="K89" s="10">
        <v>267</v>
      </c>
      <c r="L89" s="10">
        <v>7</v>
      </c>
      <c r="M89" s="10" t="s">
        <v>51</v>
      </c>
      <c r="N89" s="10">
        <v>60.9</v>
      </c>
      <c r="O89" s="10">
        <v>254</v>
      </c>
      <c r="P89" s="10">
        <v>1</v>
      </c>
      <c r="Q89" s="10" t="str">
        <f>+IF(Tabla2[[#This Row],[Demand_Forecast]]&lt;= 125,"Low demand",IF(Tabla2[[#This Row],[Demand_Forecast]] &gt;=285,"High demand","Mid demand"))</f>
        <v>Mid demand</v>
      </c>
    </row>
    <row r="90" spans="1:17" x14ac:dyDescent="0.25">
      <c r="A90" s="11">
        <v>45452.716805555552</v>
      </c>
      <c r="B90" s="10" t="s">
        <v>41</v>
      </c>
      <c r="C90" s="10" t="s">
        <v>212</v>
      </c>
      <c r="D90" s="10" t="s">
        <v>213</v>
      </c>
      <c r="E90" s="10">
        <v>257</v>
      </c>
      <c r="F90" s="10" t="s">
        <v>19</v>
      </c>
      <c r="G90" s="10">
        <v>23.1</v>
      </c>
      <c r="H90" s="10">
        <v>59.1</v>
      </c>
      <c r="I90" s="10" t="s">
        <v>38</v>
      </c>
      <c r="J90" s="10">
        <v>56</v>
      </c>
      <c r="K90" s="10">
        <v>451</v>
      </c>
      <c r="L90" s="10">
        <v>3</v>
      </c>
      <c r="M90" s="10" t="s">
        <v>27</v>
      </c>
      <c r="N90" s="10">
        <v>93.8</v>
      </c>
      <c r="O90" s="10">
        <v>248</v>
      </c>
      <c r="P90" s="10">
        <v>1</v>
      </c>
      <c r="Q90" s="10" t="str">
        <f>+IF(Tabla2[[#This Row],[Demand_Forecast]]&lt;= 125,"Low demand",IF(Tabla2[[#This Row],[Demand_Forecast]] &gt;=285,"High demand","Mid demand"))</f>
        <v>Mid demand</v>
      </c>
    </row>
    <row r="91" spans="1:17" x14ac:dyDescent="0.25">
      <c r="A91" s="11">
        <v>45595.084560185183</v>
      </c>
      <c r="B91" s="10" t="s">
        <v>64</v>
      </c>
      <c r="C91" s="10" t="s">
        <v>214</v>
      </c>
      <c r="D91" s="10" t="s">
        <v>215</v>
      </c>
      <c r="E91" s="10">
        <v>475</v>
      </c>
      <c r="F91" s="10" t="s">
        <v>25</v>
      </c>
      <c r="G91" s="10">
        <v>22.2</v>
      </c>
      <c r="H91" s="10">
        <v>79.400000000000006</v>
      </c>
      <c r="I91" s="10" t="s">
        <v>20</v>
      </c>
      <c r="J91" s="10">
        <v>25</v>
      </c>
      <c r="K91" s="10">
        <v>268</v>
      </c>
      <c r="L91" s="10">
        <v>3</v>
      </c>
      <c r="M91" s="10" t="s">
        <v>27</v>
      </c>
      <c r="N91" s="10">
        <v>60.3</v>
      </c>
      <c r="O91" s="10">
        <v>151</v>
      </c>
      <c r="P91" s="10">
        <v>0</v>
      </c>
      <c r="Q91" s="10" t="str">
        <f>+IF(Tabla2[[#This Row],[Demand_Forecast]]&lt;= 125,"Low demand",IF(Tabla2[[#This Row],[Demand_Forecast]] &gt;=285,"High demand","Mid demand"))</f>
        <v>Mid demand</v>
      </c>
    </row>
    <row r="92" spans="1:17" x14ac:dyDescent="0.25">
      <c r="A92" s="11">
        <v>45466.128680555557</v>
      </c>
      <c r="B92" s="10" t="s">
        <v>16</v>
      </c>
      <c r="C92" s="10" t="s">
        <v>216</v>
      </c>
      <c r="D92" s="10" t="s">
        <v>217</v>
      </c>
      <c r="E92" s="10">
        <v>377</v>
      </c>
      <c r="F92" s="10" t="s">
        <v>25</v>
      </c>
      <c r="G92" s="10">
        <v>22.7</v>
      </c>
      <c r="H92" s="10">
        <v>75.5</v>
      </c>
      <c r="I92" s="10" t="s">
        <v>38</v>
      </c>
      <c r="J92" s="10">
        <v>59</v>
      </c>
      <c r="K92" s="10">
        <v>445</v>
      </c>
      <c r="L92" s="10">
        <v>7</v>
      </c>
      <c r="M92" s="10" t="s">
        <v>21</v>
      </c>
      <c r="N92" s="10">
        <v>99.1</v>
      </c>
      <c r="O92" s="10">
        <v>272</v>
      </c>
      <c r="P92" s="10">
        <v>0</v>
      </c>
      <c r="Q92" s="10" t="str">
        <f>+IF(Tabla2[[#This Row],[Demand_Forecast]]&lt;= 125,"Low demand",IF(Tabla2[[#This Row],[Demand_Forecast]] &gt;=285,"High demand","Mid demand"))</f>
        <v>Mid demand</v>
      </c>
    </row>
    <row r="93" spans="1:17" x14ac:dyDescent="0.25">
      <c r="A93" s="11">
        <v>45523.717847222222</v>
      </c>
      <c r="B93" s="10" t="s">
        <v>48</v>
      </c>
      <c r="C93" s="10" t="s">
        <v>218</v>
      </c>
      <c r="D93" s="10" t="s">
        <v>219</v>
      </c>
      <c r="E93" s="10">
        <v>456</v>
      </c>
      <c r="F93" s="10" t="s">
        <v>19</v>
      </c>
      <c r="G93" s="10">
        <v>26.4</v>
      </c>
      <c r="H93" s="10">
        <v>51.4</v>
      </c>
      <c r="I93" s="10" t="s">
        <v>26</v>
      </c>
      <c r="J93" s="10">
        <v>23</v>
      </c>
      <c r="K93" s="10">
        <v>100</v>
      </c>
      <c r="L93" s="10">
        <v>1</v>
      </c>
      <c r="M93" s="10" t="s">
        <v>27</v>
      </c>
      <c r="N93" s="10">
        <v>94.2</v>
      </c>
      <c r="O93" s="10">
        <v>105</v>
      </c>
      <c r="P93" s="10">
        <v>1</v>
      </c>
      <c r="Q93" s="10" t="str">
        <f>+IF(Tabla2[[#This Row],[Demand_Forecast]]&lt;= 125,"Low demand",IF(Tabla2[[#This Row],[Demand_Forecast]] &gt;=285,"High demand","Mid demand"))</f>
        <v>Low demand</v>
      </c>
    </row>
    <row r="94" spans="1:17" x14ac:dyDescent="0.25">
      <c r="A94" s="11">
        <v>45412.527650462966</v>
      </c>
      <c r="B94" s="10" t="s">
        <v>95</v>
      </c>
      <c r="C94" s="10" t="s">
        <v>220</v>
      </c>
      <c r="D94" s="10" t="s">
        <v>221</v>
      </c>
      <c r="E94" s="10">
        <v>106</v>
      </c>
      <c r="F94" s="10" t="s">
        <v>19</v>
      </c>
      <c r="G94" s="10">
        <v>18.3</v>
      </c>
      <c r="H94" s="10">
        <v>65.900000000000006</v>
      </c>
      <c r="I94" s="10" t="s">
        <v>26</v>
      </c>
      <c r="J94" s="10">
        <v>53</v>
      </c>
      <c r="K94" s="10">
        <v>244</v>
      </c>
      <c r="L94" s="10">
        <v>2</v>
      </c>
      <c r="M94" s="10" t="s">
        <v>35</v>
      </c>
      <c r="N94" s="10">
        <v>99.5</v>
      </c>
      <c r="O94" s="10">
        <v>125</v>
      </c>
      <c r="P94" s="10">
        <v>1</v>
      </c>
      <c r="Q94" s="10" t="str">
        <f>+IF(Tabla2[[#This Row],[Demand_Forecast]]&lt;= 125,"Low demand",IF(Tabla2[[#This Row],[Demand_Forecast]] &gt;=285,"High demand","Mid demand"))</f>
        <v>Low demand</v>
      </c>
    </row>
    <row r="95" spans="1:17" x14ac:dyDescent="0.25">
      <c r="A95" s="11">
        <v>45641.162222222221</v>
      </c>
      <c r="B95" s="10" t="s">
        <v>28</v>
      </c>
      <c r="C95" s="10" t="s">
        <v>222</v>
      </c>
      <c r="D95" s="10" t="s">
        <v>223</v>
      </c>
      <c r="E95" s="10">
        <v>234</v>
      </c>
      <c r="F95" s="10" t="s">
        <v>19</v>
      </c>
      <c r="G95" s="10">
        <v>29.1</v>
      </c>
      <c r="H95" s="10">
        <v>65.3</v>
      </c>
      <c r="I95" s="10" t="s">
        <v>38</v>
      </c>
      <c r="J95" s="10">
        <v>19</v>
      </c>
      <c r="K95" s="10">
        <v>432</v>
      </c>
      <c r="L95" s="10">
        <v>3</v>
      </c>
      <c r="M95" s="10" t="s">
        <v>27</v>
      </c>
      <c r="N95" s="10">
        <v>92.7</v>
      </c>
      <c r="O95" s="10">
        <v>214</v>
      </c>
      <c r="P95" s="10">
        <v>1</v>
      </c>
      <c r="Q95" s="10" t="str">
        <f>+IF(Tabla2[[#This Row],[Demand_Forecast]]&lt;= 125,"Low demand",IF(Tabla2[[#This Row],[Demand_Forecast]] &gt;=285,"High demand","Mid demand"))</f>
        <v>Mid demand</v>
      </c>
    </row>
    <row r="96" spans="1:17" x14ac:dyDescent="0.25">
      <c r="A96" s="11">
        <v>45372.622708333336</v>
      </c>
      <c r="B96" s="10" t="s">
        <v>56</v>
      </c>
      <c r="C96" s="10" t="s">
        <v>224</v>
      </c>
      <c r="D96" s="10" t="s">
        <v>225</v>
      </c>
      <c r="E96" s="10">
        <v>390</v>
      </c>
      <c r="F96" s="10" t="s">
        <v>19</v>
      </c>
      <c r="G96" s="10">
        <v>19.5</v>
      </c>
      <c r="H96" s="10">
        <v>79.2</v>
      </c>
      <c r="I96" s="10" t="s">
        <v>26</v>
      </c>
      <c r="J96" s="10">
        <v>26</v>
      </c>
      <c r="K96" s="10">
        <v>366</v>
      </c>
      <c r="L96" s="10">
        <v>4</v>
      </c>
      <c r="M96" s="10" t="s">
        <v>51</v>
      </c>
      <c r="N96" s="10">
        <v>69.400000000000006</v>
      </c>
      <c r="O96" s="10">
        <v>217</v>
      </c>
      <c r="P96" s="10">
        <v>1</v>
      </c>
      <c r="Q96" s="10" t="str">
        <f>+IF(Tabla2[[#This Row],[Demand_Forecast]]&lt;= 125,"Low demand",IF(Tabla2[[#This Row],[Demand_Forecast]] &gt;=285,"High demand","Mid demand"))</f>
        <v>Mid demand</v>
      </c>
    </row>
    <row r="97" spans="1:17" x14ac:dyDescent="0.25">
      <c r="A97" s="11">
        <v>45562.755740740744</v>
      </c>
      <c r="B97" s="10" t="s">
        <v>41</v>
      </c>
      <c r="C97" s="10" t="s">
        <v>226</v>
      </c>
      <c r="D97" s="10" t="s">
        <v>227</v>
      </c>
      <c r="E97" s="10">
        <v>203</v>
      </c>
      <c r="F97" s="10" t="s">
        <v>34</v>
      </c>
      <c r="G97" s="10">
        <v>20.399999999999999</v>
      </c>
      <c r="H97" s="10">
        <v>78.3</v>
      </c>
      <c r="I97" s="10" t="s">
        <v>20</v>
      </c>
      <c r="J97" s="10">
        <v>21</v>
      </c>
      <c r="K97" s="10">
        <v>187</v>
      </c>
      <c r="L97" s="10">
        <v>5</v>
      </c>
      <c r="M97" s="10" t="s">
        <v>21</v>
      </c>
      <c r="N97" s="10">
        <v>87.9</v>
      </c>
      <c r="O97" s="10">
        <v>262</v>
      </c>
      <c r="P97" s="10">
        <v>0</v>
      </c>
      <c r="Q97" s="10" t="str">
        <f>+IF(Tabla2[[#This Row],[Demand_Forecast]]&lt;= 125,"Low demand",IF(Tabla2[[#This Row],[Demand_Forecast]] &gt;=285,"High demand","Mid demand"))</f>
        <v>Mid demand</v>
      </c>
    </row>
    <row r="98" spans="1:17" x14ac:dyDescent="0.25">
      <c r="A98" s="11">
        <v>45613.357662037037</v>
      </c>
      <c r="B98" s="10" t="s">
        <v>22</v>
      </c>
      <c r="C98" s="10" t="s">
        <v>228</v>
      </c>
      <c r="D98" s="10" t="s">
        <v>229</v>
      </c>
      <c r="E98" s="10">
        <v>297</v>
      </c>
      <c r="F98" s="10" t="s">
        <v>19</v>
      </c>
      <c r="G98" s="10">
        <v>23.1</v>
      </c>
      <c r="H98" s="10">
        <v>59.4</v>
      </c>
      <c r="I98" s="10" t="s">
        <v>20</v>
      </c>
      <c r="J98" s="10">
        <v>29</v>
      </c>
      <c r="K98" s="10">
        <v>268</v>
      </c>
      <c r="L98" s="10">
        <v>10</v>
      </c>
      <c r="M98" s="10" t="s">
        <v>35</v>
      </c>
      <c r="N98" s="10">
        <v>71.2</v>
      </c>
      <c r="O98" s="10">
        <v>151</v>
      </c>
      <c r="P98" s="10">
        <v>1</v>
      </c>
      <c r="Q98" s="10" t="str">
        <f>+IF(Tabla2[[#This Row],[Demand_Forecast]]&lt;= 125,"Low demand",IF(Tabla2[[#This Row],[Demand_Forecast]] &gt;=285,"High demand","Mid demand"))</f>
        <v>Mid demand</v>
      </c>
    </row>
    <row r="99" spans="1:17" x14ac:dyDescent="0.25">
      <c r="A99" s="11">
        <v>45415.148935185185</v>
      </c>
      <c r="B99" s="10" t="s">
        <v>31</v>
      </c>
      <c r="C99" s="10" t="s">
        <v>230</v>
      </c>
      <c r="D99" s="10" t="s">
        <v>231</v>
      </c>
      <c r="E99" s="10">
        <v>238</v>
      </c>
      <c r="F99" s="10" t="s">
        <v>25</v>
      </c>
      <c r="G99" s="10">
        <v>25</v>
      </c>
      <c r="H99" s="10">
        <v>75.8</v>
      </c>
      <c r="I99" s="10" t="s">
        <v>26</v>
      </c>
      <c r="J99" s="10">
        <v>26</v>
      </c>
      <c r="K99" s="10">
        <v>330</v>
      </c>
      <c r="L99" s="10">
        <v>9</v>
      </c>
      <c r="M99" s="10" t="s">
        <v>27</v>
      </c>
      <c r="N99" s="10">
        <v>99.2</v>
      </c>
      <c r="O99" s="10">
        <v>165</v>
      </c>
      <c r="P99" s="10">
        <v>1</v>
      </c>
      <c r="Q99" s="10" t="str">
        <f>+IF(Tabla2[[#This Row],[Demand_Forecast]]&lt;= 125,"Low demand",IF(Tabla2[[#This Row],[Demand_Forecast]] &gt;=285,"High demand","Mid demand"))</f>
        <v>Mid demand</v>
      </c>
    </row>
    <row r="100" spans="1:17" x14ac:dyDescent="0.25">
      <c r="A100" s="11">
        <v>45356.038043981483</v>
      </c>
      <c r="B100" s="10" t="s">
        <v>41</v>
      </c>
      <c r="C100" s="10" t="s">
        <v>232</v>
      </c>
      <c r="D100" s="10" t="s">
        <v>233</v>
      </c>
      <c r="E100" s="10">
        <v>126</v>
      </c>
      <c r="F100" s="10" t="s">
        <v>34</v>
      </c>
      <c r="G100" s="10">
        <v>28.2</v>
      </c>
      <c r="H100" s="10">
        <v>54.5</v>
      </c>
      <c r="I100" s="10" t="s">
        <v>20</v>
      </c>
      <c r="J100" s="10">
        <v>35</v>
      </c>
      <c r="K100" s="10">
        <v>320</v>
      </c>
      <c r="L100" s="10">
        <v>4</v>
      </c>
      <c r="M100" s="10" t="s">
        <v>51</v>
      </c>
      <c r="N100" s="10">
        <v>93.7</v>
      </c>
      <c r="O100" s="10">
        <v>136</v>
      </c>
      <c r="P100" s="10">
        <v>0</v>
      </c>
      <c r="Q100" s="10" t="str">
        <f>+IF(Tabla2[[#This Row],[Demand_Forecast]]&lt;= 125,"Low demand",IF(Tabla2[[#This Row],[Demand_Forecast]] &gt;=285,"High demand","Mid demand"))</f>
        <v>Mid demand</v>
      </c>
    </row>
    <row r="101" spans="1:17" x14ac:dyDescent="0.25">
      <c r="A101" s="11">
        <v>45305.390740740739</v>
      </c>
      <c r="B101" s="10" t="s">
        <v>48</v>
      </c>
      <c r="C101" s="10" t="s">
        <v>234</v>
      </c>
      <c r="D101" s="10" t="s">
        <v>235</v>
      </c>
      <c r="E101" s="10">
        <v>455</v>
      </c>
      <c r="F101" s="10" t="s">
        <v>34</v>
      </c>
      <c r="G101" s="10">
        <v>22.9</v>
      </c>
      <c r="H101" s="10">
        <v>79.599999999999994</v>
      </c>
      <c r="I101" s="10" t="s">
        <v>20</v>
      </c>
      <c r="J101" s="10">
        <v>51</v>
      </c>
      <c r="K101" s="10">
        <v>410</v>
      </c>
      <c r="L101" s="10">
        <v>9</v>
      </c>
      <c r="M101" s="10" t="s">
        <v>27</v>
      </c>
      <c r="N101" s="10">
        <v>84.9</v>
      </c>
      <c r="O101" s="10">
        <v>233</v>
      </c>
      <c r="P101" s="10">
        <v>0</v>
      </c>
      <c r="Q101" s="10" t="str">
        <f>+IF(Tabla2[[#This Row],[Demand_Forecast]]&lt;= 125,"Low demand",IF(Tabla2[[#This Row],[Demand_Forecast]] &gt;=285,"High demand","Mid demand"))</f>
        <v>Mid demand</v>
      </c>
    </row>
    <row r="102" spans="1:17" x14ac:dyDescent="0.25">
      <c r="A102" s="11">
        <v>45339.879224537035</v>
      </c>
      <c r="B102" s="10" t="s">
        <v>41</v>
      </c>
      <c r="C102" s="10" t="s">
        <v>236</v>
      </c>
      <c r="D102" s="10" t="s">
        <v>237</v>
      </c>
      <c r="E102" s="10">
        <v>220</v>
      </c>
      <c r="F102" s="10" t="s">
        <v>19</v>
      </c>
      <c r="G102" s="10">
        <v>29.4</v>
      </c>
      <c r="H102" s="10">
        <v>52.4</v>
      </c>
      <c r="I102" s="10" t="s">
        <v>38</v>
      </c>
      <c r="J102" s="10">
        <v>18</v>
      </c>
      <c r="K102" s="10">
        <v>468</v>
      </c>
      <c r="L102" s="10">
        <v>9</v>
      </c>
      <c r="M102" s="10" t="s">
        <v>51</v>
      </c>
      <c r="N102" s="10">
        <v>63.1</v>
      </c>
      <c r="O102" s="10">
        <v>137</v>
      </c>
      <c r="P102" s="10">
        <v>1</v>
      </c>
      <c r="Q102" s="10" t="str">
        <f>+IF(Tabla2[[#This Row],[Demand_Forecast]]&lt;= 125,"Low demand",IF(Tabla2[[#This Row],[Demand_Forecast]] &gt;=285,"High demand","Mid demand"))</f>
        <v>Mid demand</v>
      </c>
    </row>
    <row r="103" spans="1:17" x14ac:dyDescent="0.25">
      <c r="A103" s="11">
        <v>45479.470462962963</v>
      </c>
      <c r="B103" s="10" t="s">
        <v>64</v>
      </c>
      <c r="C103" s="10" t="s">
        <v>238</v>
      </c>
      <c r="D103" s="10" t="s">
        <v>239</v>
      </c>
      <c r="E103" s="10">
        <v>403</v>
      </c>
      <c r="F103" s="10" t="s">
        <v>25</v>
      </c>
      <c r="G103" s="10">
        <v>22.5</v>
      </c>
      <c r="H103" s="10">
        <v>62.5</v>
      </c>
      <c r="I103" s="10" t="s">
        <v>38</v>
      </c>
      <c r="J103" s="10">
        <v>38</v>
      </c>
      <c r="K103" s="10">
        <v>225</v>
      </c>
      <c r="L103" s="10">
        <v>3</v>
      </c>
      <c r="M103" s="10" t="s">
        <v>27</v>
      </c>
      <c r="N103" s="10">
        <v>81.400000000000006</v>
      </c>
      <c r="O103" s="10">
        <v>169</v>
      </c>
      <c r="P103" s="10">
        <v>0</v>
      </c>
      <c r="Q103" s="10" t="str">
        <f>+IF(Tabla2[[#This Row],[Demand_Forecast]]&lt;= 125,"Low demand",IF(Tabla2[[#This Row],[Demand_Forecast]] &gt;=285,"High demand","Mid demand"))</f>
        <v>Mid demand</v>
      </c>
    </row>
    <row r="104" spans="1:17" x14ac:dyDescent="0.25">
      <c r="A104" s="11">
        <v>45422.926608796297</v>
      </c>
      <c r="B104" s="10" t="s">
        <v>28</v>
      </c>
      <c r="C104" s="10" t="s">
        <v>240</v>
      </c>
      <c r="D104" s="10" t="s">
        <v>241</v>
      </c>
      <c r="E104" s="10">
        <v>448</v>
      </c>
      <c r="F104" s="10" t="s">
        <v>19</v>
      </c>
      <c r="G104" s="10">
        <v>23.4</v>
      </c>
      <c r="H104" s="10">
        <v>59.9</v>
      </c>
      <c r="I104" s="10" t="s">
        <v>20</v>
      </c>
      <c r="J104" s="10">
        <v>41</v>
      </c>
      <c r="K104" s="10">
        <v>120</v>
      </c>
      <c r="L104" s="10">
        <v>10</v>
      </c>
      <c r="M104" s="10" t="s">
        <v>27</v>
      </c>
      <c r="N104" s="10">
        <v>70.8</v>
      </c>
      <c r="O104" s="10">
        <v>150</v>
      </c>
      <c r="P104" s="10">
        <v>1</v>
      </c>
      <c r="Q104" s="10" t="str">
        <f>+IF(Tabla2[[#This Row],[Demand_Forecast]]&lt;= 125,"Low demand",IF(Tabla2[[#This Row],[Demand_Forecast]] &gt;=285,"High demand","Mid demand"))</f>
        <v>Mid demand</v>
      </c>
    </row>
    <row r="105" spans="1:17" x14ac:dyDescent="0.25">
      <c r="A105" s="11">
        <v>45649.7890162037</v>
      </c>
      <c r="B105" s="10" t="s">
        <v>64</v>
      </c>
      <c r="C105" s="10" t="s">
        <v>242</v>
      </c>
      <c r="D105" s="10" t="s">
        <v>243</v>
      </c>
      <c r="E105" s="10">
        <v>168</v>
      </c>
      <c r="F105" s="10" t="s">
        <v>25</v>
      </c>
      <c r="G105" s="10">
        <v>22.4</v>
      </c>
      <c r="H105" s="10">
        <v>57.9</v>
      </c>
      <c r="I105" s="10" t="s">
        <v>26</v>
      </c>
      <c r="J105" s="10">
        <v>43</v>
      </c>
      <c r="K105" s="10">
        <v>377</v>
      </c>
      <c r="L105" s="10">
        <v>4</v>
      </c>
      <c r="M105" s="10" t="s">
        <v>51</v>
      </c>
      <c r="N105" s="10">
        <v>71.099999999999994</v>
      </c>
      <c r="O105" s="10">
        <v>140</v>
      </c>
      <c r="P105" s="10">
        <v>1</v>
      </c>
      <c r="Q105" s="10" t="str">
        <f>+IF(Tabla2[[#This Row],[Demand_Forecast]]&lt;= 125,"Low demand",IF(Tabla2[[#This Row],[Demand_Forecast]] &gt;=285,"High demand","Mid demand"))</f>
        <v>Mid demand</v>
      </c>
    </row>
    <row r="106" spans="1:17" x14ac:dyDescent="0.25">
      <c r="A106" s="11">
        <v>45328.352800925924</v>
      </c>
      <c r="B106" s="10" t="s">
        <v>16</v>
      </c>
      <c r="C106" s="10" t="s">
        <v>244</v>
      </c>
      <c r="D106" s="10" t="s">
        <v>245</v>
      </c>
      <c r="E106" s="10">
        <v>409</v>
      </c>
      <c r="F106" s="10" t="s">
        <v>34</v>
      </c>
      <c r="G106" s="10">
        <v>18</v>
      </c>
      <c r="H106" s="10">
        <v>53.5</v>
      </c>
      <c r="I106" s="10" t="s">
        <v>26</v>
      </c>
      <c r="J106" s="10">
        <v>47</v>
      </c>
      <c r="K106" s="10">
        <v>153</v>
      </c>
      <c r="L106" s="10">
        <v>9</v>
      </c>
      <c r="M106" s="10" t="s">
        <v>21</v>
      </c>
      <c r="N106" s="10">
        <v>74.099999999999994</v>
      </c>
      <c r="O106" s="10">
        <v>117</v>
      </c>
      <c r="P106" s="10">
        <v>1</v>
      </c>
      <c r="Q106" s="10" t="str">
        <f>+IF(Tabla2[[#This Row],[Demand_Forecast]]&lt;= 125,"Low demand",IF(Tabla2[[#This Row],[Demand_Forecast]] &gt;=285,"High demand","Mid demand"))</f>
        <v>Low demand</v>
      </c>
    </row>
    <row r="107" spans="1:17" x14ac:dyDescent="0.25">
      <c r="A107" s="11">
        <v>45551.422824074078</v>
      </c>
      <c r="B107" s="10" t="s">
        <v>48</v>
      </c>
      <c r="C107" s="10" t="s">
        <v>246</v>
      </c>
      <c r="D107" s="10" t="s">
        <v>247</v>
      </c>
      <c r="E107" s="10">
        <v>469</v>
      </c>
      <c r="F107" s="10" t="s">
        <v>25</v>
      </c>
      <c r="G107" s="10">
        <v>20.7</v>
      </c>
      <c r="H107" s="10">
        <v>70.400000000000006</v>
      </c>
      <c r="I107" s="10" t="s">
        <v>38</v>
      </c>
      <c r="J107" s="10">
        <v>31</v>
      </c>
      <c r="K107" s="10">
        <v>335</v>
      </c>
      <c r="L107" s="10">
        <v>7</v>
      </c>
      <c r="M107" s="10" t="s">
        <v>35</v>
      </c>
      <c r="N107" s="10">
        <v>86.1</v>
      </c>
      <c r="O107" s="10">
        <v>298</v>
      </c>
      <c r="P107" s="10">
        <v>0</v>
      </c>
      <c r="Q107" s="10" t="str">
        <f>+IF(Tabla2[[#This Row],[Demand_Forecast]]&lt;= 125,"Low demand",IF(Tabla2[[#This Row],[Demand_Forecast]] &gt;=285,"High demand","Mid demand"))</f>
        <v>High demand</v>
      </c>
    </row>
    <row r="108" spans="1:17" x14ac:dyDescent="0.25">
      <c r="A108" s="11">
        <v>45317.539236111108</v>
      </c>
      <c r="B108" s="10" t="s">
        <v>64</v>
      </c>
      <c r="C108" s="10" t="s">
        <v>248</v>
      </c>
      <c r="D108" s="10" t="s">
        <v>249</v>
      </c>
      <c r="E108" s="10">
        <v>305</v>
      </c>
      <c r="F108" s="10" t="s">
        <v>25</v>
      </c>
      <c r="G108" s="10">
        <v>20.5</v>
      </c>
      <c r="H108" s="10">
        <v>71.2</v>
      </c>
      <c r="I108" s="10" t="s">
        <v>20</v>
      </c>
      <c r="J108" s="10">
        <v>44</v>
      </c>
      <c r="K108" s="10">
        <v>302</v>
      </c>
      <c r="L108" s="10">
        <v>10</v>
      </c>
      <c r="M108" s="10" t="s">
        <v>27</v>
      </c>
      <c r="N108" s="10">
        <v>71.900000000000006</v>
      </c>
      <c r="O108" s="10">
        <v>141</v>
      </c>
      <c r="P108" s="10">
        <v>0</v>
      </c>
      <c r="Q108" s="10" t="str">
        <f>+IF(Tabla2[[#This Row],[Demand_Forecast]]&lt;= 125,"Low demand",IF(Tabla2[[#This Row],[Demand_Forecast]] &gt;=285,"High demand","Mid demand"))</f>
        <v>Mid demand</v>
      </c>
    </row>
    <row r="109" spans="1:17" x14ac:dyDescent="0.25">
      <c r="A109" s="11">
        <v>45625.273981481485</v>
      </c>
      <c r="B109" s="10" t="s">
        <v>64</v>
      </c>
      <c r="C109" s="10" t="s">
        <v>250</v>
      </c>
      <c r="D109" s="10" t="s">
        <v>251</v>
      </c>
      <c r="E109" s="10">
        <v>219</v>
      </c>
      <c r="F109" s="10" t="s">
        <v>19</v>
      </c>
      <c r="G109" s="10">
        <v>26.6</v>
      </c>
      <c r="H109" s="10">
        <v>79.8</v>
      </c>
      <c r="I109" s="10" t="s">
        <v>26</v>
      </c>
      <c r="J109" s="10">
        <v>46</v>
      </c>
      <c r="K109" s="10">
        <v>245</v>
      </c>
      <c r="L109" s="10">
        <v>1</v>
      </c>
      <c r="M109" s="10" t="s">
        <v>21</v>
      </c>
      <c r="N109" s="10">
        <v>70.5</v>
      </c>
      <c r="O109" s="10">
        <v>202</v>
      </c>
      <c r="P109" s="10">
        <v>1</v>
      </c>
      <c r="Q109" s="10" t="str">
        <f>+IF(Tabla2[[#This Row],[Demand_Forecast]]&lt;= 125,"Low demand",IF(Tabla2[[#This Row],[Demand_Forecast]] &gt;=285,"High demand","Mid demand"))</f>
        <v>Mid demand</v>
      </c>
    </row>
    <row r="110" spans="1:17" x14ac:dyDescent="0.25">
      <c r="A110" s="11">
        <v>45445.803344907406</v>
      </c>
      <c r="B110" s="10" t="s">
        <v>56</v>
      </c>
      <c r="C110" s="10" t="s">
        <v>252</v>
      </c>
      <c r="D110" s="10" t="s">
        <v>253</v>
      </c>
      <c r="E110" s="10">
        <v>167</v>
      </c>
      <c r="F110" s="10" t="s">
        <v>19</v>
      </c>
      <c r="G110" s="10">
        <v>23.8</v>
      </c>
      <c r="H110" s="10">
        <v>71.599999999999994</v>
      </c>
      <c r="I110" s="10" t="s">
        <v>38</v>
      </c>
      <c r="J110" s="10">
        <v>55</v>
      </c>
      <c r="K110" s="10">
        <v>416</v>
      </c>
      <c r="L110" s="10">
        <v>8</v>
      </c>
      <c r="M110" s="10" t="s">
        <v>35</v>
      </c>
      <c r="N110" s="10">
        <v>60.7</v>
      </c>
      <c r="O110" s="10">
        <v>263</v>
      </c>
      <c r="P110" s="10">
        <v>1</v>
      </c>
      <c r="Q110" s="10" t="str">
        <f>+IF(Tabla2[[#This Row],[Demand_Forecast]]&lt;= 125,"Low demand",IF(Tabla2[[#This Row],[Demand_Forecast]] &gt;=285,"High demand","Mid demand"))</f>
        <v>Mid demand</v>
      </c>
    </row>
    <row r="111" spans="1:17" x14ac:dyDescent="0.25">
      <c r="A111" s="11">
        <v>45330.421805555554</v>
      </c>
      <c r="B111" s="10" t="s">
        <v>41</v>
      </c>
      <c r="C111" s="10" t="s">
        <v>254</v>
      </c>
      <c r="D111" s="10" t="s">
        <v>255</v>
      </c>
      <c r="E111" s="10">
        <v>100</v>
      </c>
      <c r="F111" s="10" t="s">
        <v>19</v>
      </c>
      <c r="G111" s="10">
        <v>24.1</v>
      </c>
      <c r="H111" s="10">
        <v>50.9</v>
      </c>
      <c r="I111" s="10" t="s">
        <v>20</v>
      </c>
      <c r="J111" s="10">
        <v>39</v>
      </c>
      <c r="K111" s="10">
        <v>340</v>
      </c>
      <c r="L111" s="10">
        <v>4</v>
      </c>
      <c r="M111" s="10" t="s">
        <v>21</v>
      </c>
      <c r="N111" s="10">
        <v>96.9</v>
      </c>
      <c r="O111" s="10">
        <v>274</v>
      </c>
      <c r="P111" s="10">
        <v>1</v>
      </c>
      <c r="Q111" s="10" t="str">
        <f>+IF(Tabla2[[#This Row],[Demand_Forecast]]&lt;= 125,"Low demand",IF(Tabla2[[#This Row],[Demand_Forecast]] &gt;=285,"High demand","Mid demand"))</f>
        <v>Mid demand</v>
      </c>
    </row>
    <row r="112" spans="1:17" x14ac:dyDescent="0.25">
      <c r="A112" s="11">
        <v>45521.295312499999</v>
      </c>
      <c r="B112" s="10" t="s">
        <v>31</v>
      </c>
      <c r="C112" s="10" t="s">
        <v>256</v>
      </c>
      <c r="D112" s="10" t="s">
        <v>257</v>
      </c>
      <c r="E112" s="10">
        <v>321</v>
      </c>
      <c r="F112" s="10" t="s">
        <v>25</v>
      </c>
      <c r="G112" s="10">
        <v>25.4</v>
      </c>
      <c r="H112" s="10">
        <v>53.8</v>
      </c>
      <c r="I112" s="10" t="s">
        <v>38</v>
      </c>
      <c r="J112" s="10">
        <v>24</v>
      </c>
      <c r="K112" s="10">
        <v>340</v>
      </c>
      <c r="L112" s="10">
        <v>5</v>
      </c>
      <c r="M112" s="10" t="s">
        <v>35</v>
      </c>
      <c r="N112" s="10">
        <v>84.6</v>
      </c>
      <c r="O112" s="10">
        <v>223</v>
      </c>
      <c r="P112" s="10">
        <v>0</v>
      </c>
      <c r="Q112" s="10" t="str">
        <f>+IF(Tabla2[[#This Row],[Demand_Forecast]]&lt;= 125,"Low demand",IF(Tabla2[[#This Row],[Demand_Forecast]] &gt;=285,"High demand","Mid demand"))</f>
        <v>Mid demand</v>
      </c>
    </row>
    <row r="113" spans="1:17" x14ac:dyDescent="0.25">
      <c r="A113" s="11">
        <v>45318.173043981478</v>
      </c>
      <c r="B113" s="10" t="s">
        <v>16</v>
      </c>
      <c r="C113" s="10" t="s">
        <v>258</v>
      </c>
      <c r="D113" s="10" t="s">
        <v>259</v>
      </c>
      <c r="E113" s="10">
        <v>244</v>
      </c>
      <c r="F113" s="10" t="s">
        <v>34</v>
      </c>
      <c r="G113" s="10">
        <v>23.6</v>
      </c>
      <c r="H113" s="10">
        <v>64.900000000000006</v>
      </c>
      <c r="I113" s="10" t="s">
        <v>38</v>
      </c>
      <c r="J113" s="10">
        <v>24</v>
      </c>
      <c r="K113" s="10">
        <v>145</v>
      </c>
      <c r="L113" s="10">
        <v>4</v>
      </c>
      <c r="M113" s="10" t="s">
        <v>51</v>
      </c>
      <c r="N113" s="10">
        <v>67.599999999999994</v>
      </c>
      <c r="O113" s="10">
        <v>285</v>
      </c>
      <c r="P113" s="10">
        <v>0</v>
      </c>
      <c r="Q113" s="10" t="str">
        <f>+IF(Tabla2[[#This Row],[Demand_Forecast]]&lt;= 125,"Low demand",IF(Tabla2[[#This Row],[Demand_Forecast]] &gt;=285,"High demand","Mid demand"))</f>
        <v>High demand</v>
      </c>
    </row>
    <row r="114" spans="1:17" x14ac:dyDescent="0.25">
      <c r="A114" s="11">
        <v>45639.038321759261</v>
      </c>
      <c r="B114" s="10" t="s">
        <v>31</v>
      </c>
      <c r="C114" s="10" t="s">
        <v>260</v>
      </c>
      <c r="D114" s="10" t="s">
        <v>261</v>
      </c>
      <c r="E114" s="10">
        <v>281</v>
      </c>
      <c r="F114" s="10" t="s">
        <v>34</v>
      </c>
      <c r="G114" s="10">
        <v>18.399999999999999</v>
      </c>
      <c r="H114" s="10">
        <v>74.599999999999994</v>
      </c>
      <c r="I114" s="10" t="s">
        <v>20</v>
      </c>
      <c r="J114" s="10">
        <v>41</v>
      </c>
      <c r="K114" s="10">
        <v>419</v>
      </c>
      <c r="L114" s="10">
        <v>6</v>
      </c>
      <c r="M114" s="10" t="s">
        <v>21</v>
      </c>
      <c r="N114" s="10">
        <v>69.099999999999994</v>
      </c>
      <c r="O114" s="10">
        <v>242</v>
      </c>
      <c r="P114" s="10">
        <v>0</v>
      </c>
      <c r="Q114" s="10" t="str">
        <f>+IF(Tabla2[[#This Row],[Demand_Forecast]]&lt;= 125,"Low demand",IF(Tabla2[[#This Row],[Demand_Forecast]] &gt;=285,"High demand","Mid demand"))</f>
        <v>Mid demand</v>
      </c>
    </row>
    <row r="115" spans="1:17" x14ac:dyDescent="0.25">
      <c r="A115" s="11">
        <v>45591.913437499999</v>
      </c>
      <c r="B115" s="10" t="s">
        <v>16</v>
      </c>
      <c r="C115" s="10" t="s">
        <v>262</v>
      </c>
      <c r="D115" s="10" t="s">
        <v>263</v>
      </c>
      <c r="E115" s="10">
        <v>301</v>
      </c>
      <c r="F115" s="10" t="s">
        <v>34</v>
      </c>
      <c r="G115" s="10">
        <v>18.3</v>
      </c>
      <c r="H115" s="10">
        <v>60</v>
      </c>
      <c r="I115" s="10" t="s">
        <v>20</v>
      </c>
      <c r="J115" s="10">
        <v>42</v>
      </c>
      <c r="K115" s="10">
        <v>243</v>
      </c>
      <c r="L115" s="10">
        <v>3</v>
      </c>
      <c r="M115" s="10" t="s">
        <v>51</v>
      </c>
      <c r="N115" s="10">
        <v>99</v>
      </c>
      <c r="O115" s="10">
        <v>273</v>
      </c>
      <c r="P115" s="10">
        <v>0</v>
      </c>
      <c r="Q115" s="10" t="str">
        <f>+IF(Tabla2[[#This Row],[Demand_Forecast]]&lt;= 125,"Low demand",IF(Tabla2[[#This Row],[Demand_Forecast]] &gt;=285,"High demand","Mid demand"))</f>
        <v>Mid demand</v>
      </c>
    </row>
    <row r="116" spans="1:17" x14ac:dyDescent="0.25">
      <c r="A116" s="11">
        <v>45370.238078703704</v>
      </c>
      <c r="B116" s="10" t="s">
        <v>56</v>
      </c>
      <c r="C116" s="10" t="s">
        <v>264</v>
      </c>
      <c r="D116" s="10" t="s">
        <v>265</v>
      </c>
      <c r="E116" s="10">
        <v>437</v>
      </c>
      <c r="F116" s="10" t="s">
        <v>25</v>
      </c>
      <c r="G116" s="10">
        <v>25.5</v>
      </c>
      <c r="H116" s="10">
        <v>73.2</v>
      </c>
      <c r="I116" s="10" t="s">
        <v>38</v>
      </c>
      <c r="J116" s="10">
        <v>59</v>
      </c>
      <c r="K116" s="10">
        <v>310</v>
      </c>
      <c r="L116" s="10">
        <v>2</v>
      </c>
      <c r="M116" s="10" t="s">
        <v>21</v>
      </c>
      <c r="N116" s="10">
        <v>83.9</v>
      </c>
      <c r="O116" s="10">
        <v>228</v>
      </c>
      <c r="P116" s="10">
        <v>0</v>
      </c>
      <c r="Q116" s="10" t="str">
        <f>+IF(Tabla2[[#This Row],[Demand_Forecast]]&lt;= 125,"Low demand",IF(Tabla2[[#This Row],[Demand_Forecast]] &gt;=285,"High demand","Mid demand"))</f>
        <v>Mid demand</v>
      </c>
    </row>
    <row r="117" spans="1:17" x14ac:dyDescent="0.25">
      <c r="A117" s="11">
        <v>45588.594039351854</v>
      </c>
      <c r="B117" s="10" t="s">
        <v>16</v>
      </c>
      <c r="C117" s="10" t="s">
        <v>266</v>
      </c>
      <c r="D117" s="10" t="s">
        <v>267</v>
      </c>
      <c r="E117" s="10">
        <v>253</v>
      </c>
      <c r="F117" s="10" t="s">
        <v>25</v>
      </c>
      <c r="G117" s="10">
        <v>22.8</v>
      </c>
      <c r="H117" s="10">
        <v>78.7</v>
      </c>
      <c r="I117" s="10" t="s">
        <v>38</v>
      </c>
      <c r="J117" s="10">
        <v>49</v>
      </c>
      <c r="K117" s="10">
        <v>180</v>
      </c>
      <c r="L117" s="10">
        <v>3</v>
      </c>
      <c r="M117" s="10" t="s">
        <v>27</v>
      </c>
      <c r="N117" s="10">
        <v>74</v>
      </c>
      <c r="O117" s="10">
        <v>296</v>
      </c>
      <c r="P117" s="10">
        <v>0</v>
      </c>
      <c r="Q117" s="10" t="str">
        <f>+IF(Tabla2[[#This Row],[Demand_Forecast]]&lt;= 125,"Low demand",IF(Tabla2[[#This Row],[Demand_Forecast]] &gt;=285,"High demand","Mid demand"))</f>
        <v>High demand</v>
      </c>
    </row>
    <row r="118" spans="1:17" x14ac:dyDescent="0.25">
      <c r="A118" s="11">
        <v>45309.357233796298</v>
      </c>
      <c r="B118" s="10" t="s">
        <v>48</v>
      </c>
      <c r="C118" s="10" t="s">
        <v>268</v>
      </c>
      <c r="D118" s="10" t="s">
        <v>269</v>
      </c>
      <c r="E118" s="10">
        <v>491</v>
      </c>
      <c r="F118" s="10" t="s">
        <v>34</v>
      </c>
      <c r="G118" s="10">
        <v>25.5</v>
      </c>
      <c r="H118" s="10">
        <v>50.3</v>
      </c>
      <c r="I118" s="10" t="s">
        <v>26</v>
      </c>
      <c r="J118" s="10">
        <v>18</v>
      </c>
      <c r="K118" s="10">
        <v>111</v>
      </c>
      <c r="L118" s="10">
        <v>1</v>
      </c>
      <c r="M118" s="10" t="s">
        <v>27</v>
      </c>
      <c r="N118" s="10">
        <v>97.1</v>
      </c>
      <c r="O118" s="10">
        <v>100</v>
      </c>
      <c r="P118" s="10">
        <v>1</v>
      </c>
      <c r="Q118" s="10" t="str">
        <f>+IF(Tabla2[[#This Row],[Demand_Forecast]]&lt;= 125,"Low demand",IF(Tabla2[[#This Row],[Demand_Forecast]] &gt;=285,"High demand","Mid demand"))</f>
        <v>Low demand</v>
      </c>
    </row>
    <row r="119" spans="1:17" x14ac:dyDescent="0.25">
      <c r="A119" s="11">
        <v>45611.487951388888</v>
      </c>
      <c r="B119" s="10" t="s">
        <v>61</v>
      </c>
      <c r="C119" s="10" t="s">
        <v>270</v>
      </c>
      <c r="D119" s="10" t="s">
        <v>271</v>
      </c>
      <c r="E119" s="10">
        <v>172</v>
      </c>
      <c r="F119" s="10" t="s">
        <v>19</v>
      </c>
      <c r="G119" s="10">
        <v>22.8</v>
      </c>
      <c r="H119" s="10">
        <v>60.4</v>
      </c>
      <c r="I119" s="10" t="s">
        <v>20</v>
      </c>
      <c r="J119" s="10">
        <v>38</v>
      </c>
      <c r="K119" s="10">
        <v>187</v>
      </c>
      <c r="L119" s="10">
        <v>9</v>
      </c>
      <c r="M119" s="10" t="s">
        <v>27</v>
      </c>
      <c r="N119" s="10">
        <v>83.3</v>
      </c>
      <c r="O119" s="10">
        <v>106</v>
      </c>
      <c r="P119" s="10">
        <v>1</v>
      </c>
      <c r="Q119" s="10" t="str">
        <f>+IF(Tabla2[[#This Row],[Demand_Forecast]]&lt;= 125,"Low demand",IF(Tabla2[[#This Row],[Demand_Forecast]] &gt;=285,"High demand","Mid demand"))</f>
        <v>Low demand</v>
      </c>
    </row>
    <row r="120" spans="1:17" x14ac:dyDescent="0.25">
      <c r="A120" s="11">
        <v>45474.692974537036</v>
      </c>
      <c r="B120" s="10" t="s">
        <v>16</v>
      </c>
      <c r="C120" s="10" t="s">
        <v>272</v>
      </c>
      <c r="D120" s="10" t="s">
        <v>273</v>
      </c>
      <c r="E120" s="10">
        <v>252</v>
      </c>
      <c r="F120" s="10" t="s">
        <v>19</v>
      </c>
      <c r="G120" s="10">
        <v>24.4</v>
      </c>
      <c r="H120" s="10">
        <v>72.3</v>
      </c>
      <c r="I120" s="10" t="s">
        <v>20</v>
      </c>
      <c r="J120" s="10">
        <v>54</v>
      </c>
      <c r="K120" s="10">
        <v>156</v>
      </c>
      <c r="L120" s="10">
        <v>6</v>
      </c>
      <c r="M120" s="10" t="s">
        <v>51</v>
      </c>
      <c r="N120" s="10">
        <v>86.8</v>
      </c>
      <c r="O120" s="10">
        <v>225</v>
      </c>
      <c r="P120" s="10">
        <v>1</v>
      </c>
      <c r="Q120" s="10" t="str">
        <f>+IF(Tabla2[[#This Row],[Demand_Forecast]]&lt;= 125,"Low demand",IF(Tabla2[[#This Row],[Demand_Forecast]] &gt;=285,"High demand","Mid demand"))</f>
        <v>Mid demand</v>
      </c>
    </row>
    <row r="121" spans="1:17" x14ac:dyDescent="0.25">
      <c r="A121" s="11">
        <v>45454.336215277777</v>
      </c>
      <c r="B121" s="10" t="s">
        <v>41</v>
      </c>
      <c r="C121" s="10" t="s">
        <v>274</v>
      </c>
      <c r="D121" s="10" t="s">
        <v>275</v>
      </c>
      <c r="E121" s="10">
        <v>118</v>
      </c>
      <c r="F121" s="10" t="s">
        <v>19</v>
      </c>
      <c r="G121" s="10">
        <v>21.8</v>
      </c>
      <c r="H121" s="10">
        <v>52.1</v>
      </c>
      <c r="I121" s="10" t="s">
        <v>38</v>
      </c>
      <c r="J121" s="10">
        <v>19</v>
      </c>
      <c r="K121" s="10">
        <v>421</v>
      </c>
      <c r="L121" s="10">
        <v>8</v>
      </c>
      <c r="M121" s="10" t="s">
        <v>51</v>
      </c>
      <c r="N121" s="10">
        <v>99.1</v>
      </c>
      <c r="O121" s="10">
        <v>284</v>
      </c>
      <c r="P121" s="10">
        <v>1</v>
      </c>
      <c r="Q121" s="10" t="str">
        <f>+IF(Tabla2[[#This Row],[Demand_Forecast]]&lt;= 125,"Low demand",IF(Tabla2[[#This Row],[Demand_Forecast]] &gt;=285,"High demand","Mid demand"))</f>
        <v>Mid demand</v>
      </c>
    </row>
    <row r="122" spans="1:17" x14ac:dyDescent="0.25">
      <c r="A122" s="11">
        <v>45476.631064814814</v>
      </c>
      <c r="B122" s="10" t="s">
        <v>41</v>
      </c>
      <c r="C122" s="10" t="s">
        <v>276</v>
      </c>
      <c r="D122" s="10" t="s">
        <v>277</v>
      </c>
      <c r="E122" s="10">
        <v>179</v>
      </c>
      <c r="F122" s="10" t="s">
        <v>19</v>
      </c>
      <c r="G122" s="10">
        <v>25</v>
      </c>
      <c r="H122" s="10">
        <v>71.099999999999994</v>
      </c>
      <c r="I122" s="10" t="s">
        <v>20</v>
      </c>
      <c r="J122" s="10">
        <v>60</v>
      </c>
      <c r="K122" s="10">
        <v>325</v>
      </c>
      <c r="L122" s="10">
        <v>1</v>
      </c>
      <c r="M122" s="10" t="s">
        <v>27</v>
      </c>
      <c r="N122" s="10">
        <v>66.8</v>
      </c>
      <c r="O122" s="10">
        <v>226</v>
      </c>
      <c r="P122" s="10">
        <v>1</v>
      </c>
      <c r="Q122" s="10" t="str">
        <f>+IF(Tabla2[[#This Row],[Demand_Forecast]]&lt;= 125,"Low demand",IF(Tabla2[[#This Row],[Demand_Forecast]] &gt;=285,"High demand","Mid demand"))</f>
        <v>Mid demand</v>
      </c>
    </row>
    <row r="123" spans="1:17" x14ac:dyDescent="0.25">
      <c r="A123" s="11">
        <v>45327.028819444444</v>
      </c>
      <c r="B123" s="10" t="s">
        <v>22</v>
      </c>
      <c r="C123" s="10" t="s">
        <v>278</v>
      </c>
      <c r="D123" s="10" t="s">
        <v>279</v>
      </c>
      <c r="E123" s="10">
        <v>119</v>
      </c>
      <c r="F123" s="10" t="s">
        <v>34</v>
      </c>
      <c r="G123" s="10">
        <v>25.9</v>
      </c>
      <c r="H123" s="10">
        <v>77.7</v>
      </c>
      <c r="I123" s="10" t="s">
        <v>38</v>
      </c>
      <c r="J123" s="10">
        <v>38</v>
      </c>
      <c r="K123" s="10">
        <v>189</v>
      </c>
      <c r="L123" s="10">
        <v>7</v>
      </c>
      <c r="M123" s="10" t="s">
        <v>27</v>
      </c>
      <c r="N123" s="10">
        <v>79.3</v>
      </c>
      <c r="O123" s="10">
        <v>149</v>
      </c>
      <c r="P123" s="10">
        <v>0</v>
      </c>
      <c r="Q123" s="10" t="str">
        <f>+IF(Tabla2[[#This Row],[Demand_Forecast]]&lt;= 125,"Low demand",IF(Tabla2[[#This Row],[Demand_Forecast]] &gt;=285,"High demand","Mid demand"))</f>
        <v>Mid demand</v>
      </c>
    </row>
    <row r="124" spans="1:17" x14ac:dyDescent="0.25">
      <c r="A124" s="11">
        <v>45363.162569444445</v>
      </c>
      <c r="B124" s="10" t="s">
        <v>64</v>
      </c>
      <c r="C124" s="10" t="s">
        <v>280</v>
      </c>
      <c r="D124" s="10" t="s">
        <v>281</v>
      </c>
      <c r="E124" s="10">
        <v>221</v>
      </c>
      <c r="F124" s="10" t="s">
        <v>19</v>
      </c>
      <c r="G124" s="10">
        <v>22.8</v>
      </c>
      <c r="H124" s="10">
        <v>76.099999999999994</v>
      </c>
      <c r="I124" s="10" t="s">
        <v>20</v>
      </c>
      <c r="J124" s="10">
        <v>35</v>
      </c>
      <c r="K124" s="10">
        <v>233</v>
      </c>
      <c r="L124" s="10">
        <v>4</v>
      </c>
      <c r="M124" s="10" t="s">
        <v>21</v>
      </c>
      <c r="N124" s="10">
        <v>61.5</v>
      </c>
      <c r="O124" s="10">
        <v>281</v>
      </c>
      <c r="P124" s="10">
        <v>1</v>
      </c>
      <c r="Q124" s="10" t="str">
        <f>+IF(Tabla2[[#This Row],[Demand_Forecast]]&lt;= 125,"Low demand",IF(Tabla2[[#This Row],[Demand_Forecast]] &gt;=285,"High demand","Mid demand"))</f>
        <v>Mid demand</v>
      </c>
    </row>
    <row r="125" spans="1:17" x14ac:dyDescent="0.25">
      <c r="A125" s="11">
        <v>45613.276689814818</v>
      </c>
      <c r="B125" s="10" t="s">
        <v>16</v>
      </c>
      <c r="C125" s="10" t="s">
        <v>282</v>
      </c>
      <c r="D125" s="10" t="s">
        <v>283</v>
      </c>
      <c r="E125" s="10">
        <v>261</v>
      </c>
      <c r="F125" s="10" t="s">
        <v>19</v>
      </c>
      <c r="G125" s="10">
        <v>24.5</v>
      </c>
      <c r="H125" s="10">
        <v>74.2</v>
      </c>
      <c r="I125" s="10" t="s">
        <v>20</v>
      </c>
      <c r="J125" s="10">
        <v>36</v>
      </c>
      <c r="K125" s="10">
        <v>201</v>
      </c>
      <c r="L125" s="10">
        <v>10</v>
      </c>
      <c r="M125" s="10" t="s">
        <v>51</v>
      </c>
      <c r="N125" s="10">
        <v>67</v>
      </c>
      <c r="O125" s="10">
        <v>226</v>
      </c>
      <c r="P125" s="10">
        <v>1</v>
      </c>
      <c r="Q125" s="10" t="str">
        <f>+IF(Tabla2[[#This Row],[Demand_Forecast]]&lt;= 125,"Low demand",IF(Tabla2[[#This Row],[Demand_Forecast]] &gt;=285,"High demand","Mid demand"))</f>
        <v>Mid demand</v>
      </c>
    </row>
    <row r="126" spans="1:17" x14ac:dyDescent="0.25">
      <c r="A126" s="11">
        <v>45503.432673611111</v>
      </c>
      <c r="B126" s="10" t="s">
        <v>64</v>
      </c>
      <c r="C126" s="10" t="s">
        <v>284</v>
      </c>
      <c r="D126" s="10" t="s">
        <v>285</v>
      </c>
      <c r="E126" s="10">
        <v>226</v>
      </c>
      <c r="F126" s="10" t="s">
        <v>34</v>
      </c>
      <c r="G126" s="10">
        <v>25.4</v>
      </c>
      <c r="H126" s="10">
        <v>73.7</v>
      </c>
      <c r="I126" s="10" t="s">
        <v>20</v>
      </c>
      <c r="J126" s="10">
        <v>46</v>
      </c>
      <c r="K126" s="10">
        <v>138</v>
      </c>
      <c r="L126" s="10">
        <v>8</v>
      </c>
      <c r="M126" s="10" t="s">
        <v>35</v>
      </c>
      <c r="N126" s="10">
        <v>75.5</v>
      </c>
      <c r="O126" s="10">
        <v>298</v>
      </c>
      <c r="P126" s="10">
        <v>0</v>
      </c>
      <c r="Q126" s="10" t="str">
        <f>+IF(Tabla2[[#This Row],[Demand_Forecast]]&lt;= 125,"Low demand",IF(Tabla2[[#This Row],[Demand_Forecast]] &gt;=285,"High demand","Mid demand"))</f>
        <v>High demand</v>
      </c>
    </row>
    <row r="127" spans="1:17" x14ac:dyDescent="0.25">
      <c r="A127" s="11">
        <v>45633.674305555556</v>
      </c>
      <c r="B127" s="10" t="s">
        <v>28</v>
      </c>
      <c r="C127" s="10" t="s">
        <v>286</v>
      </c>
      <c r="D127" s="10" t="s">
        <v>287</v>
      </c>
      <c r="E127" s="10">
        <v>226</v>
      </c>
      <c r="F127" s="10" t="s">
        <v>25</v>
      </c>
      <c r="G127" s="10">
        <v>21.1</v>
      </c>
      <c r="H127" s="10">
        <v>56.1</v>
      </c>
      <c r="I127" s="10" t="s">
        <v>26</v>
      </c>
      <c r="J127" s="10">
        <v>50</v>
      </c>
      <c r="K127" s="10">
        <v>160</v>
      </c>
      <c r="L127" s="10">
        <v>5</v>
      </c>
      <c r="M127" s="10" t="s">
        <v>21</v>
      </c>
      <c r="N127" s="10">
        <v>77.3</v>
      </c>
      <c r="O127" s="10">
        <v>174</v>
      </c>
      <c r="P127" s="10">
        <v>1</v>
      </c>
      <c r="Q127" s="10" t="str">
        <f>+IF(Tabla2[[#This Row],[Demand_Forecast]]&lt;= 125,"Low demand",IF(Tabla2[[#This Row],[Demand_Forecast]] &gt;=285,"High demand","Mid demand"))</f>
        <v>Mid demand</v>
      </c>
    </row>
    <row r="128" spans="1:17" x14ac:dyDescent="0.25">
      <c r="A128" s="11">
        <v>45366.745925925927</v>
      </c>
      <c r="B128" s="10" t="s">
        <v>16</v>
      </c>
      <c r="C128" s="10" t="s">
        <v>288</v>
      </c>
      <c r="D128" s="10" t="s">
        <v>289</v>
      </c>
      <c r="E128" s="10">
        <v>415</v>
      </c>
      <c r="F128" s="10" t="s">
        <v>25</v>
      </c>
      <c r="G128" s="10">
        <v>25.3</v>
      </c>
      <c r="H128" s="10">
        <v>54.4</v>
      </c>
      <c r="I128" s="10" t="s">
        <v>26</v>
      </c>
      <c r="J128" s="10">
        <v>53</v>
      </c>
      <c r="K128" s="10">
        <v>345</v>
      </c>
      <c r="L128" s="10">
        <v>2</v>
      </c>
      <c r="M128" s="10" t="s">
        <v>51</v>
      </c>
      <c r="N128" s="10">
        <v>87.4</v>
      </c>
      <c r="O128" s="10">
        <v>181</v>
      </c>
      <c r="P128" s="10">
        <v>1</v>
      </c>
      <c r="Q128" s="10" t="str">
        <f>+IF(Tabla2[[#This Row],[Demand_Forecast]]&lt;= 125,"Low demand",IF(Tabla2[[#This Row],[Demand_Forecast]] &gt;=285,"High demand","Mid demand"))</f>
        <v>Mid demand</v>
      </c>
    </row>
    <row r="129" spans="1:17" x14ac:dyDescent="0.25">
      <c r="A129" s="11">
        <v>45580.284398148149</v>
      </c>
      <c r="B129" s="10" t="s">
        <v>61</v>
      </c>
      <c r="C129" s="10" t="s">
        <v>290</v>
      </c>
      <c r="D129" s="10" t="s">
        <v>291</v>
      </c>
      <c r="E129" s="10">
        <v>422</v>
      </c>
      <c r="F129" s="10" t="s">
        <v>34</v>
      </c>
      <c r="G129" s="10">
        <v>29.7</v>
      </c>
      <c r="H129" s="10">
        <v>68.3</v>
      </c>
      <c r="I129" s="10" t="s">
        <v>26</v>
      </c>
      <c r="J129" s="10">
        <v>45</v>
      </c>
      <c r="K129" s="10">
        <v>246</v>
      </c>
      <c r="L129" s="10">
        <v>1</v>
      </c>
      <c r="M129" s="10" t="s">
        <v>27</v>
      </c>
      <c r="N129" s="10">
        <v>85.6</v>
      </c>
      <c r="O129" s="10">
        <v>136</v>
      </c>
      <c r="P129" s="10">
        <v>1</v>
      </c>
      <c r="Q129" s="10" t="str">
        <f>+IF(Tabla2[[#This Row],[Demand_Forecast]]&lt;= 125,"Low demand",IF(Tabla2[[#This Row],[Demand_Forecast]] &gt;=285,"High demand","Mid demand"))</f>
        <v>Mid demand</v>
      </c>
    </row>
    <row r="130" spans="1:17" x14ac:dyDescent="0.25">
      <c r="A130" s="11">
        <v>45531.286516203705</v>
      </c>
      <c r="B130" s="10" t="s">
        <v>56</v>
      </c>
      <c r="C130" s="10" t="s">
        <v>292</v>
      </c>
      <c r="D130" s="10" t="s">
        <v>293</v>
      </c>
      <c r="E130" s="10">
        <v>413</v>
      </c>
      <c r="F130" s="10" t="s">
        <v>19</v>
      </c>
      <c r="G130" s="10">
        <v>23.4</v>
      </c>
      <c r="H130" s="10">
        <v>67.099999999999994</v>
      </c>
      <c r="I130" s="10" t="s">
        <v>26</v>
      </c>
      <c r="J130" s="10">
        <v>32</v>
      </c>
      <c r="K130" s="10">
        <v>325</v>
      </c>
      <c r="L130" s="10">
        <v>3</v>
      </c>
      <c r="M130" s="10" t="s">
        <v>51</v>
      </c>
      <c r="N130" s="10">
        <v>93.3</v>
      </c>
      <c r="O130" s="10">
        <v>109</v>
      </c>
      <c r="P130" s="10">
        <v>1</v>
      </c>
      <c r="Q130" s="10" t="str">
        <f>+IF(Tabla2[[#This Row],[Demand_Forecast]]&lt;= 125,"Low demand",IF(Tabla2[[#This Row],[Demand_Forecast]] &gt;=285,"High demand","Mid demand"))</f>
        <v>Low demand</v>
      </c>
    </row>
    <row r="131" spans="1:17" x14ac:dyDescent="0.25">
      <c r="A131" s="11">
        <v>45506.084317129629</v>
      </c>
      <c r="B131" s="10" t="s">
        <v>95</v>
      </c>
      <c r="C131" s="10" t="s">
        <v>294</v>
      </c>
      <c r="D131" s="10" t="s">
        <v>295</v>
      </c>
      <c r="E131" s="10">
        <v>269</v>
      </c>
      <c r="F131" s="10" t="s">
        <v>25</v>
      </c>
      <c r="G131" s="10">
        <v>25.2</v>
      </c>
      <c r="H131" s="10">
        <v>57.7</v>
      </c>
      <c r="I131" s="10" t="s">
        <v>20</v>
      </c>
      <c r="J131" s="10">
        <v>20</v>
      </c>
      <c r="K131" s="10">
        <v>247</v>
      </c>
      <c r="L131" s="10">
        <v>2</v>
      </c>
      <c r="M131" s="10" t="s">
        <v>27</v>
      </c>
      <c r="N131" s="10">
        <v>60.9</v>
      </c>
      <c r="O131" s="10">
        <v>177</v>
      </c>
      <c r="P131" s="10">
        <v>0</v>
      </c>
      <c r="Q131" s="10" t="str">
        <f>+IF(Tabla2[[#This Row],[Demand_Forecast]]&lt;= 125,"Low demand",IF(Tabla2[[#This Row],[Demand_Forecast]] &gt;=285,"High demand","Mid demand"))</f>
        <v>Mid demand</v>
      </c>
    </row>
    <row r="132" spans="1:17" x14ac:dyDescent="0.25">
      <c r="A132" s="11">
        <v>45623.783958333333</v>
      </c>
      <c r="B132" s="10" t="s">
        <v>41</v>
      </c>
      <c r="C132" s="10" t="s">
        <v>296</v>
      </c>
      <c r="D132" s="10" t="s">
        <v>297</v>
      </c>
      <c r="E132" s="10">
        <v>489</v>
      </c>
      <c r="F132" s="10" t="s">
        <v>34</v>
      </c>
      <c r="G132" s="10">
        <v>25.7</v>
      </c>
      <c r="H132" s="10">
        <v>50.1</v>
      </c>
      <c r="I132" s="10" t="s">
        <v>26</v>
      </c>
      <c r="J132" s="10">
        <v>51</v>
      </c>
      <c r="K132" s="10">
        <v>204</v>
      </c>
      <c r="L132" s="10">
        <v>1</v>
      </c>
      <c r="M132" s="10" t="s">
        <v>27</v>
      </c>
      <c r="N132" s="10">
        <v>65.099999999999994</v>
      </c>
      <c r="O132" s="10">
        <v>184</v>
      </c>
      <c r="P132" s="10">
        <v>1</v>
      </c>
      <c r="Q132" s="10" t="str">
        <f>+IF(Tabla2[[#This Row],[Demand_Forecast]]&lt;= 125,"Low demand",IF(Tabla2[[#This Row],[Demand_Forecast]] &gt;=285,"High demand","Mid demand"))</f>
        <v>Mid demand</v>
      </c>
    </row>
    <row r="133" spans="1:17" x14ac:dyDescent="0.25">
      <c r="A133" s="11">
        <v>45629.226666666669</v>
      </c>
      <c r="B133" s="10" t="s">
        <v>22</v>
      </c>
      <c r="C133" s="10" t="s">
        <v>298</v>
      </c>
      <c r="D133" s="10" t="s">
        <v>299</v>
      </c>
      <c r="E133" s="10">
        <v>426</v>
      </c>
      <c r="F133" s="10" t="s">
        <v>25</v>
      </c>
      <c r="G133" s="10">
        <v>28.8</v>
      </c>
      <c r="H133" s="10">
        <v>56.2</v>
      </c>
      <c r="I133" s="10" t="s">
        <v>38</v>
      </c>
      <c r="J133" s="10">
        <v>30</v>
      </c>
      <c r="K133" s="10">
        <v>145</v>
      </c>
      <c r="L133" s="10">
        <v>3</v>
      </c>
      <c r="M133" s="10" t="s">
        <v>35</v>
      </c>
      <c r="N133" s="10">
        <v>81.2</v>
      </c>
      <c r="O133" s="10">
        <v>220</v>
      </c>
      <c r="P133" s="10">
        <v>0</v>
      </c>
      <c r="Q133" s="10" t="str">
        <f>+IF(Tabla2[[#This Row],[Demand_Forecast]]&lt;= 125,"Low demand",IF(Tabla2[[#This Row],[Demand_Forecast]] &gt;=285,"High demand","Mid demand"))</f>
        <v>Mid demand</v>
      </c>
    </row>
    <row r="134" spans="1:17" x14ac:dyDescent="0.25">
      <c r="A134" s="11">
        <v>45327.138692129629</v>
      </c>
      <c r="B134" s="10" t="s">
        <v>64</v>
      </c>
      <c r="C134" s="10" t="s">
        <v>300</v>
      </c>
      <c r="D134" s="10" t="s">
        <v>301</v>
      </c>
      <c r="E134" s="10">
        <v>457</v>
      </c>
      <c r="F134" s="10" t="s">
        <v>34</v>
      </c>
      <c r="G134" s="10">
        <v>27.9</v>
      </c>
      <c r="H134" s="10">
        <v>78.599999999999994</v>
      </c>
      <c r="I134" s="10" t="s">
        <v>26</v>
      </c>
      <c r="J134" s="10">
        <v>18</v>
      </c>
      <c r="K134" s="10">
        <v>461</v>
      </c>
      <c r="L134" s="10">
        <v>6</v>
      </c>
      <c r="M134" s="10" t="s">
        <v>27</v>
      </c>
      <c r="N134" s="10">
        <v>69.099999999999994</v>
      </c>
      <c r="O134" s="10">
        <v>137</v>
      </c>
      <c r="P134" s="10">
        <v>1</v>
      </c>
      <c r="Q134" s="10" t="str">
        <f>+IF(Tabla2[[#This Row],[Demand_Forecast]]&lt;= 125,"Low demand",IF(Tabla2[[#This Row],[Demand_Forecast]] &gt;=285,"High demand","Mid demand"))</f>
        <v>Mid demand</v>
      </c>
    </row>
    <row r="135" spans="1:17" x14ac:dyDescent="0.25">
      <c r="A135" s="11">
        <v>45645.957048611112</v>
      </c>
      <c r="B135" s="10" t="s">
        <v>95</v>
      </c>
      <c r="C135" s="10" t="s">
        <v>302</v>
      </c>
      <c r="D135" s="10" t="s">
        <v>303</v>
      </c>
      <c r="E135" s="10">
        <v>270</v>
      </c>
      <c r="F135" s="10" t="s">
        <v>34</v>
      </c>
      <c r="G135" s="10">
        <v>21.7</v>
      </c>
      <c r="H135" s="10">
        <v>53.6</v>
      </c>
      <c r="I135" s="10" t="s">
        <v>38</v>
      </c>
      <c r="J135" s="10">
        <v>15</v>
      </c>
      <c r="K135" s="10">
        <v>499</v>
      </c>
      <c r="L135" s="10">
        <v>8</v>
      </c>
      <c r="M135" s="10" t="s">
        <v>51</v>
      </c>
      <c r="N135" s="10">
        <v>94.9</v>
      </c>
      <c r="O135" s="10">
        <v>111</v>
      </c>
      <c r="P135" s="10">
        <v>0</v>
      </c>
      <c r="Q135" s="10" t="str">
        <f>+IF(Tabla2[[#This Row],[Demand_Forecast]]&lt;= 125,"Low demand",IF(Tabla2[[#This Row],[Demand_Forecast]] &gt;=285,"High demand","Mid demand"))</f>
        <v>Low demand</v>
      </c>
    </row>
    <row r="136" spans="1:17" x14ac:dyDescent="0.25">
      <c r="A136" s="11">
        <v>45619.364016203705</v>
      </c>
      <c r="B136" s="10" t="s">
        <v>16</v>
      </c>
      <c r="C136" s="10" t="s">
        <v>304</v>
      </c>
      <c r="D136" s="10" t="s">
        <v>305</v>
      </c>
      <c r="E136" s="10">
        <v>267</v>
      </c>
      <c r="F136" s="10" t="s">
        <v>25</v>
      </c>
      <c r="G136" s="10">
        <v>29.8</v>
      </c>
      <c r="H136" s="10">
        <v>79.8</v>
      </c>
      <c r="I136" s="10" t="s">
        <v>26</v>
      </c>
      <c r="J136" s="10">
        <v>55</v>
      </c>
      <c r="K136" s="10">
        <v>282</v>
      </c>
      <c r="L136" s="10">
        <v>5</v>
      </c>
      <c r="M136" s="10" t="s">
        <v>21</v>
      </c>
      <c r="N136" s="10">
        <v>90.5</v>
      </c>
      <c r="O136" s="10">
        <v>173</v>
      </c>
      <c r="P136" s="10">
        <v>1</v>
      </c>
      <c r="Q136" s="10" t="str">
        <f>+IF(Tabla2[[#This Row],[Demand_Forecast]]&lt;= 125,"Low demand",IF(Tabla2[[#This Row],[Demand_Forecast]] &gt;=285,"High demand","Mid demand"))</f>
        <v>Mid demand</v>
      </c>
    </row>
    <row r="137" spans="1:17" x14ac:dyDescent="0.25">
      <c r="A137" s="11">
        <v>45412.617569444446</v>
      </c>
      <c r="B137" s="10" t="s">
        <v>64</v>
      </c>
      <c r="C137" s="10" t="s">
        <v>306</v>
      </c>
      <c r="D137" s="10" t="s">
        <v>307</v>
      </c>
      <c r="E137" s="10">
        <v>381</v>
      </c>
      <c r="F137" s="10" t="s">
        <v>34</v>
      </c>
      <c r="G137" s="10">
        <v>24.4</v>
      </c>
      <c r="H137" s="10">
        <v>50.1</v>
      </c>
      <c r="I137" s="10" t="s">
        <v>26</v>
      </c>
      <c r="J137" s="10">
        <v>54</v>
      </c>
      <c r="K137" s="10">
        <v>243</v>
      </c>
      <c r="L137" s="10">
        <v>6</v>
      </c>
      <c r="M137" s="10" t="s">
        <v>21</v>
      </c>
      <c r="N137" s="10">
        <v>61.5</v>
      </c>
      <c r="O137" s="10">
        <v>278</v>
      </c>
      <c r="P137" s="10">
        <v>1</v>
      </c>
      <c r="Q137" s="10" t="str">
        <f>+IF(Tabla2[[#This Row],[Demand_Forecast]]&lt;= 125,"Low demand",IF(Tabla2[[#This Row],[Demand_Forecast]] &gt;=285,"High demand","Mid demand"))</f>
        <v>Mid demand</v>
      </c>
    </row>
    <row r="138" spans="1:17" x14ac:dyDescent="0.25">
      <c r="A138" s="11">
        <v>45450.28193287037</v>
      </c>
      <c r="B138" s="10" t="s">
        <v>61</v>
      </c>
      <c r="C138" s="10" t="s">
        <v>308</v>
      </c>
      <c r="D138" s="10" t="s">
        <v>309</v>
      </c>
      <c r="E138" s="10">
        <v>402</v>
      </c>
      <c r="F138" s="10" t="s">
        <v>34</v>
      </c>
      <c r="G138" s="10">
        <v>27</v>
      </c>
      <c r="H138" s="10">
        <v>74.2</v>
      </c>
      <c r="I138" s="10" t="s">
        <v>26</v>
      </c>
      <c r="J138" s="10">
        <v>17</v>
      </c>
      <c r="K138" s="10">
        <v>155</v>
      </c>
      <c r="L138" s="10">
        <v>10</v>
      </c>
      <c r="M138" s="10" t="s">
        <v>35</v>
      </c>
      <c r="N138" s="10">
        <v>73.400000000000006</v>
      </c>
      <c r="O138" s="10">
        <v>281</v>
      </c>
      <c r="P138" s="10">
        <v>1</v>
      </c>
      <c r="Q138" s="10" t="str">
        <f>+IF(Tabla2[[#This Row],[Demand_Forecast]]&lt;= 125,"Low demand",IF(Tabla2[[#This Row],[Demand_Forecast]] &gt;=285,"High demand","Mid demand"))</f>
        <v>Mid demand</v>
      </c>
    </row>
    <row r="139" spans="1:17" x14ac:dyDescent="0.25">
      <c r="A139" s="11">
        <v>45620.201053240744</v>
      </c>
      <c r="B139" s="10" t="s">
        <v>41</v>
      </c>
      <c r="C139" s="10" t="s">
        <v>310</v>
      </c>
      <c r="D139" s="10" t="s">
        <v>311</v>
      </c>
      <c r="E139" s="10">
        <v>331</v>
      </c>
      <c r="F139" s="10" t="s">
        <v>34</v>
      </c>
      <c r="G139" s="10">
        <v>20.399999999999999</v>
      </c>
      <c r="H139" s="10">
        <v>66.099999999999994</v>
      </c>
      <c r="I139" s="10" t="s">
        <v>26</v>
      </c>
      <c r="J139" s="10">
        <v>25</v>
      </c>
      <c r="K139" s="10">
        <v>261</v>
      </c>
      <c r="L139" s="10">
        <v>6</v>
      </c>
      <c r="M139" s="10" t="s">
        <v>51</v>
      </c>
      <c r="N139" s="10">
        <v>77.7</v>
      </c>
      <c r="O139" s="10">
        <v>264</v>
      </c>
      <c r="P139" s="10">
        <v>1</v>
      </c>
      <c r="Q139" s="10" t="str">
        <f>+IF(Tabla2[[#This Row],[Demand_Forecast]]&lt;= 125,"Low demand",IF(Tabla2[[#This Row],[Demand_Forecast]] &gt;=285,"High demand","Mid demand"))</f>
        <v>Mid demand</v>
      </c>
    </row>
    <row r="140" spans="1:17" x14ac:dyDescent="0.25">
      <c r="A140" s="11">
        <v>45502.039004629631</v>
      </c>
      <c r="B140" s="10" t="s">
        <v>64</v>
      </c>
      <c r="C140" s="10" t="s">
        <v>312</v>
      </c>
      <c r="D140" s="10" t="s">
        <v>313</v>
      </c>
      <c r="E140" s="10">
        <v>167</v>
      </c>
      <c r="F140" s="10" t="s">
        <v>34</v>
      </c>
      <c r="G140" s="10">
        <v>25.6</v>
      </c>
      <c r="H140" s="10">
        <v>62.5</v>
      </c>
      <c r="I140" s="10" t="s">
        <v>20</v>
      </c>
      <c r="J140" s="10">
        <v>40</v>
      </c>
      <c r="K140" s="10">
        <v>246</v>
      </c>
      <c r="L140" s="10">
        <v>9</v>
      </c>
      <c r="M140" s="10" t="s">
        <v>35</v>
      </c>
      <c r="N140" s="10">
        <v>63.8</v>
      </c>
      <c r="O140" s="10">
        <v>126</v>
      </c>
      <c r="P140" s="10">
        <v>0</v>
      </c>
      <c r="Q140" s="10" t="str">
        <f>+IF(Tabla2[[#This Row],[Demand_Forecast]]&lt;= 125,"Low demand",IF(Tabla2[[#This Row],[Demand_Forecast]] &gt;=285,"High demand","Mid demand"))</f>
        <v>Mid demand</v>
      </c>
    </row>
    <row r="141" spans="1:17" x14ac:dyDescent="0.25">
      <c r="A141" s="11">
        <v>45444.833518518521</v>
      </c>
      <c r="B141" s="10" t="s">
        <v>41</v>
      </c>
      <c r="C141" s="10" t="s">
        <v>314</v>
      </c>
      <c r="D141" s="10" t="s">
        <v>315</v>
      </c>
      <c r="E141" s="10">
        <v>187</v>
      </c>
      <c r="F141" s="10" t="s">
        <v>19</v>
      </c>
      <c r="G141" s="10">
        <v>23.3</v>
      </c>
      <c r="H141" s="10">
        <v>71.7</v>
      </c>
      <c r="I141" s="10" t="s">
        <v>26</v>
      </c>
      <c r="J141" s="10">
        <v>10</v>
      </c>
      <c r="K141" s="10">
        <v>209</v>
      </c>
      <c r="L141" s="10">
        <v>10</v>
      </c>
      <c r="M141" s="10" t="s">
        <v>35</v>
      </c>
      <c r="N141" s="10">
        <v>97.2</v>
      </c>
      <c r="O141" s="10">
        <v>151</v>
      </c>
      <c r="P141" s="10">
        <v>1</v>
      </c>
      <c r="Q141" s="10" t="str">
        <f>+IF(Tabla2[[#This Row],[Demand_Forecast]]&lt;= 125,"Low demand",IF(Tabla2[[#This Row],[Demand_Forecast]] &gt;=285,"High demand","Mid demand"))</f>
        <v>Mid demand</v>
      </c>
    </row>
    <row r="142" spans="1:17" x14ac:dyDescent="0.25">
      <c r="A142" s="11">
        <v>45491.513425925928</v>
      </c>
      <c r="B142" s="10" t="s">
        <v>28</v>
      </c>
      <c r="C142" s="10" t="s">
        <v>316</v>
      </c>
      <c r="D142" s="10" t="s">
        <v>317</v>
      </c>
      <c r="E142" s="10">
        <v>298</v>
      </c>
      <c r="F142" s="10" t="s">
        <v>25</v>
      </c>
      <c r="G142" s="10">
        <v>18.600000000000001</v>
      </c>
      <c r="H142" s="10">
        <v>74.400000000000006</v>
      </c>
      <c r="I142" s="10" t="s">
        <v>20</v>
      </c>
      <c r="J142" s="10">
        <v>41</v>
      </c>
      <c r="K142" s="10">
        <v>248</v>
      </c>
      <c r="L142" s="10">
        <v>1</v>
      </c>
      <c r="M142" s="10" t="s">
        <v>21</v>
      </c>
      <c r="N142" s="10">
        <v>86.3</v>
      </c>
      <c r="O142" s="10">
        <v>283</v>
      </c>
      <c r="P142" s="10">
        <v>0</v>
      </c>
      <c r="Q142" s="10" t="str">
        <f>+IF(Tabla2[[#This Row],[Demand_Forecast]]&lt;= 125,"Low demand",IF(Tabla2[[#This Row],[Demand_Forecast]] &gt;=285,"High demand","Mid demand"))</f>
        <v>Mid demand</v>
      </c>
    </row>
    <row r="143" spans="1:17" x14ac:dyDescent="0.25">
      <c r="A143" s="11">
        <v>45642.492060185185</v>
      </c>
      <c r="B143" s="10" t="s">
        <v>22</v>
      </c>
      <c r="C143" s="10" t="s">
        <v>318</v>
      </c>
      <c r="D143" s="10" t="s">
        <v>319</v>
      </c>
      <c r="E143" s="10">
        <v>331</v>
      </c>
      <c r="F143" s="10" t="s">
        <v>19</v>
      </c>
      <c r="G143" s="10">
        <v>21.4</v>
      </c>
      <c r="H143" s="10">
        <v>62.9</v>
      </c>
      <c r="I143" s="10" t="s">
        <v>20</v>
      </c>
      <c r="J143" s="10">
        <v>46</v>
      </c>
      <c r="K143" s="10">
        <v>235</v>
      </c>
      <c r="L143" s="10">
        <v>8</v>
      </c>
      <c r="M143" s="10" t="s">
        <v>51</v>
      </c>
      <c r="N143" s="10">
        <v>62.6</v>
      </c>
      <c r="O143" s="10">
        <v>298</v>
      </c>
      <c r="P143" s="10">
        <v>1</v>
      </c>
      <c r="Q143" s="10" t="str">
        <f>+IF(Tabla2[[#This Row],[Demand_Forecast]]&lt;= 125,"Low demand",IF(Tabla2[[#This Row],[Demand_Forecast]] &gt;=285,"High demand","Mid demand"))</f>
        <v>High demand</v>
      </c>
    </row>
    <row r="144" spans="1:17" x14ac:dyDescent="0.25">
      <c r="A144" s="11">
        <v>45397.94258101852</v>
      </c>
      <c r="B144" s="10" t="s">
        <v>48</v>
      </c>
      <c r="C144" s="10" t="s">
        <v>320</v>
      </c>
      <c r="D144" s="10" t="s">
        <v>321</v>
      </c>
      <c r="E144" s="10">
        <v>180</v>
      </c>
      <c r="F144" s="10" t="s">
        <v>34</v>
      </c>
      <c r="G144" s="10">
        <v>27.2</v>
      </c>
      <c r="H144" s="10">
        <v>52.9</v>
      </c>
      <c r="I144" s="10" t="s">
        <v>38</v>
      </c>
      <c r="J144" s="10">
        <v>29</v>
      </c>
      <c r="K144" s="10">
        <v>390</v>
      </c>
      <c r="L144" s="10">
        <v>8</v>
      </c>
      <c r="M144" s="10" t="s">
        <v>51</v>
      </c>
      <c r="N144" s="10">
        <v>68.400000000000006</v>
      </c>
      <c r="O144" s="10">
        <v>110</v>
      </c>
      <c r="P144" s="10">
        <v>0</v>
      </c>
      <c r="Q144" s="10" t="str">
        <f>+IF(Tabla2[[#This Row],[Demand_Forecast]]&lt;= 125,"Low demand",IF(Tabla2[[#This Row],[Demand_Forecast]] &gt;=285,"High demand","Mid demand"))</f>
        <v>Low demand</v>
      </c>
    </row>
    <row r="145" spans="1:17" x14ac:dyDescent="0.25">
      <c r="A145" s="11">
        <v>45387.437002314815</v>
      </c>
      <c r="B145" s="10" t="s">
        <v>28</v>
      </c>
      <c r="C145" s="10" t="s">
        <v>322</v>
      </c>
      <c r="D145" s="10" t="s">
        <v>323</v>
      </c>
      <c r="E145" s="10">
        <v>282</v>
      </c>
      <c r="F145" s="10" t="s">
        <v>25</v>
      </c>
      <c r="G145" s="10">
        <v>19.399999999999999</v>
      </c>
      <c r="H145" s="10">
        <v>71.900000000000006</v>
      </c>
      <c r="I145" s="10" t="s">
        <v>38</v>
      </c>
      <c r="J145" s="10">
        <v>43</v>
      </c>
      <c r="K145" s="10">
        <v>464</v>
      </c>
      <c r="L145" s="10">
        <v>10</v>
      </c>
      <c r="M145" s="10" t="s">
        <v>35</v>
      </c>
      <c r="N145" s="10">
        <v>90</v>
      </c>
      <c r="O145" s="10">
        <v>107</v>
      </c>
      <c r="P145" s="10">
        <v>0</v>
      </c>
      <c r="Q145" s="10" t="str">
        <f>+IF(Tabla2[[#This Row],[Demand_Forecast]]&lt;= 125,"Low demand",IF(Tabla2[[#This Row],[Demand_Forecast]] &gt;=285,"High demand","Mid demand"))</f>
        <v>Low demand</v>
      </c>
    </row>
    <row r="146" spans="1:17" x14ac:dyDescent="0.25">
      <c r="A146" s="11">
        <v>45646.518275462964</v>
      </c>
      <c r="B146" s="10" t="s">
        <v>41</v>
      </c>
      <c r="C146" s="10" t="s">
        <v>324</v>
      </c>
      <c r="D146" s="10" t="s">
        <v>325</v>
      </c>
      <c r="E146" s="10">
        <v>363</v>
      </c>
      <c r="F146" s="10" t="s">
        <v>19</v>
      </c>
      <c r="G146" s="10">
        <v>27</v>
      </c>
      <c r="H146" s="10">
        <v>70.900000000000006</v>
      </c>
      <c r="I146" s="10" t="s">
        <v>20</v>
      </c>
      <c r="J146" s="10">
        <v>52</v>
      </c>
      <c r="K146" s="10">
        <v>482</v>
      </c>
      <c r="L146" s="10">
        <v>6</v>
      </c>
      <c r="M146" s="10" t="s">
        <v>27</v>
      </c>
      <c r="N146" s="10">
        <v>62.9</v>
      </c>
      <c r="O146" s="10">
        <v>248</v>
      </c>
      <c r="P146" s="10">
        <v>1</v>
      </c>
      <c r="Q146" s="10" t="str">
        <f>+IF(Tabla2[[#This Row],[Demand_Forecast]]&lt;= 125,"Low demand",IF(Tabla2[[#This Row],[Demand_Forecast]] &gt;=285,"High demand","Mid demand"))</f>
        <v>Mid demand</v>
      </c>
    </row>
    <row r="147" spans="1:17" x14ac:dyDescent="0.25">
      <c r="A147" s="11">
        <v>45475.130173611113</v>
      </c>
      <c r="B147" s="10" t="s">
        <v>61</v>
      </c>
      <c r="C147" s="10" t="s">
        <v>326</v>
      </c>
      <c r="D147" s="10" t="s">
        <v>327</v>
      </c>
      <c r="E147" s="10">
        <v>212</v>
      </c>
      <c r="F147" s="10" t="s">
        <v>34</v>
      </c>
      <c r="G147" s="10">
        <v>25.9</v>
      </c>
      <c r="H147" s="10">
        <v>68</v>
      </c>
      <c r="I147" s="10" t="s">
        <v>26</v>
      </c>
      <c r="J147" s="10">
        <v>32</v>
      </c>
      <c r="K147" s="10">
        <v>312</v>
      </c>
      <c r="L147" s="10">
        <v>6</v>
      </c>
      <c r="M147" s="10" t="s">
        <v>51</v>
      </c>
      <c r="N147" s="10">
        <v>87.6</v>
      </c>
      <c r="O147" s="10">
        <v>296</v>
      </c>
      <c r="P147" s="10">
        <v>1</v>
      </c>
      <c r="Q147" s="10" t="str">
        <f>+IF(Tabla2[[#This Row],[Demand_Forecast]]&lt;= 125,"Low demand",IF(Tabla2[[#This Row],[Demand_Forecast]] &gt;=285,"High demand","Mid demand"))</f>
        <v>High demand</v>
      </c>
    </row>
    <row r="148" spans="1:17" x14ac:dyDescent="0.25">
      <c r="A148" s="11">
        <v>45319.196793981479</v>
      </c>
      <c r="B148" s="10" t="s">
        <v>95</v>
      </c>
      <c r="C148" s="10" t="s">
        <v>328</v>
      </c>
      <c r="D148" s="10" t="s">
        <v>329</v>
      </c>
      <c r="E148" s="10">
        <v>317</v>
      </c>
      <c r="F148" s="10" t="s">
        <v>25</v>
      </c>
      <c r="G148" s="10">
        <v>23.9</v>
      </c>
      <c r="H148" s="10">
        <v>69.5</v>
      </c>
      <c r="I148" s="10" t="s">
        <v>38</v>
      </c>
      <c r="J148" s="10">
        <v>59</v>
      </c>
      <c r="K148" s="10">
        <v>447</v>
      </c>
      <c r="L148" s="10">
        <v>1</v>
      </c>
      <c r="M148" s="10" t="s">
        <v>27</v>
      </c>
      <c r="N148" s="10">
        <v>97.1</v>
      </c>
      <c r="O148" s="10">
        <v>294</v>
      </c>
      <c r="P148" s="10">
        <v>0</v>
      </c>
      <c r="Q148" s="10" t="str">
        <f>+IF(Tabla2[[#This Row],[Demand_Forecast]]&lt;= 125,"Low demand",IF(Tabla2[[#This Row],[Demand_Forecast]] &gt;=285,"High demand","Mid demand"))</f>
        <v>High demand</v>
      </c>
    </row>
    <row r="149" spans="1:17" x14ac:dyDescent="0.25">
      <c r="A149" s="11">
        <v>45305.860578703701</v>
      </c>
      <c r="B149" s="10" t="s">
        <v>48</v>
      </c>
      <c r="C149" s="10" t="s">
        <v>330</v>
      </c>
      <c r="D149" s="10" t="s">
        <v>331</v>
      </c>
      <c r="E149" s="10">
        <v>240</v>
      </c>
      <c r="F149" s="10" t="s">
        <v>34</v>
      </c>
      <c r="G149" s="10">
        <v>18.8</v>
      </c>
      <c r="H149" s="10">
        <v>63.9</v>
      </c>
      <c r="I149" s="10" t="s">
        <v>20</v>
      </c>
      <c r="J149" s="10">
        <v>23</v>
      </c>
      <c r="K149" s="10">
        <v>462</v>
      </c>
      <c r="L149" s="10">
        <v>1</v>
      </c>
      <c r="M149" s="10" t="s">
        <v>21</v>
      </c>
      <c r="N149" s="10">
        <v>61.2</v>
      </c>
      <c r="O149" s="10">
        <v>276</v>
      </c>
      <c r="P149" s="10">
        <v>0</v>
      </c>
      <c r="Q149" s="10" t="str">
        <f>+IF(Tabla2[[#This Row],[Demand_Forecast]]&lt;= 125,"Low demand",IF(Tabla2[[#This Row],[Demand_Forecast]] &gt;=285,"High demand","Mid demand"))</f>
        <v>Mid demand</v>
      </c>
    </row>
    <row r="150" spans="1:17" x14ac:dyDescent="0.25">
      <c r="A150" s="11">
        <v>45510.482685185183</v>
      </c>
      <c r="B150" s="10" t="s">
        <v>28</v>
      </c>
      <c r="C150" s="10" t="s">
        <v>332</v>
      </c>
      <c r="D150" s="10" t="s">
        <v>333</v>
      </c>
      <c r="E150" s="10">
        <v>427</v>
      </c>
      <c r="F150" s="10" t="s">
        <v>19</v>
      </c>
      <c r="G150" s="10">
        <v>20.3</v>
      </c>
      <c r="H150" s="10">
        <v>57.3</v>
      </c>
      <c r="I150" s="10" t="s">
        <v>26</v>
      </c>
      <c r="J150" s="10">
        <v>18</v>
      </c>
      <c r="K150" s="10">
        <v>341</v>
      </c>
      <c r="L150" s="10">
        <v>3</v>
      </c>
      <c r="M150" s="10" t="s">
        <v>27</v>
      </c>
      <c r="N150" s="10">
        <v>85.7</v>
      </c>
      <c r="O150" s="10">
        <v>189</v>
      </c>
      <c r="P150" s="10">
        <v>1</v>
      </c>
      <c r="Q150" s="10" t="str">
        <f>+IF(Tabla2[[#This Row],[Demand_Forecast]]&lt;= 125,"Low demand",IF(Tabla2[[#This Row],[Demand_Forecast]] &gt;=285,"High demand","Mid demand"))</f>
        <v>Mid demand</v>
      </c>
    </row>
    <row r="151" spans="1:17" x14ac:dyDescent="0.25">
      <c r="A151" s="11">
        <v>45634.048877314817</v>
      </c>
      <c r="B151" s="10" t="s">
        <v>28</v>
      </c>
      <c r="C151" s="10" t="s">
        <v>334</v>
      </c>
      <c r="D151" s="10" t="s">
        <v>335</v>
      </c>
      <c r="E151" s="10">
        <v>144</v>
      </c>
      <c r="F151" s="10" t="s">
        <v>19</v>
      </c>
      <c r="G151" s="10">
        <v>18.2</v>
      </c>
      <c r="H151" s="10">
        <v>53.1</v>
      </c>
      <c r="I151" s="10" t="s">
        <v>38</v>
      </c>
      <c r="J151" s="10">
        <v>16</v>
      </c>
      <c r="K151" s="10">
        <v>106</v>
      </c>
      <c r="L151" s="10">
        <v>5</v>
      </c>
      <c r="M151" s="10" t="s">
        <v>27</v>
      </c>
      <c r="N151" s="10">
        <v>69.400000000000006</v>
      </c>
      <c r="O151" s="10">
        <v>214</v>
      </c>
      <c r="P151" s="10">
        <v>1</v>
      </c>
      <c r="Q151" s="10" t="str">
        <f>+IF(Tabla2[[#This Row],[Demand_Forecast]]&lt;= 125,"Low demand",IF(Tabla2[[#This Row],[Demand_Forecast]] &gt;=285,"High demand","Mid demand"))</f>
        <v>Mid demand</v>
      </c>
    </row>
    <row r="152" spans="1:17" x14ac:dyDescent="0.25">
      <c r="A152" s="11">
        <v>45349.077766203707</v>
      </c>
      <c r="B152" s="10" t="s">
        <v>56</v>
      </c>
      <c r="C152" s="10" t="s">
        <v>336</v>
      </c>
      <c r="D152" s="10" t="s">
        <v>337</v>
      </c>
      <c r="E152" s="10">
        <v>280</v>
      </c>
      <c r="F152" s="10" t="s">
        <v>25</v>
      </c>
      <c r="G152" s="10">
        <v>25.5</v>
      </c>
      <c r="H152" s="10">
        <v>74.2</v>
      </c>
      <c r="I152" s="10" t="s">
        <v>38</v>
      </c>
      <c r="J152" s="10">
        <v>46</v>
      </c>
      <c r="K152" s="10">
        <v>447</v>
      </c>
      <c r="L152" s="10">
        <v>2</v>
      </c>
      <c r="M152" s="10" t="s">
        <v>35</v>
      </c>
      <c r="N152" s="10">
        <v>65.3</v>
      </c>
      <c r="O152" s="10">
        <v>236</v>
      </c>
      <c r="P152" s="10">
        <v>0</v>
      </c>
      <c r="Q152" s="10" t="str">
        <f>+IF(Tabla2[[#This Row],[Demand_Forecast]]&lt;= 125,"Low demand",IF(Tabla2[[#This Row],[Demand_Forecast]] &gt;=285,"High demand","Mid demand"))</f>
        <v>Mid demand</v>
      </c>
    </row>
    <row r="153" spans="1:17" x14ac:dyDescent="0.25">
      <c r="A153" s="11">
        <v>45336.894803240742</v>
      </c>
      <c r="B153" s="10" t="s">
        <v>48</v>
      </c>
      <c r="C153" s="10" t="s">
        <v>338</v>
      </c>
      <c r="D153" s="10" t="s">
        <v>339</v>
      </c>
      <c r="E153" s="10">
        <v>182</v>
      </c>
      <c r="F153" s="10" t="s">
        <v>19</v>
      </c>
      <c r="G153" s="10">
        <v>20.3</v>
      </c>
      <c r="H153" s="10">
        <v>59.8</v>
      </c>
      <c r="I153" s="10" t="s">
        <v>20</v>
      </c>
      <c r="J153" s="10">
        <v>30</v>
      </c>
      <c r="K153" s="10">
        <v>288</v>
      </c>
      <c r="L153" s="10">
        <v>7</v>
      </c>
      <c r="M153" s="10" t="s">
        <v>21</v>
      </c>
      <c r="N153" s="10">
        <v>83.3</v>
      </c>
      <c r="O153" s="10">
        <v>107</v>
      </c>
      <c r="P153" s="10">
        <v>1</v>
      </c>
      <c r="Q153" s="10" t="str">
        <f>+IF(Tabla2[[#This Row],[Demand_Forecast]]&lt;= 125,"Low demand",IF(Tabla2[[#This Row],[Demand_Forecast]] &gt;=285,"High demand","Mid demand"))</f>
        <v>Low demand</v>
      </c>
    </row>
    <row r="154" spans="1:17" x14ac:dyDescent="0.25">
      <c r="A154" s="11">
        <v>45372.491956018515</v>
      </c>
      <c r="B154" s="10" t="s">
        <v>61</v>
      </c>
      <c r="C154" s="10" t="s">
        <v>340</v>
      </c>
      <c r="D154" s="10" t="s">
        <v>341</v>
      </c>
      <c r="E154" s="10">
        <v>439</v>
      </c>
      <c r="F154" s="10" t="s">
        <v>19</v>
      </c>
      <c r="G154" s="10">
        <v>21.5</v>
      </c>
      <c r="H154" s="10">
        <v>72.8</v>
      </c>
      <c r="I154" s="10" t="s">
        <v>26</v>
      </c>
      <c r="J154" s="10">
        <v>30</v>
      </c>
      <c r="K154" s="10">
        <v>101</v>
      </c>
      <c r="L154" s="10">
        <v>10</v>
      </c>
      <c r="M154" s="10" t="s">
        <v>51</v>
      </c>
      <c r="N154" s="10">
        <v>90.4</v>
      </c>
      <c r="O154" s="10">
        <v>114</v>
      </c>
      <c r="P154" s="10">
        <v>1</v>
      </c>
      <c r="Q154" s="10" t="str">
        <f>+IF(Tabla2[[#This Row],[Demand_Forecast]]&lt;= 125,"Low demand",IF(Tabla2[[#This Row],[Demand_Forecast]] &gt;=285,"High demand","Mid demand"))</f>
        <v>Low demand</v>
      </c>
    </row>
    <row r="155" spans="1:17" x14ac:dyDescent="0.25">
      <c r="A155" s="11">
        <v>45581.955706018518</v>
      </c>
      <c r="B155" s="10" t="s">
        <v>48</v>
      </c>
      <c r="C155" s="10" t="s">
        <v>342</v>
      </c>
      <c r="D155" s="10" t="s">
        <v>343</v>
      </c>
      <c r="E155" s="10">
        <v>174</v>
      </c>
      <c r="F155" s="10" t="s">
        <v>19</v>
      </c>
      <c r="G155" s="10">
        <v>27.2</v>
      </c>
      <c r="H155" s="10">
        <v>77.900000000000006</v>
      </c>
      <c r="I155" s="10" t="s">
        <v>26</v>
      </c>
      <c r="J155" s="10">
        <v>39</v>
      </c>
      <c r="K155" s="10">
        <v>173</v>
      </c>
      <c r="L155" s="10">
        <v>5</v>
      </c>
      <c r="M155" s="10" t="s">
        <v>51</v>
      </c>
      <c r="N155" s="10">
        <v>91.1</v>
      </c>
      <c r="O155" s="10">
        <v>262</v>
      </c>
      <c r="P155" s="10">
        <v>1</v>
      </c>
      <c r="Q155" s="10" t="str">
        <f>+IF(Tabla2[[#This Row],[Demand_Forecast]]&lt;= 125,"Low demand",IF(Tabla2[[#This Row],[Demand_Forecast]] &gt;=285,"High demand","Mid demand"))</f>
        <v>Mid demand</v>
      </c>
    </row>
    <row r="156" spans="1:17" x14ac:dyDescent="0.25">
      <c r="A156" s="11">
        <v>45343.972696759258</v>
      </c>
      <c r="B156" s="10" t="s">
        <v>22</v>
      </c>
      <c r="C156" s="10" t="s">
        <v>344</v>
      </c>
      <c r="D156" s="10" t="s">
        <v>345</v>
      </c>
      <c r="E156" s="10">
        <v>186</v>
      </c>
      <c r="F156" s="10" t="s">
        <v>19</v>
      </c>
      <c r="G156" s="10">
        <v>24</v>
      </c>
      <c r="H156" s="10">
        <v>67.3</v>
      </c>
      <c r="I156" s="10" t="s">
        <v>20</v>
      </c>
      <c r="J156" s="10">
        <v>44</v>
      </c>
      <c r="K156" s="10">
        <v>352</v>
      </c>
      <c r="L156" s="10">
        <v>9</v>
      </c>
      <c r="M156" s="10" t="s">
        <v>21</v>
      </c>
      <c r="N156" s="10">
        <v>85.7</v>
      </c>
      <c r="O156" s="10">
        <v>262</v>
      </c>
      <c r="P156" s="10">
        <v>1</v>
      </c>
      <c r="Q156" s="10" t="str">
        <f>+IF(Tabla2[[#This Row],[Demand_Forecast]]&lt;= 125,"Low demand",IF(Tabla2[[#This Row],[Demand_Forecast]] &gt;=285,"High demand","Mid demand"))</f>
        <v>Mid demand</v>
      </c>
    </row>
    <row r="157" spans="1:17" x14ac:dyDescent="0.25">
      <c r="A157" s="11">
        <v>45559.928587962961</v>
      </c>
      <c r="B157" s="10" t="s">
        <v>28</v>
      </c>
      <c r="C157" s="10" t="s">
        <v>346</v>
      </c>
      <c r="D157" s="10" t="s">
        <v>347</v>
      </c>
      <c r="E157" s="10">
        <v>109</v>
      </c>
      <c r="F157" s="10" t="s">
        <v>34</v>
      </c>
      <c r="G157" s="10">
        <v>26.9</v>
      </c>
      <c r="H157" s="10">
        <v>75.3</v>
      </c>
      <c r="I157" s="10" t="s">
        <v>20</v>
      </c>
      <c r="J157" s="10">
        <v>26</v>
      </c>
      <c r="K157" s="10">
        <v>314</v>
      </c>
      <c r="L157" s="10">
        <v>7</v>
      </c>
      <c r="M157" s="10" t="s">
        <v>21</v>
      </c>
      <c r="N157" s="10">
        <v>93.3</v>
      </c>
      <c r="O157" s="10">
        <v>176</v>
      </c>
      <c r="P157" s="10">
        <v>0</v>
      </c>
      <c r="Q157" s="10" t="str">
        <f>+IF(Tabla2[[#This Row],[Demand_Forecast]]&lt;= 125,"Low demand",IF(Tabla2[[#This Row],[Demand_Forecast]] &gt;=285,"High demand","Mid demand"))</f>
        <v>Mid demand</v>
      </c>
    </row>
    <row r="158" spans="1:17" x14ac:dyDescent="0.25">
      <c r="A158" s="11">
        <v>45381.432060185187</v>
      </c>
      <c r="B158" s="10" t="s">
        <v>41</v>
      </c>
      <c r="C158" s="10" t="s">
        <v>348</v>
      </c>
      <c r="D158" s="10" t="s">
        <v>349</v>
      </c>
      <c r="E158" s="10">
        <v>483</v>
      </c>
      <c r="F158" s="10" t="s">
        <v>25</v>
      </c>
      <c r="G158" s="10">
        <v>21.9</v>
      </c>
      <c r="H158" s="10">
        <v>71.900000000000006</v>
      </c>
      <c r="I158" s="10" t="s">
        <v>20</v>
      </c>
      <c r="J158" s="10">
        <v>59</v>
      </c>
      <c r="K158" s="10">
        <v>226</v>
      </c>
      <c r="L158" s="10">
        <v>10</v>
      </c>
      <c r="M158" s="10" t="s">
        <v>51</v>
      </c>
      <c r="N158" s="10">
        <v>69.2</v>
      </c>
      <c r="O158" s="10">
        <v>152</v>
      </c>
      <c r="P158" s="10">
        <v>0</v>
      </c>
      <c r="Q158" s="10" t="str">
        <f>+IF(Tabla2[[#This Row],[Demand_Forecast]]&lt;= 125,"Low demand",IF(Tabla2[[#This Row],[Demand_Forecast]] &gt;=285,"High demand","Mid demand"))</f>
        <v>Mid demand</v>
      </c>
    </row>
    <row r="159" spans="1:17" x14ac:dyDescent="0.25">
      <c r="A159" s="11">
        <v>45641.317395833335</v>
      </c>
      <c r="B159" s="10" t="s">
        <v>48</v>
      </c>
      <c r="C159" s="10" t="s">
        <v>350</v>
      </c>
      <c r="D159" s="10" t="s">
        <v>351</v>
      </c>
      <c r="E159" s="10">
        <v>100</v>
      </c>
      <c r="F159" s="10" t="s">
        <v>19</v>
      </c>
      <c r="G159" s="10">
        <v>27.5</v>
      </c>
      <c r="H159" s="10">
        <v>68.599999999999994</v>
      </c>
      <c r="I159" s="10" t="s">
        <v>38</v>
      </c>
      <c r="J159" s="10">
        <v>49</v>
      </c>
      <c r="K159" s="10">
        <v>464</v>
      </c>
      <c r="L159" s="10">
        <v>3</v>
      </c>
      <c r="M159" s="10" t="s">
        <v>21</v>
      </c>
      <c r="N159" s="10">
        <v>61.7</v>
      </c>
      <c r="O159" s="10">
        <v>149</v>
      </c>
      <c r="P159" s="10">
        <v>1</v>
      </c>
      <c r="Q159" s="10" t="str">
        <f>+IF(Tabla2[[#This Row],[Demand_Forecast]]&lt;= 125,"Low demand",IF(Tabla2[[#This Row],[Demand_Forecast]] &gt;=285,"High demand","Mid demand"))</f>
        <v>Mid demand</v>
      </c>
    </row>
    <row r="160" spans="1:17" x14ac:dyDescent="0.25">
      <c r="A160" s="11">
        <v>45377.936990740738</v>
      </c>
      <c r="B160" s="10" t="s">
        <v>95</v>
      </c>
      <c r="C160" s="10" t="s">
        <v>352</v>
      </c>
      <c r="D160" s="10" t="s">
        <v>353</v>
      </c>
      <c r="E160" s="10">
        <v>128</v>
      </c>
      <c r="F160" s="10" t="s">
        <v>34</v>
      </c>
      <c r="G160" s="10">
        <v>28.9</v>
      </c>
      <c r="H160" s="10">
        <v>63.7</v>
      </c>
      <c r="I160" s="10" t="s">
        <v>38</v>
      </c>
      <c r="J160" s="10">
        <v>56</v>
      </c>
      <c r="K160" s="10">
        <v>140</v>
      </c>
      <c r="L160" s="10">
        <v>1</v>
      </c>
      <c r="M160" s="10" t="s">
        <v>27</v>
      </c>
      <c r="N160" s="10">
        <v>72.8</v>
      </c>
      <c r="O160" s="10">
        <v>127</v>
      </c>
      <c r="P160" s="10">
        <v>0</v>
      </c>
      <c r="Q160" s="10" t="str">
        <f>+IF(Tabla2[[#This Row],[Demand_Forecast]]&lt;= 125,"Low demand",IF(Tabla2[[#This Row],[Demand_Forecast]] &gt;=285,"High demand","Mid demand"))</f>
        <v>Mid demand</v>
      </c>
    </row>
    <row r="161" spans="1:17" x14ac:dyDescent="0.25">
      <c r="A161" s="11">
        <v>45421.784409722219</v>
      </c>
      <c r="B161" s="10" t="s">
        <v>28</v>
      </c>
      <c r="C161" s="10" t="s">
        <v>354</v>
      </c>
      <c r="D161" s="10" t="s">
        <v>355</v>
      </c>
      <c r="E161" s="10">
        <v>100</v>
      </c>
      <c r="F161" s="10" t="s">
        <v>25</v>
      </c>
      <c r="G161" s="10">
        <v>21.9</v>
      </c>
      <c r="H161" s="10">
        <v>72.099999999999994</v>
      </c>
      <c r="I161" s="10" t="s">
        <v>20</v>
      </c>
      <c r="J161" s="10">
        <v>22</v>
      </c>
      <c r="K161" s="10">
        <v>413</v>
      </c>
      <c r="L161" s="10">
        <v>1</v>
      </c>
      <c r="M161" s="10" t="s">
        <v>27</v>
      </c>
      <c r="N161" s="10">
        <v>67.5</v>
      </c>
      <c r="O161" s="10">
        <v>145</v>
      </c>
      <c r="P161" s="10">
        <v>0</v>
      </c>
      <c r="Q161" s="10" t="str">
        <f>+IF(Tabla2[[#This Row],[Demand_Forecast]]&lt;= 125,"Low demand",IF(Tabla2[[#This Row],[Demand_Forecast]] &gt;=285,"High demand","Mid demand"))</f>
        <v>Mid demand</v>
      </c>
    </row>
    <row r="162" spans="1:17" x14ac:dyDescent="0.25">
      <c r="A162" s="11">
        <v>45615.414594907408</v>
      </c>
      <c r="B162" s="10" t="s">
        <v>22</v>
      </c>
      <c r="C162" s="10" t="s">
        <v>356</v>
      </c>
      <c r="D162" s="10" t="s">
        <v>357</v>
      </c>
      <c r="E162" s="10">
        <v>468</v>
      </c>
      <c r="F162" s="10" t="s">
        <v>19</v>
      </c>
      <c r="G162" s="10">
        <v>28.6</v>
      </c>
      <c r="H162" s="10">
        <v>65.099999999999994</v>
      </c>
      <c r="I162" s="10" t="s">
        <v>26</v>
      </c>
      <c r="J162" s="10">
        <v>45</v>
      </c>
      <c r="K162" s="10">
        <v>419</v>
      </c>
      <c r="L162" s="10">
        <v>8</v>
      </c>
      <c r="M162" s="10" t="s">
        <v>21</v>
      </c>
      <c r="N162" s="10">
        <v>76.099999999999994</v>
      </c>
      <c r="O162" s="10">
        <v>119</v>
      </c>
      <c r="P162" s="10">
        <v>1</v>
      </c>
      <c r="Q162" s="10" t="str">
        <f>+IF(Tabla2[[#This Row],[Demand_Forecast]]&lt;= 125,"Low demand",IF(Tabla2[[#This Row],[Demand_Forecast]] &gt;=285,"High demand","Mid demand"))</f>
        <v>Low demand</v>
      </c>
    </row>
    <row r="163" spans="1:17" x14ac:dyDescent="0.25">
      <c r="A163" s="11">
        <v>45622.714687500003</v>
      </c>
      <c r="B163" s="10" t="s">
        <v>56</v>
      </c>
      <c r="C163" s="10" t="s">
        <v>358</v>
      </c>
      <c r="D163" s="10" t="s">
        <v>359</v>
      </c>
      <c r="E163" s="10">
        <v>243</v>
      </c>
      <c r="F163" s="10" t="s">
        <v>25</v>
      </c>
      <c r="G163" s="10">
        <v>27.7</v>
      </c>
      <c r="H163" s="10">
        <v>74.8</v>
      </c>
      <c r="I163" s="10" t="s">
        <v>20</v>
      </c>
      <c r="J163" s="10">
        <v>28</v>
      </c>
      <c r="K163" s="10">
        <v>311</v>
      </c>
      <c r="L163" s="10">
        <v>9</v>
      </c>
      <c r="M163" s="10" t="s">
        <v>21</v>
      </c>
      <c r="N163" s="10">
        <v>97.5</v>
      </c>
      <c r="O163" s="10">
        <v>272</v>
      </c>
      <c r="P163" s="10">
        <v>0</v>
      </c>
      <c r="Q163" s="10" t="str">
        <f>+IF(Tabla2[[#This Row],[Demand_Forecast]]&lt;= 125,"Low demand",IF(Tabla2[[#This Row],[Demand_Forecast]] &gt;=285,"High demand","Mid demand"))</f>
        <v>Mid demand</v>
      </c>
    </row>
    <row r="164" spans="1:17" x14ac:dyDescent="0.25">
      <c r="A164" s="11">
        <v>45402.412708333337</v>
      </c>
      <c r="B164" s="10" t="s">
        <v>48</v>
      </c>
      <c r="C164" s="10" t="s">
        <v>360</v>
      </c>
      <c r="D164" s="10" t="s">
        <v>361</v>
      </c>
      <c r="E164" s="10">
        <v>134</v>
      </c>
      <c r="F164" s="10" t="s">
        <v>19</v>
      </c>
      <c r="G164" s="10">
        <v>29.2</v>
      </c>
      <c r="H164" s="10">
        <v>55.5</v>
      </c>
      <c r="I164" s="10" t="s">
        <v>20</v>
      </c>
      <c r="J164" s="10">
        <v>34</v>
      </c>
      <c r="K164" s="10">
        <v>189</v>
      </c>
      <c r="L164" s="10">
        <v>1</v>
      </c>
      <c r="M164" s="10" t="s">
        <v>27</v>
      </c>
      <c r="N164" s="10">
        <v>87.8</v>
      </c>
      <c r="O164" s="10">
        <v>270</v>
      </c>
      <c r="P164" s="10">
        <v>1</v>
      </c>
      <c r="Q164" s="10" t="str">
        <f>+IF(Tabla2[[#This Row],[Demand_Forecast]]&lt;= 125,"Low demand",IF(Tabla2[[#This Row],[Demand_Forecast]] &gt;=285,"High demand","Mid demand"))</f>
        <v>Mid demand</v>
      </c>
    </row>
    <row r="165" spans="1:17" x14ac:dyDescent="0.25">
      <c r="A165" s="11">
        <v>45448.805046296293</v>
      </c>
      <c r="B165" s="10" t="s">
        <v>61</v>
      </c>
      <c r="C165" s="10" t="s">
        <v>362</v>
      </c>
      <c r="D165" s="10" t="s">
        <v>363</v>
      </c>
      <c r="E165" s="10">
        <v>484</v>
      </c>
      <c r="F165" s="10" t="s">
        <v>34</v>
      </c>
      <c r="G165" s="10">
        <v>29.1</v>
      </c>
      <c r="H165" s="10">
        <v>54.7</v>
      </c>
      <c r="I165" s="10" t="s">
        <v>20</v>
      </c>
      <c r="J165" s="10">
        <v>48</v>
      </c>
      <c r="K165" s="10">
        <v>320</v>
      </c>
      <c r="L165" s="10">
        <v>7</v>
      </c>
      <c r="M165" s="10" t="s">
        <v>27</v>
      </c>
      <c r="N165" s="10">
        <v>84.6</v>
      </c>
      <c r="O165" s="10">
        <v>118</v>
      </c>
      <c r="P165" s="10">
        <v>0</v>
      </c>
      <c r="Q165" s="10" t="str">
        <f>+IF(Tabla2[[#This Row],[Demand_Forecast]]&lt;= 125,"Low demand",IF(Tabla2[[#This Row],[Demand_Forecast]] &gt;=285,"High demand","Mid demand"))</f>
        <v>Low demand</v>
      </c>
    </row>
    <row r="166" spans="1:17" x14ac:dyDescent="0.25">
      <c r="A166" s="11">
        <v>45481.185173611113</v>
      </c>
      <c r="B166" s="10" t="s">
        <v>22</v>
      </c>
      <c r="C166" s="10" t="s">
        <v>364</v>
      </c>
      <c r="D166" s="10" t="s">
        <v>365</v>
      </c>
      <c r="E166" s="10">
        <v>300</v>
      </c>
      <c r="F166" s="10" t="s">
        <v>34</v>
      </c>
      <c r="G166" s="10">
        <v>22.4</v>
      </c>
      <c r="H166" s="10">
        <v>54.3</v>
      </c>
      <c r="I166" s="10" t="s">
        <v>26</v>
      </c>
      <c r="J166" s="10">
        <v>23</v>
      </c>
      <c r="K166" s="10">
        <v>323</v>
      </c>
      <c r="L166" s="10">
        <v>5</v>
      </c>
      <c r="M166" s="10" t="s">
        <v>27</v>
      </c>
      <c r="N166" s="10">
        <v>65.5</v>
      </c>
      <c r="O166" s="10">
        <v>230</v>
      </c>
      <c r="P166" s="10">
        <v>1</v>
      </c>
      <c r="Q166" s="10" t="str">
        <f>+IF(Tabla2[[#This Row],[Demand_Forecast]]&lt;= 125,"Low demand",IF(Tabla2[[#This Row],[Demand_Forecast]] &gt;=285,"High demand","Mid demand"))</f>
        <v>Mid demand</v>
      </c>
    </row>
    <row r="167" spans="1:17" x14ac:dyDescent="0.25">
      <c r="A167" s="11">
        <v>45383.164363425924</v>
      </c>
      <c r="B167" s="10" t="s">
        <v>28</v>
      </c>
      <c r="C167" s="10" t="s">
        <v>366</v>
      </c>
      <c r="D167" s="10" t="s">
        <v>367</v>
      </c>
      <c r="E167" s="10">
        <v>396</v>
      </c>
      <c r="F167" s="10" t="s">
        <v>34</v>
      </c>
      <c r="G167" s="10">
        <v>21.9</v>
      </c>
      <c r="H167" s="10">
        <v>67.400000000000006</v>
      </c>
      <c r="I167" s="10" t="s">
        <v>20</v>
      </c>
      <c r="J167" s="10">
        <v>24</v>
      </c>
      <c r="K167" s="10">
        <v>238</v>
      </c>
      <c r="L167" s="10">
        <v>3</v>
      </c>
      <c r="M167" s="10" t="s">
        <v>27</v>
      </c>
      <c r="N167" s="10">
        <v>60.4</v>
      </c>
      <c r="O167" s="10">
        <v>117</v>
      </c>
      <c r="P167" s="10">
        <v>0</v>
      </c>
      <c r="Q167" s="10" t="str">
        <f>+IF(Tabla2[[#This Row],[Demand_Forecast]]&lt;= 125,"Low demand",IF(Tabla2[[#This Row],[Demand_Forecast]] &gt;=285,"High demand","Mid demand"))</f>
        <v>Low demand</v>
      </c>
    </row>
    <row r="168" spans="1:17" x14ac:dyDescent="0.25">
      <c r="A168" s="11">
        <v>45333.203449074077</v>
      </c>
      <c r="B168" s="10" t="s">
        <v>41</v>
      </c>
      <c r="C168" s="10" t="s">
        <v>368</v>
      </c>
      <c r="D168" s="10" t="s">
        <v>369</v>
      </c>
      <c r="E168" s="10">
        <v>135</v>
      </c>
      <c r="F168" s="10" t="s">
        <v>34</v>
      </c>
      <c r="G168" s="10">
        <v>26.8</v>
      </c>
      <c r="H168" s="10">
        <v>79.099999999999994</v>
      </c>
      <c r="I168" s="10" t="s">
        <v>20</v>
      </c>
      <c r="J168" s="10">
        <v>57</v>
      </c>
      <c r="K168" s="10">
        <v>173</v>
      </c>
      <c r="L168" s="10">
        <v>7</v>
      </c>
      <c r="M168" s="10" t="s">
        <v>51</v>
      </c>
      <c r="N168" s="10">
        <v>81.3</v>
      </c>
      <c r="O168" s="10">
        <v>115</v>
      </c>
      <c r="P168" s="10">
        <v>0</v>
      </c>
      <c r="Q168" s="10" t="str">
        <f>+IF(Tabla2[[#This Row],[Demand_Forecast]]&lt;= 125,"Low demand",IF(Tabla2[[#This Row],[Demand_Forecast]] &gt;=285,"High demand","Mid demand"))</f>
        <v>Low demand</v>
      </c>
    </row>
    <row r="169" spans="1:17" x14ac:dyDescent="0.25">
      <c r="A169" s="11">
        <v>45527.004074074073</v>
      </c>
      <c r="B169" s="10" t="s">
        <v>56</v>
      </c>
      <c r="C169" s="10" t="s">
        <v>370</v>
      </c>
      <c r="D169" s="10" t="s">
        <v>371</v>
      </c>
      <c r="E169" s="10">
        <v>236</v>
      </c>
      <c r="F169" s="10" t="s">
        <v>34</v>
      </c>
      <c r="G169" s="10">
        <v>21.9</v>
      </c>
      <c r="H169" s="10">
        <v>51.9</v>
      </c>
      <c r="I169" s="10" t="s">
        <v>20</v>
      </c>
      <c r="J169" s="10">
        <v>21</v>
      </c>
      <c r="K169" s="10">
        <v>233</v>
      </c>
      <c r="L169" s="10">
        <v>6</v>
      </c>
      <c r="M169" s="10" t="s">
        <v>51</v>
      </c>
      <c r="N169" s="10">
        <v>72</v>
      </c>
      <c r="O169" s="10">
        <v>115</v>
      </c>
      <c r="P169" s="10">
        <v>0</v>
      </c>
      <c r="Q169" s="10" t="str">
        <f>+IF(Tabla2[[#This Row],[Demand_Forecast]]&lt;= 125,"Low demand",IF(Tabla2[[#This Row],[Demand_Forecast]] &gt;=285,"High demand","Mid demand"))</f>
        <v>Low demand</v>
      </c>
    </row>
    <row r="170" spans="1:17" x14ac:dyDescent="0.25">
      <c r="A170" s="11">
        <v>45600.020370370374</v>
      </c>
      <c r="B170" s="10" t="s">
        <v>95</v>
      </c>
      <c r="C170" s="10" t="s">
        <v>372</v>
      </c>
      <c r="D170" s="10" t="s">
        <v>373</v>
      </c>
      <c r="E170" s="10">
        <v>294</v>
      </c>
      <c r="F170" s="10" t="s">
        <v>34</v>
      </c>
      <c r="G170" s="10">
        <v>27.6</v>
      </c>
      <c r="H170" s="10">
        <v>79.7</v>
      </c>
      <c r="I170" s="10" t="s">
        <v>26</v>
      </c>
      <c r="J170" s="10">
        <v>24</v>
      </c>
      <c r="K170" s="10">
        <v>181</v>
      </c>
      <c r="L170" s="10">
        <v>5</v>
      </c>
      <c r="M170" s="10" t="s">
        <v>27</v>
      </c>
      <c r="N170" s="10">
        <v>88.2</v>
      </c>
      <c r="O170" s="10">
        <v>191</v>
      </c>
      <c r="P170" s="10">
        <v>1</v>
      </c>
      <c r="Q170" s="10" t="str">
        <f>+IF(Tabla2[[#This Row],[Demand_Forecast]]&lt;= 125,"Low demand",IF(Tabla2[[#This Row],[Demand_Forecast]] &gt;=285,"High demand","Mid demand"))</f>
        <v>Mid demand</v>
      </c>
    </row>
    <row r="171" spans="1:17" x14ac:dyDescent="0.25">
      <c r="A171" s="11">
        <v>45416.808680555558</v>
      </c>
      <c r="B171" s="10" t="s">
        <v>41</v>
      </c>
      <c r="C171" s="10" t="s">
        <v>374</v>
      </c>
      <c r="D171" s="10" t="s">
        <v>375</v>
      </c>
      <c r="E171" s="10">
        <v>209</v>
      </c>
      <c r="F171" s="10" t="s">
        <v>19</v>
      </c>
      <c r="G171" s="10">
        <v>29.4</v>
      </c>
      <c r="H171" s="10">
        <v>57.8</v>
      </c>
      <c r="I171" s="10" t="s">
        <v>20</v>
      </c>
      <c r="J171" s="10">
        <v>34</v>
      </c>
      <c r="K171" s="10">
        <v>319</v>
      </c>
      <c r="L171" s="10">
        <v>4</v>
      </c>
      <c r="M171" s="10" t="s">
        <v>51</v>
      </c>
      <c r="N171" s="10">
        <v>85</v>
      </c>
      <c r="O171" s="10">
        <v>208</v>
      </c>
      <c r="P171" s="10">
        <v>1</v>
      </c>
      <c r="Q171" s="10" t="str">
        <f>+IF(Tabla2[[#This Row],[Demand_Forecast]]&lt;= 125,"Low demand",IF(Tabla2[[#This Row],[Demand_Forecast]] &gt;=285,"High demand","Mid demand"))</f>
        <v>Mid demand</v>
      </c>
    </row>
    <row r="172" spans="1:17" x14ac:dyDescent="0.25">
      <c r="A172" s="11">
        <v>45609.18</v>
      </c>
      <c r="B172" s="10" t="s">
        <v>41</v>
      </c>
      <c r="C172" s="10" t="s">
        <v>376</v>
      </c>
      <c r="D172" s="10" t="s">
        <v>377</v>
      </c>
      <c r="E172" s="10">
        <v>378</v>
      </c>
      <c r="F172" s="10" t="s">
        <v>19</v>
      </c>
      <c r="G172" s="10">
        <v>28.2</v>
      </c>
      <c r="H172" s="10">
        <v>70.2</v>
      </c>
      <c r="I172" s="10" t="s">
        <v>38</v>
      </c>
      <c r="J172" s="10">
        <v>60</v>
      </c>
      <c r="K172" s="10">
        <v>490</v>
      </c>
      <c r="L172" s="10">
        <v>9</v>
      </c>
      <c r="M172" s="10" t="s">
        <v>35</v>
      </c>
      <c r="N172" s="10">
        <v>66.8</v>
      </c>
      <c r="O172" s="10">
        <v>166</v>
      </c>
      <c r="P172" s="10">
        <v>1</v>
      </c>
      <c r="Q172" s="10" t="str">
        <f>+IF(Tabla2[[#This Row],[Demand_Forecast]]&lt;= 125,"Low demand",IF(Tabla2[[#This Row],[Demand_Forecast]] &gt;=285,"High demand","Mid demand"))</f>
        <v>Mid demand</v>
      </c>
    </row>
    <row r="173" spans="1:17" x14ac:dyDescent="0.25">
      <c r="A173" s="11">
        <v>45335.803680555553</v>
      </c>
      <c r="B173" s="10" t="s">
        <v>95</v>
      </c>
      <c r="C173" s="10" t="s">
        <v>378</v>
      </c>
      <c r="D173" s="10" t="s">
        <v>379</v>
      </c>
      <c r="E173" s="10">
        <v>355</v>
      </c>
      <c r="F173" s="10" t="s">
        <v>19</v>
      </c>
      <c r="G173" s="10">
        <v>22.5</v>
      </c>
      <c r="H173" s="10">
        <v>74</v>
      </c>
      <c r="I173" s="10" t="s">
        <v>38</v>
      </c>
      <c r="J173" s="10">
        <v>20</v>
      </c>
      <c r="K173" s="10">
        <v>321</v>
      </c>
      <c r="L173" s="10">
        <v>3</v>
      </c>
      <c r="M173" s="10" t="s">
        <v>27</v>
      </c>
      <c r="N173" s="10">
        <v>90.6</v>
      </c>
      <c r="O173" s="10">
        <v>252</v>
      </c>
      <c r="P173" s="10">
        <v>1</v>
      </c>
      <c r="Q173" s="10" t="str">
        <f>+IF(Tabla2[[#This Row],[Demand_Forecast]]&lt;= 125,"Low demand",IF(Tabla2[[#This Row],[Demand_Forecast]] &gt;=285,"High demand","Mid demand"))</f>
        <v>Mid demand</v>
      </c>
    </row>
    <row r="174" spans="1:17" x14ac:dyDescent="0.25">
      <c r="A174" s="11">
        <v>45471.303877314815</v>
      </c>
      <c r="B174" s="10" t="s">
        <v>31</v>
      </c>
      <c r="C174" s="10" t="s">
        <v>380</v>
      </c>
      <c r="D174" s="10" t="s">
        <v>381</v>
      </c>
      <c r="E174" s="10">
        <v>474</v>
      </c>
      <c r="F174" s="10" t="s">
        <v>19</v>
      </c>
      <c r="G174" s="10">
        <v>29.2</v>
      </c>
      <c r="H174" s="10">
        <v>66.099999999999994</v>
      </c>
      <c r="I174" s="10" t="s">
        <v>26</v>
      </c>
      <c r="J174" s="10">
        <v>26</v>
      </c>
      <c r="K174" s="10">
        <v>318</v>
      </c>
      <c r="L174" s="10">
        <v>5</v>
      </c>
      <c r="M174" s="10" t="s">
        <v>27</v>
      </c>
      <c r="N174" s="10">
        <v>96.2</v>
      </c>
      <c r="O174" s="10">
        <v>110</v>
      </c>
      <c r="P174" s="10">
        <v>1</v>
      </c>
      <c r="Q174" s="10" t="str">
        <f>+IF(Tabla2[[#This Row],[Demand_Forecast]]&lt;= 125,"Low demand",IF(Tabla2[[#This Row],[Demand_Forecast]] &gt;=285,"High demand","Mid demand"))</f>
        <v>Low demand</v>
      </c>
    </row>
    <row r="175" spans="1:17" x14ac:dyDescent="0.25">
      <c r="A175" s="11">
        <v>45641.921516203707</v>
      </c>
      <c r="B175" s="10" t="s">
        <v>22</v>
      </c>
      <c r="C175" s="10" t="s">
        <v>382</v>
      </c>
      <c r="D175" s="10" t="s">
        <v>383</v>
      </c>
      <c r="E175" s="10">
        <v>218</v>
      </c>
      <c r="F175" s="10" t="s">
        <v>34</v>
      </c>
      <c r="G175" s="10">
        <v>19.5</v>
      </c>
      <c r="H175" s="10">
        <v>67.900000000000006</v>
      </c>
      <c r="I175" s="10" t="s">
        <v>20</v>
      </c>
      <c r="J175" s="10">
        <v>27</v>
      </c>
      <c r="K175" s="10">
        <v>257</v>
      </c>
      <c r="L175" s="10">
        <v>10</v>
      </c>
      <c r="M175" s="10" t="s">
        <v>51</v>
      </c>
      <c r="N175" s="10">
        <v>62.2</v>
      </c>
      <c r="O175" s="10">
        <v>150</v>
      </c>
      <c r="P175" s="10">
        <v>0</v>
      </c>
      <c r="Q175" s="10" t="str">
        <f>+IF(Tabla2[[#This Row],[Demand_Forecast]]&lt;= 125,"Low demand",IF(Tabla2[[#This Row],[Demand_Forecast]] &gt;=285,"High demand","Mid demand"))</f>
        <v>Mid demand</v>
      </c>
    </row>
    <row r="176" spans="1:17" x14ac:dyDescent="0.25">
      <c r="A176" s="11">
        <v>45473.599074074074</v>
      </c>
      <c r="B176" s="10" t="s">
        <v>48</v>
      </c>
      <c r="C176" s="10" t="s">
        <v>384</v>
      </c>
      <c r="D176" s="10" t="s">
        <v>385</v>
      </c>
      <c r="E176" s="10">
        <v>357</v>
      </c>
      <c r="F176" s="10" t="s">
        <v>25</v>
      </c>
      <c r="G176" s="10">
        <v>29.3</v>
      </c>
      <c r="H176" s="10">
        <v>73.2</v>
      </c>
      <c r="I176" s="10" t="s">
        <v>38</v>
      </c>
      <c r="J176" s="10">
        <v>22</v>
      </c>
      <c r="K176" s="10">
        <v>229</v>
      </c>
      <c r="L176" s="10">
        <v>7</v>
      </c>
      <c r="M176" s="10" t="s">
        <v>51</v>
      </c>
      <c r="N176" s="10">
        <v>94.3</v>
      </c>
      <c r="O176" s="10">
        <v>131</v>
      </c>
      <c r="P176" s="10">
        <v>0</v>
      </c>
      <c r="Q176" s="10" t="str">
        <f>+IF(Tabla2[[#This Row],[Demand_Forecast]]&lt;= 125,"Low demand",IF(Tabla2[[#This Row],[Demand_Forecast]] &gt;=285,"High demand","Mid demand"))</f>
        <v>Mid demand</v>
      </c>
    </row>
    <row r="177" spans="1:17" x14ac:dyDescent="0.25">
      <c r="A177" s="11">
        <v>45631.691747685189</v>
      </c>
      <c r="B177" s="10" t="s">
        <v>64</v>
      </c>
      <c r="C177" s="10" t="s">
        <v>386</v>
      </c>
      <c r="D177" s="10" t="s">
        <v>387</v>
      </c>
      <c r="E177" s="10">
        <v>255</v>
      </c>
      <c r="F177" s="10" t="s">
        <v>19</v>
      </c>
      <c r="G177" s="10">
        <v>27.4</v>
      </c>
      <c r="H177" s="10">
        <v>59.6</v>
      </c>
      <c r="I177" s="10" t="s">
        <v>38</v>
      </c>
      <c r="J177" s="10">
        <v>20</v>
      </c>
      <c r="K177" s="10">
        <v>497</v>
      </c>
      <c r="L177" s="10">
        <v>3</v>
      </c>
      <c r="M177" s="10" t="s">
        <v>35</v>
      </c>
      <c r="N177" s="10">
        <v>98.4</v>
      </c>
      <c r="O177" s="10">
        <v>277</v>
      </c>
      <c r="P177" s="10">
        <v>1</v>
      </c>
      <c r="Q177" s="10" t="str">
        <f>+IF(Tabla2[[#This Row],[Demand_Forecast]]&lt;= 125,"Low demand",IF(Tabla2[[#This Row],[Demand_Forecast]] &gt;=285,"High demand","Mid demand"))</f>
        <v>Mid demand</v>
      </c>
    </row>
    <row r="178" spans="1:17" x14ac:dyDescent="0.25">
      <c r="A178" s="11">
        <v>45456.544768518521</v>
      </c>
      <c r="B178" s="10" t="s">
        <v>48</v>
      </c>
      <c r="C178" s="10" t="s">
        <v>388</v>
      </c>
      <c r="D178" s="10" t="s">
        <v>389</v>
      </c>
      <c r="E178" s="10">
        <v>415</v>
      </c>
      <c r="F178" s="10" t="s">
        <v>19</v>
      </c>
      <c r="G178" s="10">
        <v>22.2</v>
      </c>
      <c r="H178" s="10">
        <v>65.8</v>
      </c>
      <c r="I178" s="10" t="s">
        <v>26</v>
      </c>
      <c r="J178" s="10">
        <v>18</v>
      </c>
      <c r="K178" s="10">
        <v>287</v>
      </c>
      <c r="L178" s="10">
        <v>2</v>
      </c>
      <c r="M178" s="10" t="s">
        <v>35</v>
      </c>
      <c r="N178" s="10">
        <v>61.1</v>
      </c>
      <c r="O178" s="10">
        <v>256</v>
      </c>
      <c r="P178" s="10">
        <v>1</v>
      </c>
      <c r="Q178" s="10" t="str">
        <f>+IF(Tabla2[[#This Row],[Demand_Forecast]]&lt;= 125,"Low demand",IF(Tabla2[[#This Row],[Demand_Forecast]] &gt;=285,"High demand","Mid demand"))</f>
        <v>Mid demand</v>
      </c>
    </row>
    <row r="179" spans="1:17" x14ac:dyDescent="0.25">
      <c r="A179" s="11">
        <v>45368.347349537034</v>
      </c>
      <c r="B179" s="10" t="s">
        <v>31</v>
      </c>
      <c r="C179" s="10" t="s">
        <v>390</v>
      </c>
      <c r="D179" s="10" t="s">
        <v>391</v>
      </c>
      <c r="E179" s="10">
        <v>353</v>
      </c>
      <c r="F179" s="10" t="s">
        <v>34</v>
      </c>
      <c r="G179" s="10">
        <v>29.5</v>
      </c>
      <c r="H179" s="10">
        <v>76.8</v>
      </c>
      <c r="I179" s="10" t="s">
        <v>26</v>
      </c>
      <c r="J179" s="10">
        <v>41</v>
      </c>
      <c r="K179" s="10">
        <v>421</v>
      </c>
      <c r="L179" s="10">
        <v>8</v>
      </c>
      <c r="M179" s="10" t="s">
        <v>21</v>
      </c>
      <c r="N179" s="10">
        <v>97.7</v>
      </c>
      <c r="O179" s="10">
        <v>212</v>
      </c>
      <c r="P179" s="10">
        <v>1</v>
      </c>
      <c r="Q179" s="10" t="str">
        <f>+IF(Tabla2[[#This Row],[Demand_Forecast]]&lt;= 125,"Low demand",IF(Tabla2[[#This Row],[Demand_Forecast]] &gt;=285,"High demand","Mid demand"))</f>
        <v>Mid demand</v>
      </c>
    </row>
    <row r="180" spans="1:17" x14ac:dyDescent="0.25">
      <c r="A180" s="11">
        <v>45556.131701388891</v>
      </c>
      <c r="B180" s="10" t="s">
        <v>56</v>
      </c>
      <c r="C180" s="10" t="s">
        <v>392</v>
      </c>
      <c r="D180" s="10" t="s">
        <v>393</v>
      </c>
      <c r="E180" s="10">
        <v>260</v>
      </c>
      <c r="F180" s="10" t="s">
        <v>25</v>
      </c>
      <c r="G180" s="10">
        <v>23.8</v>
      </c>
      <c r="H180" s="10">
        <v>58.4</v>
      </c>
      <c r="I180" s="10" t="s">
        <v>38</v>
      </c>
      <c r="J180" s="10">
        <v>49</v>
      </c>
      <c r="K180" s="10">
        <v>266</v>
      </c>
      <c r="L180" s="10">
        <v>7</v>
      </c>
      <c r="M180" s="10" t="s">
        <v>51</v>
      </c>
      <c r="N180" s="10">
        <v>77.8</v>
      </c>
      <c r="O180" s="10">
        <v>131</v>
      </c>
      <c r="P180" s="10">
        <v>0</v>
      </c>
      <c r="Q180" s="10" t="str">
        <f>+IF(Tabla2[[#This Row],[Demand_Forecast]]&lt;= 125,"Low demand",IF(Tabla2[[#This Row],[Demand_Forecast]] &gt;=285,"High demand","Mid demand"))</f>
        <v>Mid demand</v>
      </c>
    </row>
    <row r="181" spans="1:17" x14ac:dyDescent="0.25">
      <c r="A181" s="11">
        <v>45342.869479166664</v>
      </c>
      <c r="B181" s="10" t="s">
        <v>41</v>
      </c>
      <c r="C181" s="10" t="s">
        <v>394</v>
      </c>
      <c r="D181" s="10" t="s">
        <v>395</v>
      </c>
      <c r="E181" s="10">
        <v>447</v>
      </c>
      <c r="F181" s="10" t="s">
        <v>34</v>
      </c>
      <c r="G181" s="10">
        <v>21.1</v>
      </c>
      <c r="H181" s="10">
        <v>75.599999999999994</v>
      </c>
      <c r="I181" s="10" t="s">
        <v>26</v>
      </c>
      <c r="J181" s="10">
        <v>51</v>
      </c>
      <c r="K181" s="10">
        <v>315</v>
      </c>
      <c r="L181" s="10">
        <v>1</v>
      </c>
      <c r="M181" s="10" t="s">
        <v>51</v>
      </c>
      <c r="N181" s="10">
        <v>64.7</v>
      </c>
      <c r="O181" s="10">
        <v>186</v>
      </c>
      <c r="P181" s="10">
        <v>1</v>
      </c>
      <c r="Q181" s="10" t="str">
        <f>+IF(Tabla2[[#This Row],[Demand_Forecast]]&lt;= 125,"Low demand",IF(Tabla2[[#This Row],[Demand_Forecast]] &gt;=285,"High demand","Mid demand"))</f>
        <v>Mid demand</v>
      </c>
    </row>
    <row r="182" spans="1:17" x14ac:dyDescent="0.25">
      <c r="A182" s="11">
        <v>45615.752523148149</v>
      </c>
      <c r="B182" s="10" t="s">
        <v>64</v>
      </c>
      <c r="C182" s="10" t="s">
        <v>396</v>
      </c>
      <c r="D182" s="10" t="s">
        <v>397</v>
      </c>
      <c r="E182" s="10">
        <v>483</v>
      </c>
      <c r="F182" s="10" t="s">
        <v>19</v>
      </c>
      <c r="G182" s="10">
        <v>26.6</v>
      </c>
      <c r="H182" s="10">
        <v>50</v>
      </c>
      <c r="I182" s="10" t="s">
        <v>38</v>
      </c>
      <c r="J182" s="10">
        <v>51</v>
      </c>
      <c r="K182" s="10">
        <v>466</v>
      </c>
      <c r="L182" s="10">
        <v>6</v>
      </c>
      <c r="M182" s="10" t="s">
        <v>51</v>
      </c>
      <c r="N182" s="10">
        <v>87.9</v>
      </c>
      <c r="O182" s="10">
        <v>272</v>
      </c>
      <c r="P182" s="10">
        <v>1</v>
      </c>
      <c r="Q182" s="10" t="str">
        <f>+IF(Tabla2[[#This Row],[Demand_Forecast]]&lt;= 125,"Low demand",IF(Tabla2[[#This Row],[Demand_Forecast]] &gt;=285,"High demand","Mid demand"))</f>
        <v>Mid demand</v>
      </c>
    </row>
    <row r="183" spans="1:17" x14ac:dyDescent="0.25">
      <c r="A183" s="11">
        <v>45603.678240740737</v>
      </c>
      <c r="B183" s="10" t="s">
        <v>28</v>
      </c>
      <c r="C183" s="10" t="s">
        <v>398</v>
      </c>
      <c r="D183" s="10" t="s">
        <v>399</v>
      </c>
      <c r="E183" s="10">
        <v>363</v>
      </c>
      <c r="F183" s="10" t="s">
        <v>34</v>
      </c>
      <c r="G183" s="10">
        <v>28.6</v>
      </c>
      <c r="H183" s="10">
        <v>75.2</v>
      </c>
      <c r="I183" s="10" t="s">
        <v>26</v>
      </c>
      <c r="J183" s="10">
        <v>19</v>
      </c>
      <c r="K183" s="10">
        <v>358</v>
      </c>
      <c r="L183" s="10">
        <v>1</v>
      </c>
      <c r="M183" s="10" t="s">
        <v>27</v>
      </c>
      <c r="N183" s="10">
        <v>77.400000000000006</v>
      </c>
      <c r="O183" s="10">
        <v>272</v>
      </c>
      <c r="P183" s="10">
        <v>1</v>
      </c>
      <c r="Q183" s="10" t="str">
        <f>+IF(Tabla2[[#This Row],[Demand_Forecast]]&lt;= 125,"Low demand",IF(Tabla2[[#This Row],[Demand_Forecast]] &gt;=285,"High demand","Mid demand"))</f>
        <v>Mid demand</v>
      </c>
    </row>
    <row r="184" spans="1:17" x14ac:dyDescent="0.25">
      <c r="A184" s="11">
        <v>45340.590532407405</v>
      </c>
      <c r="B184" s="10" t="s">
        <v>56</v>
      </c>
      <c r="C184" s="10" t="s">
        <v>400</v>
      </c>
      <c r="D184" s="10" t="s">
        <v>401</v>
      </c>
      <c r="E184" s="10">
        <v>313</v>
      </c>
      <c r="F184" s="10" t="s">
        <v>19</v>
      </c>
      <c r="G184" s="10">
        <v>20.5</v>
      </c>
      <c r="H184" s="10">
        <v>79.3</v>
      </c>
      <c r="I184" s="10" t="s">
        <v>20</v>
      </c>
      <c r="J184" s="10">
        <v>49</v>
      </c>
      <c r="K184" s="10">
        <v>229</v>
      </c>
      <c r="L184" s="10">
        <v>7</v>
      </c>
      <c r="M184" s="10" t="s">
        <v>21</v>
      </c>
      <c r="N184" s="10">
        <v>98.5</v>
      </c>
      <c r="O184" s="10">
        <v>126</v>
      </c>
      <c r="P184" s="10">
        <v>1</v>
      </c>
      <c r="Q184" s="10" t="str">
        <f>+IF(Tabla2[[#This Row],[Demand_Forecast]]&lt;= 125,"Low demand",IF(Tabla2[[#This Row],[Demand_Forecast]] &gt;=285,"High demand","Mid demand"))</f>
        <v>Mid demand</v>
      </c>
    </row>
    <row r="185" spans="1:17" x14ac:dyDescent="0.25">
      <c r="A185" s="11">
        <v>45354.036886574075</v>
      </c>
      <c r="B185" s="10" t="s">
        <v>28</v>
      </c>
      <c r="C185" s="10" t="s">
        <v>402</v>
      </c>
      <c r="D185" s="10" t="s">
        <v>403</v>
      </c>
      <c r="E185" s="10">
        <v>289</v>
      </c>
      <c r="F185" s="10" t="s">
        <v>34</v>
      </c>
      <c r="G185" s="10">
        <v>19.3</v>
      </c>
      <c r="H185" s="10">
        <v>68.599999999999994</v>
      </c>
      <c r="I185" s="10" t="s">
        <v>38</v>
      </c>
      <c r="J185" s="10">
        <v>33</v>
      </c>
      <c r="K185" s="10">
        <v>149</v>
      </c>
      <c r="L185" s="10">
        <v>4</v>
      </c>
      <c r="M185" s="10" t="s">
        <v>21</v>
      </c>
      <c r="N185" s="10">
        <v>74.3</v>
      </c>
      <c r="O185" s="10">
        <v>220</v>
      </c>
      <c r="P185" s="10">
        <v>0</v>
      </c>
      <c r="Q185" s="10" t="str">
        <f>+IF(Tabla2[[#This Row],[Demand_Forecast]]&lt;= 125,"Low demand",IF(Tabla2[[#This Row],[Demand_Forecast]] &gt;=285,"High demand","Mid demand"))</f>
        <v>Mid demand</v>
      </c>
    </row>
    <row r="186" spans="1:17" x14ac:dyDescent="0.25">
      <c r="A186" s="11">
        <v>45445.381493055553</v>
      </c>
      <c r="B186" s="10" t="s">
        <v>41</v>
      </c>
      <c r="C186" s="10" t="s">
        <v>404</v>
      </c>
      <c r="D186" s="10" t="s">
        <v>405</v>
      </c>
      <c r="E186" s="10">
        <v>171</v>
      </c>
      <c r="F186" s="10" t="s">
        <v>34</v>
      </c>
      <c r="G186" s="10">
        <v>21.3</v>
      </c>
      <c r="H186" s="10">
        <v>66.099999999999994</v>
      </c>
      <c r="I186" s="10" t="s">
        <v>38</v>
      </c>
      <c r="J186" s="10">
        <v>57</v>
      </c>
      <c r="K186" s="10">
        <v>125</v>
      </c>
      <c r="L186" s="10">
        <v>8</v>
      </c>
      <c r="M186" s="10" t="s">
        <v>21</v>
      </c>
      <c r="N186" s="10">
        <v>98.9</v>
      </c>
      <c r="O186" s="10">
        <v>249</v>
      </c>
      <c r="P186" s="10">
        <v>0</v>
      </c>
      <c r="Q186" s="10" t="str">
        <f>+IF(Tabla2[[#This Row],[Demand_Forecast]]&lt;= 125,"Low demand",IF(Tabla2[[#This Row],[Demand_Forecast]] &gt;=285,"High demand","Mid demand"))</f>
        <v>Mid demand</v>
      </c>
    </row>
    <row r="187" spans="1:17" x14ac:dyDescent="0.25">
      <c r="A187" s="11">
        <v>45316.506736111114</v>
      </c>
      <c r="B187" s="10" t="s">
        <v>22</v>
      </c>
      <c r="C187" s="10" t="s">
        <v>406</v>
      </c>
      <c r="D187" s="10" t="s">
        <v>407</v>
      </c>
      <c r="E187" s="10">
        <v>401</v>
      </c>
      <c r="F187" s="10" t="s">
        <v>25</v>
      </c>
      <c r="G187" s="10">
        <v>25.7</v>
      </c>
      <c r="H187" s="10">
        <v>71.400000000000006</v>
      </c>
      <c r="I187" s="10" t="s">
        <v>38</v>
      </c>
      <c r="J187" s="10">
        <v>30</v>
      </c>
      <c r="K187" s="10">
        <v>494</v>
      </c>
      <c r="L187" s="10">
        <v>4</v>
      </c>
      <c r="M187" s="10" t="s">
        <v>27</v>
      </c>
      <c r="N187" s="10">
        <v>81.099999999999994</v>
      </c>
      <c r="O187" s="10">
        <v>175</v>
      </c>
      <c r="P187" s="10">
        <v>0</v>
      </c>
      <c r="Q187" s="10" t="str">
        <f>+IF(Tabla2[[#This Row],[Demand_Forecast]]&lt;= 125,"Low demand",IF(Tabla2[[#This Row],[Demand_Forecast]] &gt;=285,"High demand","Mid demand"))</f>
        <v>Mid demand</v>
      </c>
    </row>
    <row r="188" spans="1:17" x14ac:dyDescent="0.25">
      <c r="A188" s="11">
        <v>45569.68005787037</v>
      </c>
      <c r="B188" s="10" t="s">
        <v>31</v>
      </c>
      <c r="C188" s="10" t="s">
        <v>408</v>
      </c>
      <c r="D188" s="10" t="s">
        <v>409</v>
      </c>
      <c r="E188" s="10">
        <v>376</v>
      </c>
      <c r="F188" s="10" t="s">
        <v>34</v>
      </c>
      <c r="G188" s="10">
        <v>25.1</v>
      </c>
      <c r="H188" s="10">
        <v>54.1</v>
      </c>
      <c r="I188" s="10" t="s">
        <v>38</v>
      </c>
      <c r="J188" s="10">
        <v>55</v>
      </c>
      <c r="K188" s="10">
        <v>305</v>
      </c>
      <c r="L188" s="10">
        <v>5</v>
      </c>
      <c r="M188" s="10" t="s">
        <v>51</v>
      </c>
      <c r="N188" s="10">
        <v>83.2</v>
      </c>
      <c r="O188" s="10">
        <v>158</v>
      </c>
      <c r="P188" s="10">
        <v>0</v>
      </c>
      <c r="Q188" s="10" t="str">
        <f>+IF(Tabla2[[#This Row],[Demand_Forecast]]&lt;= 125,"Low demand",IF(Tabla2[[#This Row],[Demand_Forecast]] &gt;=285,"High demand","Mid demand"))</f>
        <v>Mid demand</v>
      </c>
    </row>
    <row r="189" spans="1:17" x14ac:dyDescent="0.25">
      <c r="A189" s="11">
        <v>45598.505254629628</v>
      </c>
      <c r="B189" s="10" t="s">
        <v>61</v>
      </c>
      <c r="C189" s="10" t="s">
        <v>410</v>
      </c>
      <c r="D189" s="10" t="s">
        <v>411</v>
      </c>
      <c r="E189" s="10">
        <v>371</v>
      </c>
      <c r="F189" s="10" t="s">
        <v>19</v>
      </c>
      <c r="G189" s="10">
        <v>26.2</v>
      </c>
      <c r="H189" s="10">
        <v>58.5</v>
      </c>
      <c r="I189" s="10" t="s">
        <v>26</v>
      </c>
      <c r="J189" s="10">
        <v>46</v>
      </c>
      <c r="K189" s="10">
        <v>168</v>
      </c>
      <c r="L189" s="10">
        <v>10</v>
      </c>
      <c r="M189" s="10" t="s">
        <v>35</v>
      </c>
      <c r="N189" s="10">
        <v>69.5</v>
      </c>
      <c r="O189" s="10">
        <v>162</v>
      </c>
      <c r="P189" s="10">
        <v>1</v>
      </c>
      <c r="Q189" s="10" t="str">
        <f>+IF(Tabla2[[#This Row],[Demand_Forecast]]&lt;= 125,"Low demand",IF(Tabla2[[#This Row],[Demand_Forecast]] &gt;=285,"High demand","Mid demand"))</f>
        <v>Mid demand</v>
      </c>
    </row>
    <row r="190" spans="1:17" x14ac:dyDescent="0.25">
      <c r="A190" s="11">
        <v>45404.081238425926</v>
      </c>
      <c r="B190" s="10" t="s">
        <v>41</v>
      </c>
      <c r="C190" s="10" t="s">
        <v>412</v>
      </c>
      <c r="D190" s="10" t="s">
        <v>413</v>
      </c>
      <c r="E190" s="10">
        <v>496</v>
      </c>
      <c r="F190" s="10" t="s">
        <v>25</v>
      </c>
      <c r="G190" s="10">
        <v>23.4</v>
      </c>
      <c r="H190" s="10">
        <v>71.599999999999994</v>
      </c>
      <c r="I190" s="10" t="s">
        <v>38</v>
      </c>
      <c r="J190" s="10">
        <v>15</v>
      </c>
      <c r="K190" s="10">
        <v>451</v>
      </c>
      <c r="L190" s="10">
        <v>3</v>
      </c>
      <c r="M190" s="10" t="s">
        <v>27</v>
      </c>
      <c r="N190" s="10">
        <v>76.3</v>
      </c>
      <c r="O190" s="10">
        <v>235</v>
      </c>
      <c r="P190" s="10">
        <v>0</v>
      </c>
      <c r="Q190" s="10" t="str">
        <f>+IF(Tabla2[[#This Row],[Demand_Forecast]]&lt;= 125,"Low demand",IF(Tabla2[[#This Row],[Demand_Forecast]] &gt;=285,"High demand","Mid demand"))</f>
        <v>Mid demand</v>
      </c>
    </row>
    <row r="191" spans="1:17" x14ac:dyDescent="0.25">
      <c r="A191" s="11">
        <v>45397.936643518522</v>
      </c>
      <c r="B191" s="10" t="s">
        <v>48</v>
      </c>
      <c r="C191" s="10" t="s">
        <v>414</v>
      </c>
      <c r="D191" s="10" t="s">
        <v>415</v>
      </c>
      <c r="E191" s="10">
        <v>149</v>
      </c>
      <c r="F191" s="10" t="s">
        <v>25</v>
      </c>
      <c r="G191" s="10">
        <v>20.9</v>
      </c>
      <c r="H191" s="10">
        <v>68.099999999999994</v>
      </c>
      <c r="I191" s="10" t="s">
        <v>20</v>
      </c>
      <c r="J191" s="10">
        <v>39</v>
      </c>
      <c r="K191" s="10">
        <v>274</v>
      </c>
      <c r="L191" s="10">
        <v>9</v>
      </c>
      <c r="M191" s="10" t="s">
        <v>35</v>
      </c>
      <c r="N191" s="10">
        <v>71.8</v>
      </c>
      <c r="O191" s="10">
        <v>138</v>
      </c>
      <c r="P191" s="10">
        <v>0</v>
      </c>
      <c r="Q191" s="10" t="str">
        <f>+IF(Tabla2[[#This Row],[Demand_Forecast]]&lt;= 125,"Low demand",IF(Tabla2[[#This Row],[Demand_Forecast]] &gt;=285,"High demand","Mid demand"))</f>
        <v>Mid demand</v>
      </c>
    </row>
    <row r="192" spans="1:17" x14ac:dyDescent="0.25">
      <c r="A192" s="11">
        <v>45310.603125000001</v>
      </c>
      <c r="B192" s="10" t="s">
        <v>22</v>
      </c>
      <c r="C192" s="10" t="s">
        <v>416</v>
      </c>
      <c r="D192" s="10" t="s">
        <v>417</v>
      </c>
      <c r="E192" s="10">
        <v>166</v>
      </c>
      <c r="F192" s="10" t="s">
        <v>25</v>
      </c>
      <c r="G192" s="10">
        <v>29.4</v>
      </c>
      <c r="H192" s="10">
        <v>59.5</v>
      </c>
      <c r="I192" s="10" t="s">
        <v>26</v>
      </c>
      <c r="J192" s="10">
        <v>40</v>
      </c>
      <c r="K192" s="10">
        <v>210</v>
      </c>
      <c r="L192" s="10">
        <v>4</v>
      </c>
      <c r="M192" s="10" t="s">
        <v>35</v>
      </c>
      <c r="N192" s="10">
        <v>82.9</v>
      </c>
      <c r="O192" s="10">
        <v>246</v>
      </c>
      <c r="P192" s="10">
        <v>1</v>
      </c>
      <c r="Q192" s="10" t="str">
        <f>+IF(Tabla2[[#This Row],[Demand_Forecast]]&lt;= 125,"Low demand",IF(Tabla2[[#This Row],[Demand_Forecast]] &gt;=285,"High demand","Mid demand"))</f>
        <v>Mid demand</v>
      </c>
    </row>
    <row r="193" spans="1:17" x14ac:dyDescent="0.25">
      <c r="A193" s="11">
        <v>45557.513287037036</v>
      </c>
      <c r="B193" s="10" t="s">
        <v>31</v>
      </c>
      <c r="C193" s="10" t="s">
        <v>418</v>
      </c>
      <c r="D193" s="10" t="s">
        <v>419</v>
      </c>
      <c r="E193" s="10">
        <v>369</v>
      </c>
      <c r="F193" s="10" t="s">
        <v>19</v>
      </c>
      <c r="G193" s="10">
        <v>28</v>
      </c>
      <c r="H193" s="10">
        <v>52.3</v>
      </c>
      <c r="I193" s="10" t="s">
        <v>20</v>
      </c>
      <c r="J193" s="10">
        <v>35</v>
      </c>
      <c r="K193" s="10">
        <v>481</v>
      </c>
      <c r="L193" s="10">
        <v>5</v>
      </c>
      <c r="M193" s="10" t="s">
        <v>51</v>
      </c>
      <c r="N193" s="10">
        <v>73.400000000000006</v>
      </c>
      <c r="O193" s="10">
        <v>179</v>
      </c>
      <c r="P193" s="10">
        <v>1</v>
      </c>
      <c r="Q193" s="10" t="str">
        <f>+IF(Tabla2[[#This Row],[Demand_Forecast]]&lt;= 125,"Low demand",IF(Tabla2[[#This Row],[Demand_Forecast]] &gt;=285,"High demand","Mid demand"))</f>
        <v>Mid demand</v>
      </c>
    </row>
    <row r="194" spans="1:17" x14ac:dyDescent="0.25">
      <c r="A194" s="11">
        <v>45597.990995370368</v>
      </c>
      <c r="B194" s="10" t="s">
        <v>64</v>
      </c>
      <c r="C194" s="10" t="s">
        <v>420</v>
      </c>
      <c r="D194" s="10" t="s">
        <v>421</v>
      </c>
      <c r="E194" s="10">
        <v>409</v>
      </c>
      <c r="F194" s="10" t="s">
        <v>25</v>
      </c>
      <c r="G194" s="10">
        <v>22</v>
      </c>
      <c r="H194" s="10">
        <v>68.099999999999994</v>
      </c>
      <c r="I194" s="10" t="s">
        <v>38</v>
      </c>
      <c r="J194" s="10">
        <v>18</v>
      </c>
      <c r="K194" s="10">
        <v>423</v>
      </c>
      <c r="L194" s="10">
        <v>10</v>
      </c>
      <c r="M194" s="10" t="s">
        <v>27</v>
      </c>
      <c r="N194" s="10">
        <v>62.8</v>
      </c>
      <c r="O194" s="10">
        <v>282</v>
      </c>
      <c r="P194" s="10">
        <v>0</v>
      </c>
      <c r="Q194" s="10" t="str">
        <f>+IF(Tabla2[[#This Row],[Demand_Forecast]]&lt;= 125,"Low demand",IF(Tabla2[[#This Row],[Demand_Forecast]] &gt;=285,"High demand","Mid demand"))</f>
        <v>Mid demand</v>
      </c>
    </row>
    <row r="195" spans="1:17" x14ac:dyDescent="0.25">
      <c r="A195" s="11">
        <v>45425.590914351851</v>
      </c>
      <c r="B195" s="10" t="s">
        <v>56</v>
      </c>
      <c r="C195" s="10" t="s">
        <v>422</v>
      </c>
      <c r="D195" s="10" t="s">
        <v>423</v>
      </c>
      <c r="E195" s="10">
        <v>494</v>
      </c>
      <c r="F195" s="10" t="s">
        <v>19</v>
      </c>
      <c r="G195" s="10">
        <v>19.2</v>
      </c>
      <c r="H195" s="10">
        <v>58.4</v>
      </c>
      <c r="I195" s="10" t="s">
        <v>38</v>
      </c>
      <c r="J195" s="10">
        <v>52</v>
      </c>
      <c r="K195" s="10">
        <v>231</v>
      </c>
      <c r="L195" s="10">
        <v>10</v>
      </c>
      <c r="M195" s="10" t="s">
        <v>27</v>
      </c>
      <c r="N195" s="10">
        <v>89.5</v>
      </c>
      <c r="O195" s="10">
        <v>201</v>
      </c>
      <c r="P195" s="10">
        <v>1</v>
      </c>
      <c r="Q195" s="10" t="str">
        <f>+IF(Tabla2[[#This Row],[Demand_Forecast]]&lt;= 125,"Low demand",IF(Tabla2[[#This Row],[Demand_Forecast]] &gt;=285,"High demand","Mid demand"))</f>
        <v>Mid demand</v>
      </c>
    </row>
    <row r="196" spans="1:17" x14ac:dyDescent="0.25">
      <c r="A196" s="11">
        <v>45339.317199074074</v>
      </c>
      <c r="B196" s="10" t="s">
        <v>22</v>
      </c>
      <c r="C196" s="10" t="s">
        <v>424</v>
      </c>
      <c r="D196" s="10" t="s">
        <v>425</v>
      </c>
      <c r="E196" s="10">
        <v>238</v>
      </c>
      <c r="F196" s="10" t="s">
        <v>19</v>
      </c>
      <c r="G196" s="10">
        <v>23.8</v>
      </c>
      <c r="H196" s="10">
        <v>79.400000000000006</v>
      </c>
      <c r="I196" s="10" t="s">
        <v>20</v>
      </c>
      <c r="J196" s="10">
        <v>33</v>
      </c>
      <c r="K196" s="10">
        <v>416</v>
      </c>
      <c r="L196" s="10">
        <v>5</v>
      </c>
      <c r="M196" s="10" t="s">
        <v>27</v>
      </c>
      <c r="N196" s="10">
        <v>88.2</v>
      </c>
      <c r="O196" s="10">
        <v>102</v>
      </c>
      <c r="P196" s="10">
        <v>1</v>
      </c>
      <c r="Q196" s="10" t="str">
        <f>+IF(Tabla2[[#This Row],[Demand_Forecast]]&lt;= 125,"Low demand",IF(Tabla2[[#This Row],[Demand_Forecast]] &gt;=285,"High demand","Mid demand"))</f>
        <v>Low demand</v>
      </c>
    </row>
    <row r="197" spans="1:17" x14ac:dyDescent="0.25">
      <c r="A197" s="11">
        <v>45619.815266203703</v>
      </c>
      <c r="B197" s="10" t="s">
        <v>56</v>
      </c>
      <c r="C197" s="10" t="s">
        <v>426</v>
      </c>
      <c r="D197" s="10" t="s">
        <v>427</v>
      </c>
      <c r="E197" s="10">
        <v>422</v>
      </c>
      <c r="F197" s="10" t="s">
        <v>25</v>
      </c>
      <c r="G197" s="10">
        <v>19.2</v>
      </c>
      <c r="H197" s="10">
        <v>54.5</v>
      </c>
      <c r="I197" s="10" t="s">
        <v>38</v>
      </c>
      <c r="J197" s="10">
        <v>18</v>
      </c>
      <c r="K197" s="10">
        <v>437</v>
      </c>
      <c r="L197" s="10">
        <v>3</v>
      </c>
      <c r="M197" s="10" t="s">
        <v>21</v>
      </c>
      <c r="N197" s="10">
        <v>73.5</v>
      </c>
      <c r="O197" s="10">
        <v>103</v>
      </c>
      <c r="P197" s="10">
        <v>0</v>
      </c>
      <c r="Q197" s="10" t="str">
        <f>+IF(Tabla2[[#This Row],[Demand_Forecast]]&lt;= 125,"Low demand",IF(Tabla2[[#This Row],[Demand_Forecast]] &gt;=285,"High demand","Mid demand"))</f>
        <v>Low demand</v>
      </c>
    </row>
    <row r="198" spans="1:17" x14ac:dyDescent="0.25">
      <c r="A198" s="11">
        <v>45558.439062500001</v>
      </c>
      <c r="B198" s="10" t="s">
        <v>31</v>
      </c>
      <c r="C198" s="10" t="s">
        <v>428</v>
      </c>
      <c r="D198" s="10" t="s">
        <v>429</v>
      </c>
      <c r="E198" s="10">
        <v>132</v>
      </c>
      <c r="F198" s="10" t="s">
        <v>25</v>
      </c>
      <c r="G198" s="10">
        <v>28.2</v>
      </c>
      <c r="H198" s="10">
        <v>57.2</v>
      </c>
      <c r="I198" s="10" t="s">
        <v>38</v>
      </c>
      <c r="J198" s="10">
        <v>23</v>
      </c>
      <c r="K198" s="10">
        <v>401</v>
      </c>
      <c r="L198" s="10">
        <v>6</v>
      </c>
      <c r="M198" s="10" t="s">
        <v>21</v>
      </c>
      <c r="N198" s="10">
        <v>93.6</v>
      </c>
      <c r="O198" s="10">
        <v>154</v>
      </c>
      <c r="P198" s="10">
        <v>0</v>
      </c>
      <c r="Q198" s="10" t="str">
        <f>+IF(Tabla2[[#This Row],[Demand_Forecast]]&lt;= 125,"Low demand",IF(Tabla2[[#This Row],[Demand_Forecast]] &gt;=285,"High demand","Mid demand"))</f>
        <v>Mid demand</v>
      </c>
    </row>
    <row r="199" spans="1:17" x14ac:dyDescent="0.25">
      <c r="A199" s="11">
        <v>45529.93917824074</v>
      </c>
      <c r="B199" s="10" t="s">
        <v>95</v>
      </c>
      <c r="C199" s="10" t="s">
        <v>430</v>
      </c>
      <c r="D199" s="10" t="s">
        <v>431</v>
      </c>
      <c r="E199" s="10">
        <v>189</v>
      </c>
      <c r="F199" s="10" t="s">
        <v>19</v>
      </c>
      <c r="G199" s="10">
        <v>25.2</v>
      </c>
      <c r="H199" s="10">
        <v>70</v>
      </c>
      <c r="I199" s="10" t="s">
        <v>38</v>
      </c>
      <c r="J199" s="10">
        <v>10</v>
      </c>
      <c r="K199" s="10">
        <v>360</v>
      </c>
      <c r="L199" s="10">
        <v>6</v>
      </c>
      <c r="M199" s="10" t="s">
        <v>51</v>
      </c>
      <c r="N199" s="10">
        <v>81.900000000000006</v>
      </c>
      <c r="O199" s="10">
        <v>191</v>
      </c>
      <c r="P199" s="10">
        <v>1</v>
      </c>
      <c r="Q199" s="10" t="str">
        <f>+IF(Tabla2[[#This Row],[Demand_Forecast]]&lt;= 125,"Low demand",IF(Tabla2[[#This Row],[Demand_Forecast]] &gt;=285,"High demand","Mid demand"))</f>
        <v>Mid demand</v>
      </c>
    </row>
    <row r="200" spans="1:17" x14ac:dyDescent="0.25">
      <c r="A200" s="11">
        <v>45562.266585648147</v>
      </c>
      <c r="B200" s="10" t="s">
        <v>95</v>
      </c>
      <c r="C200" s="10" t="s">
        <v>432</v>
      </c>
      <c r="D200" s="10" t="s">
        <v>433</v>
      </c>
      <c r="E200" s="10">
        <v>255</v>
      </c>
      <c r="F200" s="10" t="s">
        <v>34</v>
      </c>
      <c r="G200" s="10">
        <v>28.5</v>
      </c>
      <c r="H200" s="10">
        <v>72.2</v>
      </c>
      <c r="I200" s="10" t="s">
        <v>38</v>
      </c>
      <c r="J200" s="10">
        <v>60</v>
      </c>
      <c r="K200" s="10">
        <v>419</v>
      </c>
      <c r="L200" s="10">
        <v>2</v>
      </c>
      <c r="M200" s="10" t="s">
        <v>35</v>
      </c>
      <c r="N200" s="10">
        <v>68.400000000000006</v>
      </c>
      <c r="O200" s="10">
        <v>246</v>
      </c>
      <c r="P200" s="10">
        <v>0</v>
      </c>
      <c r="Q200" s="10" t="str">
        <f>+IF(Tabla2[[#This Row],[Demand_Forecast]]&lt;= 125,"Low demand",IF(Tabla2[[#This Row],[Demand_Forecast]] &gt;=285,"High demand","Mid demand"))</f>
        <v>Mid demand</v>
      </c>
    </row>
    <row r="201" spans="1:17" x14ac:dyDescent="0.25">
      <c r="A201" s="11">
        <v>45421.168287037035</v>
      </c>
      <c r="B201" s="10" t="s">
        <v>16</v>
      </c>
      <c r="C201" s="10" t="s">
        <v>434</v>
      </c>
      <c r="D201" s="10" t="s">
        <v>435</v>
      </c>
      <c r="E201" s="10">
        <v>107</v>
      </c>
      <c r="F201" s="10" t="s">
        <v>19</v>
      </c>
      <c r="G201" s="10">
        <v>21.9</v>
      </c>
      <c r="H201" s="10">
        <v>74.099999999999994</v>
      </c>
      <c r="I201" s="10" t="s">
        <v>26</v>
      </c>
      <c r="J201" s="10">
        <v>51</v>
      </c>
      <c r="K201" s="10">
        <v>413</v>
      </c>
      <c r="L201" s="10">
        <v>1</v>
      </c>
      <c r="M201" s="10" t="s">
        <v>27</v>
      </c>
      <c r="N201" s="10">
        <v>84.9</v>
      </c>
      <c r="O201" s="10">
        <v>257</v>
      </c>
      <c r="P201" s="10">
        <v>1</v>
      </c>
      <c r="Q201" s="10" t="str">
        <f>+IF(Tabla2[[#This Row],[Demand_Forecast]]&lt;= 125,"Low demand",IF(Tabla2[[#This Row],[Demand_Forecast]] &gt;=285,"High demand","Mid demand"))</f>
        <v>Mid demand</v>
      </c>
    </row>
    <row r="202" spans="1:17" x14ac:dyDescent="0.25">
      <c r="A202" s="11">
        <v>45439.45820601852</v>
      </c>
      <c r="B202" s="10" t="s">
        <v>22</v>
      </c>
      <c r="C202" s="10" t="s">
        <v>436</v>
      </c>
      <c r="D202" s="10" t="s">
        <v>437</v>
      </c>
      <c r="E202" s="10">
        <v>274</v>
      </c>
      <c r="F202" s="10" t="s">
        <v>19</v>
      </c>
      <c r="G202" s="10">
        <v>19.3</v>
      </c>
      <c r="H202" s="10">
        <v>51.4</v>
      </c>
      <c r="I202" s="10" t="s">
        <v>26</v>
      </c>
      <c r="J202" s="10">
        <v>57</v>
      </c>
      <c r="K202" s="10">
        <v>279</v>
      </c>
      <c r="L202" s="10">
        <v>10</v>
      </c>
      <c r="M202" s="10" t="s">
        <v>21</v>
      </c>
      <c r="N202" s="10">
        <v>75.3</v>
      </c>
      <c r="O202" s="10">
        <v>127</v>
      </c>
      <c r="P202" s="10">
        <v>1</v>
      </c>
      <c r="Q202" s="10" t="str">
        <f>+IF(Tabla2[[#This Row],[Demand_Forecast]]&lt;= 125,"Low demand",IF(Tabla2[[#This Row],[Demand_Forecast]] &gt;=285,"High demand","Mid demand"))</f>
        <v>Mid demand</v>
      </c>
    </row>
    <row r="203" spans="1:17" x14ac:dyDescent="0.25">
      <c r="A203" s="11">
        <v>45345.777453703704</v>
      </c>
      <c r="B203" s="10" t="s">
        <v>41</v>
      </c>
      <c r="C203" s="10" t="s">
        <v>438</v>
      </c>
      <c r="D203" s="10" t="s">
        <v>439</v>
      </c>
      <c r="E203" s="10">
        <v>206</v>
      </c>
      <c r="F203" s="10" t="s">
        <v>19</v>
      </c>
      <c r="G203" s="10">
        <v>21.9</v>
      </c>
      <c r="H203" s="10">
        <v>68.599999999999994</v>
      </c>
      <c r="I203" s="10" t="s">
        <v>26</v>
      </c>
      <c r="J203" s="10">
        <v>42</v>
      </c>
      <c r="K203" s="10">
        <v>100</v>
      </c>
      <c r="L203" s="10">
        <v>7</v>
      </c>
      <c r="M203" s="10" t="s">
        <v>35</v>
      </c>
      <c r="N203" s="10">
        <v>63.3</v>
      </c>
      <c r="O203" s="10">
        <v>116</v>
      </c>
      <c r="P203" s="10">
        <v>1</v>
      </c>
      <c r="Q203" s="10" t="str">
        <f>+IF(Tabla2[[#This Row],[Demand_Forecast]]&lt;= 125,"Low demand",IF(Tabla2[[#This Row],[Demand_Forecast]] &gt;=285,"High demand","Mid demand"))</f>
        <v>Low demand</v>
      </c>
    </row>
    <row r="204" spans="1:17" x14ac:dyDescent="0.25">
      <c r="A204" s="11">
        <v>45501.9371875</v>
      </c>
      <c r="B204" s="10" t="s">
        <v>64</v>
      </c>
      <c r="C204" s="10" t="s">
        <v>440</v>
      </c>
      <c r="D204" s="10" t="s">
        <v>441</v>
      </c>
      <c r="E204" s="10">
        <v>270</v>
      </c>
      <c r="F204" s="10" t="s">
        <v>25</v>
      </c>
      <c r="G204" s="10">
        <v>26.7</v>
      </c>
      <c r="H204" s="10">
        <v>72.2</v>
      </c>
      <c r="I204" s="10" t="s">
        <v>26</v>
      </c>
      <c r="J204" s="10">
        <v>35</v>
      </c>
      <c r="K204" s="10">
        <v>107</v>
      </c>
      <c r="L204" s="10">
        <v>10</v>
      </c>
      <c r="M204" s="10" t="s">
        <v>35</v>
      </c>
      <c r="N204" s="10">
        <v>90.8</v>
      </c>
      <c r="O204" s="10">
        <v>158</v>
      </c>
      <c r="P204" s="10">
        <v>1</v>
      </c>
      <c r="Q204" s="10" t="str">
        <f>+IF(Tabla2[[#This Row],[Demand_Forecast]]&lt;= 125,"Low demand",IF(Tabla2[[#This Row],[Demand_Forecast]] &gt;=285,"High demand","Mid demand"))</f>
        <v>Mid demand</v>
      </c>
    </row>
    <row r="205" spans="1:17" x14ac:dyDescent="0.25">
      <c r="A205" s="11">
        <v>45356.437847222223</v>
      </c>
      <c r="B205" s="10" t="s">
        <v>28</v>
      </c>
      <c r="C205" s="10" t="s">
        <v>442</v>
      </c>
      <c r="D205" s="10" t="s">
        <v>443</v>
      </c>
      <c r="E205" s="10">
        <v>277</v>
      </c>
      <c r="F205" s="10" t="s">
        <v>25</v>
      </c>
      <c r="G205" s="10">
        <v>23.7</v>
      </c>
      <c r="H205" s="10">
        <v>72.099999999999994</v>
      </c>
      <c r="I205" s="10" t="s">
        <v>38</v>
      </c>
      <c r="J205" s="10">
        <v>12</v>
      </c>
      <c r="K205" s="10">
        <v>195</v>
      </c>
      <c r="L205" s="10">
        <v>5</v>
      </c>
      <c r="M205" s="10" t="s">
        <v>35</v>
      </c>
      <c r="N205" s="10">
        <v>64.5</v>
      </c>
      <c r="O205" s="10">
        <v>130</v>
      </c>
      <c r="P205" s="10">
        <v>0</v>
      </c>
      <c r="Q205" s="10" t="str">
        <f>+IF(Tabla2[[#This Row],[Demand_Forecast]]&lt;= 125,"Low demand",IF(Tabla2[[#This Row],[Demand_Forecast]] &gt;=285,"High demand","Mid demand"))</f>
        <v>Mid demand</v>
      </c>
    </row>
    <row r="206" spans="1:17" x14ac:dyDescent="0.25">
      <c r="A206" s="11">
        <v>45297.886145833334</v>
      </c>
      <c r="B206" s="10" t="s">
        <v>41</v>
      </c>
      <c r="C206" s="10" t="s">
        <v>444</v>
      </c>
      <c r="D206" s="10" t="s">
        <v>445</v>
      </c>
      <c r="E206" s="10">
        <v>454</v>
      </c>
      <c r="F206" s="10" t="s">
        <v>19</v>
      </c>
      <c r="G206" s="10">
        <v>21</v>
      </c>
      <c r="H206" s="10">
        <v>77.3</v>
      </c>
      <c r="I206" s="10" t="s">
        <v>38</v>
      </c>
      <c r="J206" s="10">
        <v>15</v>
      </c>
      <c r="K206" s="10">
        <v>112</v>
      </c>
      <c r="L206" s="10">
        <v>10</v>
      </c>
      <c r="M206" s="10" t="s">
        <v>27</v>
      </c>
      <c r="N206" s="10">
        <v>73.2</v>
      </c>
      <c r="O206" s="10">
        <v>237</v>
      </c>
      <c r="P206" s="10">
        <v>1</v>
      </c>
      <c r="Q206" s="10" t="str">
        <f>+IF(Tabla2[[#This Row],[Demand_Forecast]]&lt;= 125,"Low demand",IF(Tabla2[[#This Row],[Demand_Forecast]] &gt;=285,"High demand","Mid demand"))</f>
        <v>Mid demand</v>
      </c>
    </row>
    <row r="207" spans="1:17" x14ac:dyDescent="0.25">
      <c r="A207" s="11">
        <v>45549.698275462964</v>
      </c>
      <c r="B207" s="10" t="s">
        <v>48</v>
      </c>
      <c r="C207" s="10" t="s">
        <v>446</v>
      </c>
      <c r="D207" s="10" t="s">
        <v>447</v>
      </c>
      <c r="E207" s="10">
        <v>197</v>
      </c>
      <c r="F207" s="10" t="s">
        <v>25</v>
      </c>
      <c r="G207" s="10">
        <v>27.3</v>
      </c>
      <c r="H207" s="10">
        <v>71.3</v>
      </c>
      <c r="I207" s="10" t="s">
        <v>20</v>
      </c>
      <c r="J207" s="10">
        <v>24</v>
      </c>
      <c r="K207" s="10">
        <v>460</v>
      </c>
      <c r="L207" s="10">
        <v>9</v>
      </c>
      <c r="M207" s="10" t="s">
        <v>21</v>
      </c>
      <c r="N207" s="10">
        <v>64.7</v>
      </c>
      <c r="O207" s="10">
        <v>162</v>
      </c>
      <c r="P207" s="10">
        <v>0</v>
      </c>
      <c r="Q207" s="10" t="str">
        <f>+IF(Tabla2[[#This Row],[Demand_Forecast]]&lt;= 125,"Low demand",IF(Tabla2[[#This Row],[Demand_Forecast]] &gt;=285,"High demand","Mid demand"))</f>
        <v>Mid demand</v>
      </c>
    </row>
    <row r="208" spans="1:17" x14ac:dyDescent="0.25">
      <c r="A208" s="11">
        <v>45599.970011574071</v>
      </c>
      <c r="B208" s="10" t="s">
        <v>64</v>
      </c>
      <c r="C208" s="10" t="s">
        <v>448</v>
      </c>
      <c r="D208" s="10" t="s">
        <v>449</v>
      </c>
      <c r="E208" s="10">
        <v>182</v>
      </c>
      <c r="F208" s="10" t="s">
        <v>34</v>
      </c>
      <c r="G208" s="10">
        <v>19.7</v>
      </c>
      <c r="H208" s="10">
        <v>72.3</v>
      </c>
      <c r="I208" s="10" t="s">
        <v>38</v>
      </c>
      <c r="J208" s="10">
        <v>50</v>
      </c>
      <c r="K208" s="10">
        <v>428</v>
      </c>
      <c r="L208" s="10">
        <v>3</v>
      </c>
      <c r="M208" s="10" t="s">
        <v>21</v>
      </c>
      <c r="N208" s="10">
        <v>63.3</v>
      </c>
      <c r="O208" s="10">
        <v>280</v>
      </c>
      <c r="P208" s="10">
        <v>0</v>
      </c>
      <c r="Q208" s="10" t="str">
        <f>+IF(Tabla2[[#This Row],[Demand_Forecast]]&lt;= 125,"Low demand",IF(Tabla2[[#This Row],[Demand_Forecast]] &gt;=285,"High demand","Mid demand"))</f>
        <v>Mid demand</v>
      </c>
    </row>
    <row r="209" spans="1:17" x14ac:dyDescent="0.25">
      <c r="A209" s="11">
        <v>45370.900254629632</v>
      </c>
      <c r="B209" s="10" t="s">
        <v>22</v>
      </c>
      <c r="C209" s="10" t="s">
        <v>450</v>
      </c>
      <c r="D209" s="10" t="s">
        <v>451</v>
      </c>
      <c r="E209" s="10">
        <v>171</v>
      </c>
      <c r="F209" s="10" t="s">
        <v>34</v>
      </c>
      <c r="G209" s="10">
        <v>25.1</v>
      </c>
      <c r="H209" s="10">
        <v>76.5</v>
      </c>
      <c r="I209" s="10" t="s">
        <v>26</v>
      </c>
      <c r="J209" s="10">
        <v>55</v>
      </c>
      <c r="K209" s="10">
        <v>309</v>
      </c>
      <c r="L209" s="10">
        <v>3</v>
      </c>
      <c r="M209" s="10" t="s">
        <v>35</v>
      </c>
      <c r="N209" s="10">
        <v>94.6</v>
      </c>
      <c r="O209" s="10">
        <v>112</v>
      </c>
      <c r="P209" s="10">
        <v>1</v>
      </c>
      <c r="Q209" s="10" t="str">
        <f>+IF(Tabla2[[#This Row],[Demand_Forecast]]&lt;= 125,"Low demand",IF(Tabla2[[#This Row],[Demand_Forecast]] &gt;=285,"High demand","Mid demand"))</f>
        <v>Low demand</v>
      </c>
    </row>
    <row r="210" spans="1:17" x14ac:dyDescent="0.25">
      <c r="A210" s="11">
        <v>45323.788310185184</v>
      </c>
      <c r="B210" s="10" t="s">
        <v>61</v>
      </c>
      <c r="C210" s="10" t="s">
        <v>452</v>
      </c>
      <c r="D210" s="10" t="s">
        <v>453</v>
      </c>
      <c r="E210" s="10">
        <v>159</v>
      </c>
      <c r="F210" s="10" t="s">
        <v>34</v>
      </c>
      <c r="G210" s="10">
        <v>26.9</v>
      </c>
      <c r="H210" s="10">
        <v>69.5</v>
      </c>
      <c r="I210" s="10" t="s">
        <v>38</v>
      </c>
      <c r="J210" s="10">
        <v>32</v>
      </c>
      <c r="K210" s="10">
        <v>272</v>
      </c>
      <c r="L210" s="10">
        <v>7</v>
      </c>
      <c r="M210" s="10" t="s">
        <v>21</v>
      </c>
      <c r="N210" s="10">
        <v>69.7</v>
      </c>
      <c r="O210" s="10">
        <v>278</v>
      </c>
      <c r="P210" s="10">
        <v>0</v>
      </c>
      <c r="Q210" s="10" t="str">
        <f>+IF(Tabla2[[#This Row],[Demand_Forecast]]&lt;= 125,"Low demand",IF(Tabla2[[#This Row],[Demand_Forecast]] &gt;=285,"High demand","Mid demand"))</f>
        <v>Mid demand</v>
      </c>
    </row>
    <row r="211" spans="1:17" x14ac:dyDescent="0.25">
      <c r="A211" s="11">
        <v>45400.503240740742</v>
      </c>
      <c r="B211" s="10" t="s">
        <v>56</v>
      </c>
      <c r="C211" s="10" t="s">
        <v>454</v>
      </c>
      <c r="D211" s="10" t="s">
        <v>455</v>
      </c>
      <c r="E211" s="10">
        <v>378</v>
      </c>
      <c r="F211" s="10" t="s">
        <v>19</v>
      </c>
      <c r="G211" s="10">
        <v>29.5</v>
      </c>
      <c r="H211" s="10">
        <v>61.7</v>
      </c>
      <c r="I211" s="10" t="s">
        <v>20</v>
      </c>
      <c r="J211" s="10">
        <v>13</v>
      </c>
      <c r="K211" s="10">
        <v>305</v>
      </c>
      <c r="L211" s="10">
        <v>8</v>
      </c>
      <c r="M211" s="10" t="s">
        <v>51</v>
      </c>
      <c r="N211" s="10">
        <v>98.5</v>
      </c>
      <c r="O211" s="10">
        <v>211</v>
      </c>
      <c r="P211" s="10">
        <v>1</v>
      </c>
      <c r="Q211" s="10" t="str">
        <f>+IF(Tabla2[[#This Row],[Demand_Forecast]]&lt;= 125,"Low demand",IF(Tabla2[[#This Row],[Demand_Forecast]] &gt;=285,"High demand","Mid demand"))</f>
        <v>Mid demand</v>
      </c>
    </row>
    <row r="212" spans="1:17" x14ac:dyDescent="0.25">
      <c r="A212" s="11">
        <v>45438.604247685187</v>
      </c>
      <c r="B212" s="10" t="s">
        <v>95</v>
      </c>
      <c r="C212" s="10" t="s">
        <v>456</v>
      </c>
      <c r="D212" s="10" t="s">
        <v>457</v>
      </c>
      <c r="E212" s="10">
        <v>469</v>
      </c>
      <c r="F212" s="10" t="s">
        <v>25</v>
      </c>
      <c r="G212" s="10">
        <v>26.2</v>
      </c>
      <c r="H212" s="10">
        <v>65</v>
      </c>
      <c r="I212" s="10" t="s">
        <v>38</v>
      </c>
      <c r="J212" s="10">
        <v>19</v>
      </c>
      <c r="K212" s="10">
        <v>477</v>
      </c>
      <c r="L212" s="10">
        <v>2</v>
      </c>
      <c r="M212" s="10" t="s">
        <v>51</v>
      </c>
      <c r="N212" s="10">
        <v>96.9</v>
      </c>
      <c r="O212" s="10">
        <v>206</v>
      </c>
      <c r="P212" s="10">
        <v>0</v>
      </c>
      <c r="Q212" s="10" t="str">
        <f>+IF(Tabla2[[#This Row],[Demand_Forecast]]&lt;= 125,"Low demand",IF(Tabla2[[#This Row],[Demand_Forecast]] &gt;=285,"High demand","Mid demand"))</f>
        <v>Mid demand</v>
      </c>
    </row>
    <row r="213" spans="1:17" x14ac:dyDescent="0.25">
      <c r="A213" s="11">
        <v>45502.704780092594</v>
      </c>
      <c r="B213" s="10" t="s">
        <v>56</v>
      </c>
      <c r="C213" s="10" t="s">
        <v>458</v>
      </c>
      <c r="D213" s="10" t="s">
        <v>459</v>
      </c>
      <c r="E213" s="10">
        <v>106</v>
      </c>
      <c r="F213" s="10" t="s">
        <v>25</v>
      </c>
      <c r="G213" s="10">
        <v>27</v>
      </c>
      <c r="H213" s="10">
        <v>56.8</v>
      </c>
      <c r="I213" s="10" t="s">
        <v>20</v>
      </c>
      <c r="J213" s="10">
        <v>31</v>
      </c>
      <c r="K213" s="10">
        <v>120</v>
      </c>
      <c r="L213" s="10">
        <v>4</v>
      </c>
      <c r="M213" s="10" t="s">
        <v>27</v>
      </c>
      <c r="N213" s="10">
        <v>95.7</v>
      </c>
      <c r="O213" s="10">
        <v>286</v>
      </c>
      <c r="P213" s="10">
        <v>0</v>
      </c>
      <c r="Q213" s="10" t="str">
        <f>+IF(Tabla2[[#This Row],[Demand_Forecast]]&lt;= 125,"Low demand",IF(Tabla2[[#This Row],[Demand_Forecast]] &gt;=285,"High demand","Mid demand"))</f>
        <v>High demand</v>
      </c>
    </row>
    <row r="214" spans="1:17" x14ac:dyDescent="0.25">
      <c r="A214" s="11">
        <v>45635.570439814815</v>
      </c>
      <c r="B214" s="10" t="s">
        <v>61</v>
      </c>
      <c r="C214" s="10" t="s">
        <v>460</v>
      </c>
      <c r="D214" s="10" t="s">
        <v>461</v>
      </c>
      <c r="E214" s="10">
        <v>486</v>
      </c>
      <c r="F214" s="10" t="s">
        <v>25</v>
      </c>
      <c r="G214" s="10">
        <v>21.7</v>
      </c>
      <c r="H214" s="10">
        <v>76</v>
      </c>
      <c r="I214" s="10" t="s">
        <v>38</v>
      </c>
      <c r="J214" s="10">
        <v>42</v>
      </c>
      <c r="K214" s="10">
        <v>282</v>
      </c>
      <c r="L214" s="10">
        <v>9</v>
      </c>
      <c r="M214" s="10" t="s">
        <v>51</v>
      </c>
      <c r="N214" s="10">
        <v>80.5</v>
      </c>
      <c r="O214" s="10">
        <v>139</v>
      </c>
      <c r="P214" s="10">
        <v>0</v>
      </c>
      <c r="Q214" s="10" t="str">
        <f>+IF(Tabla2[[#This Row],[Demand_Forecast]]&lt;= 125,"Low demand",IF(Tabla2[[#This Row],[Demand_Forecast]] &gt;=285,"High demand","Mid demand"))</f>
        <v>Mid demand</v>
      </c>
    </row>
    <row r="215" spans="1:17" x14ac:dyDescent="0.25">
      <c r="A215" s="11">
        <v>45549.377708333333</v>
      </c>
      <c r="B215" s="10" t="s">
        <v>48</v>
      </c>
      <c r="C215" s="10" t="s">
        <v>462</v>
      </c>
      <c r="D215" s="10" t="s">
        <v>463</v>
      </c>
      <c r="E215" s="10">
        <v>248</v>
      </c>
      <c r="F215" s="10" t="s">
        <v>25</v>
      </c>
      <c r="G215" s="10">
        <v>26.3</v>
      </c>
      <c r="H215" s="10">
        <v>53.7</v>
      </c>
      <c r="I215" s="10" t="s">
        <v>20</v>
      </c>
      <c r="J215" s="10">
        <v>40</v>
      </c>
      <c r="K215" s="10">
        <v>146</v>
      </c>
      <c r="L215" s="10">
        <v>10</v>
      </c>
      <c r="M215" s="10" t="s">
        <v>27</v>
      </c>
      <c r="N215" s="10">
        <v>71.7</v>
      </c>
      <c r="O215" s="10">
        <v>246</v>
      </c>
      <c r="P215" s="10">
        <v>0</v>
      </c>
      <c r="Q215" s="10" t="str">
        <f>+IF(Tabla2[[#This Row],[Demand_Forecast]]&lt;= 125,"Low demand",IF(Tabla2[[#This Row],[Demand_Forecast]] &gt;=285,"High demand","Mid demand"))</f>
        <v>Mid demand</v>
      </c>
    </row>
    <row r="216" spans="1:17" x14ac:dyDescent="0.25">
      <c r="A216" s="11">
        <v>45627.078125</v>
      </c>
      <c r="B216" s="10" t="s">
        <v>61</v>
      </c>
      <c r="C216" s="10" t="s">
        <v>464</v>
      </c>
      <c r="D216" s="10" t="s">
        <v>465</v>
      </c>
      <c r="E216" s="10">
        <v>157</v>
      </c>
      <c r="F216" s="10" t="s">
        <v>25</v>
      </c>
      <c r="G216" s="10">
        <v>25.4</v>
      </c>
      <c r="H216" s="10">
        <v>79.099999999999994</v>
      </c>
      <c r="I216" s="10" t="s">
        <v>20</v>
      </c>
      <c r="J216" s="10">
        <v>17</v>
      </c>
      <c r="K216" s="10">
        <v>311</v>
      </c>
      <c r="L216" s="10">
        <v>9</v>
      </c>
      <c r="M216" s="10" t="s">
        <v>27</v>
      </c>
      <c r="N216" s="10">
        <v>69.900000000000006</v>
      </c>
      <c r="O216" s="10">
        <v>233</v>
      </c>
      <c r="P216" s="10">
        <v>0</v>
      </c>
      <c r="Q216" s="10" t="str">
        <f>+IF(Tabla2[[#This Row],[Demand_Forecast]]&lt;= 125,"Low demand",IF(Tabla2[[#This Row],[Demand_Forecast]] &gt;=285,"High demand","Mid demand"))</f>
        <v>Mid demand</v>
      </c>
    </row>
    <row r="217" spans="1:17" x14ac:dyDescent="0.25">
      <c r="A217" s="11">
        <v>45523.714861111112</v>
      </c>
      <c r="B217" s="10" t="s">
        <v>22</v>
      </c>
      <c r="C217" s="10" t="s">
        <v>466</v>
      </c>
      <c r="D217" s="10" t="s">
        <v>467</v>
      </c>
      <c r="E217" s="10">
        <v>235</v>
      </c>
      <c r="F217" s="10" t="s">
        <v>25</v>
      </c>
      <c r="G217" s="10">
        <v>23.2</v>
      </c>
      <c r="H217" s="10">
        <v>54.6</v>
      </c>
      <c r="I217" s="10" t="s">
        <v>38</v>
      </c>
      <c r="J217" s="10">
        <v>28</v>
      </c>
      <c r="K217" s="10">
        <v>467</v>
      </c>
      <c r="L217" s="10">
        <v>9</v>
      </c>
      <c r="M217" s="10" t="s">
        <v>51</v>
      </c>
      <c r="N217" s="10">
        <v>68.2</v>
      </c>
      <c r="O217" s="10">
        <v>206</v>
      </c>
      <c r="P217" s="10">
        <v>0</v>
      </c>
      <c r="Q217" s="10" t="str">
        <f>+IF(Tabla2[[#This Row],[Demand_Forecast]]&lt;= 125,"Low demand",IF(Tabla2[[#This Row],[Demand_Forecast]] &gt;=285,"High demand","Mid demand"))</f>
        <v>Mid demand</v>
      </c>
    </row>
    <row r="218" spans="1:17" x14ac:dyDescent="0.25">
      <c r="A218" s="11">
        <v>45397.790381944447</v>
      </c>
      <c r="B218" s="10" t="s">
        <v>16</v>
      </c>
      <c r="C218" s="10" t="s">
        <v>468</v>
      </c>
      <c r="D218" s="10" t="s">
        <v>469</v>
      </c>
      <c r="E218" s="10">
        <v>170</v>
      </c>
      <c r="F218" s="10" t="s">
        <v>19</v>
      </c>
      <c r="G218" s="10">
        <v>25.4</v>
      </c>
      <c r="H218" s="10">
        <v>55.8</v>
      </c>
      <c r="I218" s="10" t="s">
        <v>26</v>
      </c>
      <c r="J218" s="10">
        <v>55</v>
      </c>
      <c r="K218" s="10">
        <v>463</v>
      </c>
      <c r="L218" s="10">
        <v>10</v>
      </c>
      <c r="M218" s="10" t="s">
        <v>27</v>
      </c>
      <c r="N218" s="10">
        <v>60.1</v>
      </c>
      <c r="O218" s="10">
        <v>112</v>
      </c>
      <c r="P218" s="10">
        <v>1</v>
      </c>
      <c r="Q218" s="10" t="str">
        <f>+IF(Tabla2[[#This Row],[Demand_Forecast]]&lt;= 125,"Low demand",IF(Tabla2[[#This Row],[Demand_Forecast]] &gt;=285,"High demand","Mid demand"))</f>
        <v>Low demand</v>
      </c>
    </row>
    <row r="219" spans="1:17" x14ac:dyDescent="0.25">
      <c r="A219" s="11">
        <v>45394.457187499997</v>
      </c>
      <c r="B219" s="10" t="s">
        <v>22</v>
      </c>
      <c r="C219" s="10" t="s">
        <v>470</v>
      </c>
      <c r="D219" s="10" t="s">
        <v>471</v>
      </c>
      <c r="E219" s="10">
        <v>342</v>
      </c>
      <c r="F219" s="10" t="s">
        <v>34</v>
      </c>
      <c r="G219" s="10">
        <v>25.1</v>
      </c>
      <c r="H219" s="10">
        <v>52.4</v>
      </c>
      <c r="I219" s="10" t="s">
        <v>38</v>
      </c>
      <c r="J219" s="10">
        <v>24</v>
      </c>
      <c r="K219" s="10">
        <v>103</v>
      </c>
      <c r="L219" s="10">
        <v>2</v>
      </c>
      <c r="M219" s="10" t="s">
        <v>51</v>
      </c>
      <c r="N219" s="10">
        <v>88</v>
      </c>
      <c r="O219" s="10">
        <v>209</v>
      </c>
      <c r="P219" s="10">
        <v>0</v>
      </c>
      <c r="Q219" s="10" t="str">
        <f>+IF(Tabla2[[#This Row],[Demand_Forecast]]&lt;= 125,"Low demand",IF(Tabla2[[#This Row],[Demand_Forecast]] &gt;=285,"High demand","Mid demand"))</f>
        <v>Mid demand</v>
      </c>
    </row>
    <row r="220" spans="1:17" x14ac:dyDescent="0.25">
      <c r="A220" s="11">
        <v>45345.395358796297</v>
      </c>
      <c r="B220" s="10" t="s">
        <v>61</v>
      </c>
      <c r="C220" s="10" t="s">
        <v>472</v>
      </c>
      <c r="D220" s="10" t="s">
        <v>473</v>
      </c>
      <c r="E220" s="10">
        <v>290</v>
      </c>
      <c r="F220" s="10" t="s">
        <v>25</v>
      </c>
      <c r="G220" s="10">
        <v>20.5</v>
      </c>
      <c r="H220" s="10">
        <v>51.4</v>
      </c>
      <c r="I220" s="10" t="s">
        <v>38</v>
      </c>
      <c r="J220" s="10">
        <v>22</v>
      </c>
      <c r="K220" s="10">
        <v>170</v>
      </c>
      <c r="L220" s="10">
        <v>4</v>
      </c>
      <c r="M220" s="10" t="s">
        <v>51</v>
      </c>
      <c r="N220" s="10">
        <v>74.7</v>
      </c>
      <c r="O220" s="10">
        <v>147</v>
      </c>
      <c r="P220" s="10">
        <v>0</v>
      </c>
      <c r="Q220" s="10" t="str">
        <f>+IF(Tabla2[[#This Row],[Demand_Forecast]]&lt;= 125,"Low demand",IF(Tabla2[[#This Row],[Demand_Forecast]] &gt;=285,"High demand","Mid demand"))</f>
        <v>Mid demand</v>
      </c>
    </row>
    <row r="221" spans="1:17" x14ac:dyDescent="0.25">
      <c r="A221" s="11">
        <v>45349.220555555556</v>
      </c>
      <c r="B221" s="10" t="s">
        <v>95</v>
      </c>
      <c r="C221" s="10" t="s">
        <v>474</v>
      </c>
      <c r="D221" s="10" t="s">
        <v>475</v>
      </c>
      <c r="E221" s="10">
        <v>260</v>
      </c>
      <c r="F221" s="10" t="s">
        <v>19</v>
      </c>
      <c r="G221" s="10">
        <v>22.8</v>
      </c>
      <c r="H221" s="10">
        <v>71.7</v>
      </c>
      <c r="I221" s="10" t="s">
        <v>26</v>
      </c>
      <c r="J221" s="10">
        <v>44</v>
      </c>
      <c r="K221" s="10">
        <v>393</v>
      </c>
      <c r="L221" s="10">
        <v>5</v>
      </c>
      <c r="M221" s="10" t="s">
        <v>51</v>
      </c>
      <c r="N221" s="10">
        <v>94.1</v>
      </c>
      <c r="O221" s="10">
        <v>154</v>
      </c>
      <c r="P221" s="10">
        <v>1</v>
      </c>
      <c r="Q221" s="10" t="str">
        <f>+IF(Tabla2[[#This Row],[Demand_Forecast]]&lt;= 125,"Low demand",IF(Tabla2[[#This Row],[Demand_Forecast]] &gt;=285,"High demand","Mid demand"))</f>
        <v>Mid demand</v>
      </c>
    </row>
    <row r="222" spans="1:17" x14ac:dyDescent="0.25">
      <c r="A222" s="11">
        <v>45499.799108796295</v>
      </c>
      <c r="B222" s="10" t="s">
        <v>64</v>
      </c>
      <c r="C222" s="10" t="s">
        <v>476</v>
      </c>
      <c r="D222" s="10" t="s">
        <v>477</v>
      </c>
      <c r="E222" s="10">
        <v>378</v>
      </c>
      <c r="F222" s="10" t="s">
        <v>19</v>
      </c>
      <c r="G222" s="10">
        <v>18.899999999999999</v>
      </c>
      <c r="H222" s="10">
        <v>55.5</v>
      </c>
      <c r="I222" s="10" t="s">
        <v>26</v>
      </c>
      <c r="J222" s="10">
        <v>35</v>
      </c>
      <c r="K222" s="10">
        <v>367</v>
      </c>
      <c r="L222" s="10">
        <v>4</v>
      </c>
      <c r="M222" s="10" t="s">
        <v>27</v>
      </c>
      <c r="N222" s="10">
        <v>74.400000000000006</v>
      </c>
      <c r="O222" s="10">
        <v>229</v>
      </c>
      <c r="P222" s="10">
        <v>1</v>
      </c>
      <c r="Q222" s="10" t="str">
        <f>+IF(Tabla2[[#This Row],[Demand_Forecast]]&lt;= 125,"Low demand",IF(Tabla2[[#This Row],[Demand_Forecast]] &gt;=285,"High demand","Mid demand"))</f>
        <v>Mid demand</v>
      </c>
    </row>
    <row r="223" spans="1:17" x14ac:dyDescent="0.25">
      <c r="A223" s="11">
        <v>45472.222500000003</v>
      </c>
      <c r="B223" s="10" t="s">
        <v>48</v>
      </c>
      <c r="C223" s="10" t="s">
        <v>478</v>
      </c>
      <c r="D223" s="10" t="s">
        <v>479</v>
      </c>
      <c r="E223" s="10">
        <v>177</v>
      </c>
      <c r="F223" s="10" t="s">
        <v>19</v>
      </c>
      <c r="G223" s="10">
        <v>19.2</v>
      </c>
      <c r="H223" s="10">
        <v>70.099999999999994</v>
      </c>
      <c r="I223" s="10" t="s">
        <v>38</v>
      </c>
      <c r="J223" s="10">
        <v>57</v>
      </c>
      <c r="K223" s="10">
        <v>141</v>
      </c>
      <c r="L223" s="10">
        <v>4</v>
      </c>
      <c r="M223" s="10" t="s">
        <v>27</v>
      </c>
      <c r="N223" s="10">
        <v>86.6</v>
      </c>
      <c r="O223" s="10">
        <v>249</v>
      </c>
      <c r="P223" s="10">
        <v>1</v>
      </c>
      <c r="Q223" s="10" t="str">
        <f>+IF(Tabla2[[#This Row],[Demand_Forecast]]&lt;= 125,"Low demand",IF(Tabla2[[#This Row],[Demand_Forecast]] &gt;=285,"High demand","Mid demand"))</f>
        <v>Mid demand</v>
      </c>
    </row>
    <row r="224" spans="1:17" x14ac:dyDescent="0.25">
      <c r="A224" s="11">
        <v>45397.194525462961</v>
      </c>
      <c r="B224" s="10" t="s">
        <v>48</v>
      </c>
      <c r="C224" s="10" t="s">
        <v>480</v>
      </c>
      <c r="D224" s="10" t="s">
        <v>481</v>
      </c>
      <c r="E224" s="10">
        <v>310</v>
      </c>
      <c r="F224" s="10" t="s">
        <v>25</v>
      </c>
      <c r="G224" s="10">
        <v>22.8</v>
      </c>
      <c r="H224" s="10">
        <v>64.400000000000006</v>
      </c>
      <c r="I224" s="10" t="s">
        <v>26</v>
      </c>
      <c r="J224" s="10">
        <v>33</v>
      </c>
      <c r="K224" s="10">
        <v>104</v>
      </c>
      <c r="L224" s="10">
        <v>2</v>
      </c>
      <c r="M224" s="10" t="s">
        <v>51</v>
      </c>
      <c r="N224" s="10">
        <v>98.9</v>
      </c>
      <c r="O224" s="10">
        <v>110</v>
      </c>
      <c r="P224" s="10">
        <v>1</v>
      </c>
      <c r="Q224" s="10" t="str">
        <f>+IF(Tabla2[[#This Row],[Demand_Forecast]]&lt;= 125,"Low demand",IF(Tabla2[[#This Row],[Demand_Forecast]] &gt;=285,"High demand","Mid demand"))</f>
        <v>Low demand</v>
      </c>
    </row>
    <row r="225" spans="1:17" x14ac:dyDescent="0.25">
      <c r="A225" s="11">
        <v>45497.172939814816</v>
      </c>
      <c r="B225" s="10" t="s">
        <v>61</v>
      </c>
      <c r="C225" s="10" t="s">
        <v>482</v>
      </c>
      <c r="D225" s="10" t="s">
        <v>483</v>
      </c>
      <c r="E225" s="10">
        <v>132</v>
      </c>
      <c r="F225" s="10" t="s">
        <v>34</v>
      </c>
      <c r="G225" s="10">
        <v>27.5</v>
      </c>
      <c r="H225" s="10">
        <v>57.2</v>
      </c>
      <c r="I225" s="10" t="s">
        <v>26</v>
      </c>
      <c r="J225" s="10">
        <v>36</v>
      </c>
      <c r="K225" s="10">
        <v>481</v>
      </c>
      <c r="L225" s="10">
        <v>5</v>
      </c>
      <c r="M225" s="10" t="s">
        <v>35</v>
      </c>
      <c r="N225" s="10">
        <v>65.2</v>
      </c>
      <c r="O225" s="10">
        <v>140</v>
      </c>
      <c r="P225" s="10">
        <v>1</v>
      </c>
      <c r="Q225" s="10" t="str">
        <f>+IF(Tabla2[[#This Row],[Demand_Forecast]]&lt;= 125,"Low demand",IF(Tabla2[[#This Row],[Demand_Forecast]] &gt;=285,"High demand","Mid demand"))</f>
        <v>Mid demand</v>
      </c>
    </row>
    <row r="226" spans="1:17" x14ac:dyDescent="0.25">
      <c r="A226" s="11">
        <v>45492.046076388891</v>
      </c>
      <c r="B226" s="10" t="s">
        <v>56</v>
      </c>
      <c r="C226" s="10" t="s">
        <v>484</v>
      </c>
      <c r="D226" s="10" t="s">
        <v>485</v>
      </c>
      <c r="E226" s="10">
        <v>331</v>
      </c>
      <c r="F226" s="10" t="s">
        <v>19</v>
      </c>
      <c r="G226" s="10">
        <v>25.6</v>
      </c>
      <c r="H226" s="10">
        <v>77.8</v>
      </c>
      <c r="I226" s="10" t="s">
        <v>26</v>
      </c>
      <c r="J226" s="10">
        <v>26</v>
      </c>
      <c r="K226" s="10">
        <v>213</v>
      </c>
      <c r="L226" s="10">
        <v>9</v>
      </c>
      <c r="M226" s="10" t="s">
        <v>35</v>
      </c>
      <c r="N226" s="10">
        <v>90.7</v>
      </c>
      <c r="O226" s="10">
        <v>269</v>
      </c>
      <c r="P226" s="10">
        <v>1</v>
      </c>
      <c r="Q226" s="10" t="str">
        <f>+IF(Tabla2[[#This Row],[Demand_Forecast]]&lt;= 125,"Low demand",IF(Tabla2[[#This Row],[Demand_Forecast]] &gt;=285,"High demand","Mid demand"))</f>
        <v>Mid demand</v>
      </c>
    </row>
    <row r="227" spans="1:17" x14ac:dyDescent="0.25">
      <c r="A227" s="11">
        <v>45405.701909722222</v>
      </c>
      <c r="B227" s="10" t="s">
        <v>95</v>
      </c>
      <c r="C227" s="10" t="s">
        <v>486</v>
      </c>
      <c r="D227" s="10" t="s">
        <v>487</v>
      </c>
      <c r="E227" s="10">
        <v>294</v>
      </c>
      <c r="F227" s="10" t="s">
        <v>34</v>
      </c>
      <c r="G227" s="10">
        <v>24.4</v>
      </c>
      <c r="H227" s="10">
        <v>65.2</v>
      </c>
      <c r="I227" s="10" t="s">
        <v>20</v>
      </c>
      <c r="J227" s="10">
        <v>23</v>
      </c>
      <c r="K227" s="10">
        <v>439</v>
      </c>
      <c r="L227" s="10">
        <v>8</v>
      </c>
      <c r="M227" s="10" t="s">
        <v>35</v>
      </c>
      <c r="N227" s="10">
        <v>65</v>
      </c>
      <c r="O227" s="10">
        <v>213</v>
      </c>
      <c r="P227" s="10">
        <v>0</v>
      </c>
      <c r="Q227" s="10" t="str">
        <f>+IF(Tabla2[[#This Row],[Demand_Forecast]]&lt;= 125,"Low demand",IF(Tabla2[[#This Row],[Demand_Forecast]] &gt;=285,"High demand","Mid demand"))</f>
        <v>Mid demand</v>
      </c>
    </row>
    <row r="228" spans="1:17" x14ac:dyDescent="0.25">
      <c r="A228" s="11">
        <v>45461.539641203701</v>
      </c>
      <c r="B228" s="10" t="s">
        <v>22</v>
      </c>
      <c r="C228" s="10" t="s">
        <v>488</v>
      </c>
      <c r="D228" s="10" t="s">
        <v>489</v>
      </c>
      <c r="E228" s="10">
        <v>277</v>
      </c>
      <c r="F228" s="10" t="s">
        <v>34</v>
      </c>
      <c r="G228" s="10">
        <v>29.3</v>
      </c>
      <c r="H228" s="10">
        <v>50.7</v>
      </c>
      <c r="I228" s="10" t="s">
        <v>26</v>
      </c>
      <c r="J228" s="10">
        <v>24</v>
      </c>
      <c r="K228" s="10">
        <v>242</v>
      </c>
      <c r="L228" s="10">
        <v>2</v>
      </c>
      <c r="M228" s="10" t="s">
        <v>51</v>
      </c>
      <c r="N228" s="10">
        <v>93.4</v>
      </c>
      <c r="O228" s="10">
        <v>271</v>
      </c>
      <c r="P228" s="10">
        <v>1</v>
      </c>
      <c r="Q228" s="10" t="str">
        <f>+IF(Tabla2[[#This Row],[Demand_Forecast]]&lt;= 125,"Low demand",IF(Tabla2[[#This Row],[Demand_Forecast]] &gt;=285,"High demand","Mid demand"))</f>
        <v>Mid demand</v>
      </c>
    </row>
    <row r="229" spans="1:17" x14ac:dyDescent="0.25">
      <c r="A229" s="11">
        <v>45643.174525462964</v>
      </c>
      <c r="B229" s="10" t="s">
        <v>64</v>
      </c>
      <c r="C229" s="10" t="s">
        <v>490</v>
      </c>
      <c r="D229" s="10" t="s">
        <v>491</v>
      </c>
      <c r="E229" s="10">
        <v>329</v>
      </c>
      <c r="F229" s="10" t="s">
        <v>19</v>
      </c>
      <c r="G229" s="10">
        <v>29.7</v>
      </c>
      <c r="H229" s="10">
        <v>77.900000000000006</v>
      </c>
      <c r="I229" s="10" t="s">
        <v>26</v>
      </c>
      <c r="J229" s="10">
        <v>33</v>
      </c>
      <c r="K229" s="10">
        <v>232</v>
      </c>
      <c r="L229" s="10">
        <v>5</v>
      </c>
      <c r="M229" s="10" t="s">
        <v>27</v>
      </c>
      <c r="N229" s="10">
        <v>91.9</v>
      </c>
      <c r="O229" s="10">
        <v>124</v>
      </c>
      <c r="P229" s="10">
        <v>1</v>
      </c>
      <c r="Q229" s="10" t="str">
        <f>+IF(Tabla2[[#This Row],[Demand_Forecast]]&lt;= 125,"Low demand",IF(Tabla2[[#This Row],[Demand_Forecast]] &gt;=285,"High demand","Mid demand"))</f>
        <v>Low demand</v>
      </c>
    </row>
    <row r="230" spans="1:17" x14ac:dyDescent="0.25">
      <c r="A230" s="11">
        <v>45613.195347222223</v>
      </c>
      <c r="B230" s="10" t="s">
        <v>56</v>
      </c>
      <c r="C230" s="10" t="s">
        <v>492</v>
      </c>
      <c r="D230" s="10" t="s">
        <v>493</v>
      </c>
      <c r="E230" s="10">
        <v>204</v>
      </c>
      <c r="F230" s="10" t="s">
        <v>34</v>
      </c>
      <c r="G230" s="10">
        <v>18.7</v>
      </c>
      <c r="H230" s="10">
        <v>68.5</v>
      </c>
      <c r="I230" s="10" t="s">
        <v>26</v>
      </c>
      <c r="J230" s="10">
        <v>27</v>
      </c>
      <c r="K230" s="10">
        <v>473</v>
      </c>
      <c r="L230" s="10">
        <v>2</v>
      </c>
      <c r="M230" s="10" t="s">
        <v>35</v>
      </c>
      <c r="N230" s="10">
        <v>76.900000000000006</v>
      </c>
      <c r="O230" s="10">
        <v>217</v>
      </c>
      <c r="P230" s="10">
        <v>1</v>
      </c>
      <c r="Q230" s="10" t="str">
        <f>+IF(Tabla2[[#This Row],[Demand_Forecast]]&lt;= 125,"Low demand",IF(Tabla2[[#This Row],[Demand_Forecast]] &gt;=285,"High demand","Mid demand"))</f>
        <v>Mid demand</v>
      </c>
    </row>
    <row r="231" spans="1:17" x14ac:dyDescent="0.25">
      <c r="A231" s="11">
        <v>45463.471365740741</v>
      </c>
      <c r="B231" s="10" t="s">
        <v>95</v>
      </c>
      <c r="C231" s="10" t="s">
        <v>494</v>
      </c>
      <c r="D231" s="10" t="s">
        <v>495</v>
      </c>
      <c r="E231" s="10">
        <v>410</v>
      </c>
      <c r="F231" s="10" t="s">
        <v>34</v>
      </c>
      <c r="G231" s="10">
        <v>28.9</v>
      </c>
      <c r="H231" s="10">
        <v>60.3</v>
      </c>
      <c r="I231" s="10" t="s">
        <v>38</v>
      </c>
      <c r="J231" s="10">
        <v>32</v>
      </c>
      <c r="K231" s="10">
        <v>436</v>
      </c>
      <c r="L231" s="10">
        <v>1</v>
      </c>
      <c r="M231" s="10" t="s">
        <v>21</v>
      </c>
      <c r="N231" s="10">
        <v>77.2</v>
      </c>
      <c r="O231" s="10">
        <v>272</v>
      </c>
      <c r="P231" s="10">
        <v>0</v>
      </c>
      <c r="Q231" s="10" t="str">
        <f>+IF(Tabla2[[#This Row],[Demand_Forecast]]&lt;= 125,"Low demand",IF(Tabla2[[#This Row],[Demand_Forecast]] &gt;=285,"High demand","Mid demand"))</f>
        <v>Mid demand</v>
      </c>
    </row>
    <row r="232" spans="1:17" x14ac:dyDescent="0.25">
      <c r="A232" s="11">
        <v>45472.46974537037</v>
      </c>
      <c r="B232" s="10" t="s">
        <v>16</v>
      </c>
      <c r="C232" s="10" t="s">
        <v>496</v>
      </c>
      <c r="D232" s="10" t="s">
        <v>497</v>
      </c>
      <c r="E232" s="10">
        <v>417</v>
      </c>
      <c r="F232" s="10" t="s">
        <v>19</v>
      </c>
      <c r="G232" s="10">
        <v>26.9</v>
      </c>
      <c r="H232" s="10">
        <v>70.8</v>
      </c>
      <c r="I232" s="10" t="s">
        <v>38</v>
      </c>
      <c r="J232" s="10">
        <v>44</v>
      </c>
      <c r="K232" s="10">
        <v>103</v>
      </c>
      <c r="L232" s="10">
        <v>7</v>
      </c>
      <c r="M232" s="10" t="s">
        <v>51</v>
      </c>
      <c r="N232" s="10">
        <v>94.7</v>
      </c>
      <c r="O232" s="10">
        <v>181</v>
      </c>
      <c r="P232" s="10">
        <v>1</v>
      </c>
      <c r="Q232" s="10" t="str">
        <f>+IF(Tabla2[[#This Row],[Demand_Forecast]]&lt;= 125,"Low demand",IF(Tabla2[[#This Row],[Demand_Forecast]] &gt;=285,"High demand","Mid demand"))</f>
        <v>Mid demand</v>
      </c>
    </row>
    <row r="233" spans="1:17" x14ac:dyDescent="0.25">
      <c r="A233" s="11">
        <v>45478.385277777779</v>
      </c>
      <c r="B233" s="10" t="s">
        <v>22</v>
      </c>
      <c r="C233" s="10" t="s">
        <v>498</v>
      </c>
      <c r="D233" s="10" t="s">
        <v>499</v>
      </c>
      <c r="E233" s="10">
        <v>324</v>
      </c>
      <c r="F233" s="10" t="s">
        <v>34</v>
      </c>
      <c r="G233" s="10">
        <v>20.7</v>
      </c>
      <c r="H233" s="10">
        <v>72.400000000000006</v>
      </c>
      <c r="I233" s="10" t="s">
        <v>38</v>
      </c>
      <c r="J233" s="10">
        <v>12</v>
      </c>
      <c r="K233" s="10">
        <v>173</v>
      </c>
      <c r="L233" s="10">
        <v>7</v>
      </c>
      <c r="M233" s="10" t="s">
        <v>21</v>
      </c>
      <c r="N233" s="10">
        <v>95.1</v>
      </c>
      <c r="O233" s="10">
        <v>243</v>
      </c>
      <c r="P233" s="10">
        <v>0</v>
      </c>
      <c r="Q233" s="10" t="str">
        <f>+IF(Tabla2[[#This Row],[Demand_Forecast]]&lt;= 125,"Low demand",IF(Tabla2[[#This Row],[Demand_Forecast]] &gt;=285,"High demand","Mid demand"))</f>
        <v>Mid demand</v>
      </c>
    </row>
    <row r="234" spans="1:17" x14ac:dyDescent="0.25">
      <c r="A234" s="11">
        <v>45492.840902777774</v>
      </c>
      <c r="B234" s="10" t="s">
        <v>56</v>
      </c>
      <c r="C234" s="10" t="s">
        <v>500</v>
      </c>
      <c r="D234" s="10" t="s">
        <v>501</v>
      </c>
      <c r="E234" s="10">
        <v>218</v>
      </c>
      <c r="F234" s="10" t="s">
        <v>19</v>
      </c>
      <c r="G234" s="10">
        <v>23.8</v>
      </c>
      <c r="H234" s="10">
        <v>52.3</v>
      </c>
      <c r="I234" s="10" t="s">
        <v>20</v>
      </c>
      <c r="J234" s="10">
        <v>52</v>
      </c>
      <c r="K234" s="10">
        <v>389</v>
      </c>
      <c r="L234" s="10">
        <v>2</v>
      </c>
      <c r="M234" s="10" t="s">
        <v>35</v>
      </c>
      <c r="N234" s="10">
        <v>79.5</v>
      </c>
      <c r="O234" s="10">
        <v>231</v>
      </c>
      <c r="P234" s="10">
        <v>1</v>
      </c>
      <c r="Q234" s="10" t="str">
        <f>+IF(Tabla2[[#This Row],[Demand_Forecast]]&lt;= 125,"Low demand",IF(Tabla2[[#This Row],[Demand_Forecast]] &gt;=285,"High demand","Mid demand"))</f>
        <v>Mid demand</v>
      </c>
    </row>
    <row r="235" spans="1:17" x14ac:dyDescent="0.25">
      <c r="A235" s="11">
        <v>45531.934930555559</v>
      </c>
      <c r="B235" s="10" t="s">
        <v>64</v>
      </c>
      <c r="C235" s="10" t="s">
        <v>502</v>
      </c>
      <c r="D235" s="10" t="s">
        <v>503</v>
      </c>
      <c r="E235" s="10">
        <v>137</v>
      </c>
      <c r="F235" s="10" t="s">
        <v>19</v>
      </c>
      <c r="G235" s="10">
        <v>23.6</v>
      </c>
      <c r="H235" s="10">
        <v>51.7</v>
      </c>
      <c r="I235" s="10" t="s">
        <v>20</v>
      </c>
      <c r="J235" s="10">
        <v>24</v>
      </c>
      <c r="K235" s="10">
        <v>124</v>
      </c>
      <c r="L235" s="10">
        <v>6</v>
      </c>
      <c r="M235" s="10" t="s">
        <v>35</v>
      </c>
      <c r="N235" s="10">
        <v>70.599999999999994</v>
      </c>
      <c r="O235" s="10">
        <v>279</v>
      </c>
      <c r="P235" s="10">
        <v>1</v>
      </c>
      <c r="Q235" s="10" t="str">
        <f>+IF(Tabla2[[#This Row],[Demand_Forecast]]&lt;= 125,"Low demand",IF(Tabla2[[#This Row],[Demand_Forecast]] &gt;=285,"High demand","Mid demand"))</f>
        <v>Mid demand</v>
      </c>
    </row>
    <row r="236" spans="1:17" x14ac:dyDescent="0.25">
      <c r="A236" s="11">
        <v>45460.113553240742</v>
      </c>
      <c r="B236" s="10" t="s">
        <v>41</v>
      </c>
      <c r="C236" s="10" t="s">
        <v>504</v>
      </c>
      <c r="D236" s="10" t="s">
        <v>505</v>
      </c>
      <c r="E236" s="10">
        <v>414</v>
      </c>
      <c r="F236" s="10" t="s">
        <v>19</v>
      </c>
      <c r="G236" s="10">
        <v>18.3</v>
      </c>
      <c r="H236" s="10">
        <v>76.400000000000006</v>
      </c>
      <c r="I236" s="10" t="s">
        <v>20</v>
      </c>
      <c r="J236" s="10">
        <v>42</v>
      </c>
      <c r="K236" s="10">
        <v>332</v>
      </c>
      <c r="L236" s="10">
        <v>10</v>
      </c>
      <c r="M236" s="10" t="s">
        <v>35</v>
      </c>
      <c r="N236" s="10">
        <v>66.3</v>
      </c>
      <c r="O236" s="10">
        <v>249</v>
      </c>
      <c r="P236" s="10">
        <v>1</v>
      </c>
      <c r="Q236" s="10" t="str">
        <f>+IF(Tabla2[[#This Row],[Demand_Forecast]]&lt;= 125,"Low demand",IF(Tabla2[[#This Row],[Demand_Forecast]] &gt;=285,"High demand","Mid demand"))</f>
        <v>Mid demand</v>
      </c>
    </row>
    <row r="237" spans="1:17" x14ac:dyDescent="0.25">
      <c r="A237" s="11">
        <v>45433.104375000003</v>
      </c>
      <c r="B237" s="10" t="s">
        <v>95</v>
      </c>
      <c r="C237" s="10" t="s">
        <v>506</v>
      </c>
      <c r="D237" s="10" t="s">
        <v>507</v>
      </c>
      <c r="E237" s="10">
        <v>216</v>
      </c>
      <c r="F237" s="10" t="s">
        <v>25</v>
      </c>
      <c r="G237" s="10">
        <v>26.9</v>
      </c>
      <c r="H237" s="10">
        <v>67.2</v>
      </c>
      <c r="I237" s="10" t="s">
        <v>20</v>
      </c>
      <c r="J237" s="10">
        <v>35</v>
      </c>
      <c r="K237" s="10">
        <v>181</v>
      </c>
      <c r="L237" s="10">
        <v>10</v>
      </c>
      <c r="M237" s="10" t="s">
        <v>27</v>
      </c>
      <c r="N237" s="10">
        <v>86.2</v>
      </c>
      <c r="O237" s="10">
        <v>185</v>
      </c>
      <c r="P237" s="10">
        <v>0</v>
      </c>
      <c r="Q237" s="10" t="str">
        <f>+IF(Tabla2[[#This Row],[Demand_Forecast]]&lt;= 125,"Low demand",IF(Tabla2[[#This Row],[Demand_Forecast]] &gt;=285,"High demand","Mid demand"))</f>
        <v>Mid demand</v>
      </c>
    </row>
    <row r="238" spans="1:17" x14ac:dyDescent="0.25">
      <c r="A238" s="11">
        <v>45420.092928240738</v>
      </c>
      <c r="B238" s="10" t="s">
        <v>56</v>
      </c>
      <c r="C238" s="10" t="s">
        <v>508</v>
      </c>
      <c r="D238" s="10" t="s">
        <v>509</v>
      </c>
      <c r="E238" s="10">
        <v>170</v>
      </c>
      <c r="F238" s="10" t="s">
        <v>19</v>
      </c>
      <c r="G238" s="10">
        <v>26.4</v>
      </c>
      <c r="H238" s="10">
        <v>51.6</v>
      </c>
      <c r="I238" s="10" t="s">
        <v>20</v>
      </c>
      <c r="J238" s="10">
        <v>47</v>
      </c>
      <c r="K238" s="10">
        <v>278</v>
      </c>
      <c r="L238" s="10">
        <v>3</v>
      </c>
      <c r="M238" s="10" t="s">
        <v>21</v>
      </c>
      <c r="N238" s="10">
        <v>96.4</v>
      </c>
      <c r="O238" s="10">
        <v>105</v>
      </c>
      <c r="P238" s="10">
        <v>1</v>
      </c>
      <c r="Q238" s="10" t="str">
        <f>+IF(Tabla2[[#This Row],[Demand_Forecast]]&lt;= 125,"Low demand",IF(Tabla2[[#This Row],[Demand_Forecast]] &gt;=285,"High demand","Mid demand"))</f>
        <v>Low demand</v>
      </c>
    </row>
    <row r="239" spans="1:17" x14ac:dyDescent="0.25">
      <c r="A239" s="11">
        <v>45414.409456018519</v>
      </c>
      <c r="B239" s="10" t="s">
        <v>48</v>
      </c>
      <c r="C239" s="10" t="s">
        <v>510</v>
      </c>
      <c r="D239" s="10" t="s">
        <v>511</v>
      </c>
      <c r="E239" s="10">
        <v>154</v>
      </c>
      <c r="F239" s="10" t="s">
        <v>34</v>
      </c>
      <c r="G239" s="10">
        <v>28.6</v>
      </c>
      <c r="H239" s="10">
        <v>66.8</v>
      </c>
      <c r="I239" s="10" t="s">
        <v>38</v>
      </c>
      <c r="J239" s="10">
        <v>18</v>
      </c>
      <c r="K239" s="10">
        <v>384</v>
      </c>
      <c r="L239" s="10">
        <v>9</v>
      </c>
      <c r="M239" s="10" t="s">
        <v>27</v>
      </c>
      <c r="N239" s="10">
        <v>60.4</v>
      </c>
      <c r="O239" s="10">
        <v>263</v>
      </c>
      <c r="P239" s="10">
        <v>0</v>
      </c>
      <c r="Q239" s="10" t="str">
        <f>+IF(Tabla2[[#This Row],[Demand_Forecast]]&lt;= 125,"Low demand",IF(Tabla2[[#This Row],[Demand_Forecast]] &gt;=285,"High demand","Mid demand"))</f>
        <v>Mid demand</v>
      </c>
    </row>
    <row r="240" spans="1:17" x14ac:dyDescent="0.25">
      <c r="A240" s="11">
        <v>45316.843900462962</v>
      </c>
      <c r="B240" s="10" t="s">
        <v>48</v>
      </c>
      <c r="C240" s="10" t="s">
        <v>512</v>
      </c>
      <c r="D240" s="10" t="s">
        <v>513</v>
      </c>
      <c r="E240" s="10">
        <v>213</v>
      </c>
      <c r="F240" s="10" t="s">
        <v>34</v>
      </c>
      <c r="G240" s="10">
        <v>25</v>
      </c>
      <c r="H240" s="10">
        <v>72.7</v>
      </c>
      <c r="I240" s="10" t="s">
        <v>20</v>
      </c>
      <c r="J240" s="10">
        <v>51</v>
      </c>
      <c r="K240" s="10">
        <v>353</v>
      </c>
      <c r="L240" s="10">
        <v>8</v>
      </c>
      <c r="M240" s="10" t="s">
        <v>21</v>
      </c>
      <c r="N240" s="10">
        <v>82.6</v>
      </c>
      <c r="O240" s="10">
        <v>227</v>
      </c>
      <c r="P240" s="10">
        <v>0</v>
      </c>
      <c r="Q240" s="10" t="str">
        <f>+IF(Tabla2[[#This Row],[Demand_Forecast]]&lt;= 125,"Low demand",IF(Tabla2[[#This Row],[Demand_Forecast]] &gt;=285,"High demand","Mid demand"))</f>
        <v>Mid demand</v>
      </c>
    </row>
    <row r="241" spans="1:17" x14ac:dyDescent="0.25">
      <c r="A241" s="11">
        <v>45298.534166666665</v>
      </c>
      <c r="B241" s="10" t="s">
        <v>41</v>
      </c>
      <c r="C241" s="10" t="s">
        <v>514</v>
      </c>
      <c r="D241" s="10" t="s">
        <v>515</v>
      </c>
      <c r="E241" s="10">
        <v>276</v>
      </c>
      <c r="F241" s="10" t="s">
        <v>34</v>
      </c>
      <c r="G241" s="10">
        <v>24.9</v>
      </c>
      <c r="H241" s="10">
        <v>77</v>
      </c>
      <c r="I241" s="10" t="s">
        <v>20</v>
      </c>
      <c r="J241" s="10">
        <v>60</v>
      </c>
      <c r="K241" s="10">
        <v>467</v>
      </c>
      <c r="L241" s="10">
        <v>4</v>
      </c>
      <c r="M241" s="10" t="s">
        <v>27</v>
      </c>
      <c r="N241" s="10">
        <v>84.6</v>
      </c>
      <c r="O241" s="10">
        <v>292</v>
      </c>
      <c r="P241" s="10">
        <v>0</v>
      </c>
      <c r="Q241" s="10" t="str">
        <f>+IF(Tabla2[[#This Row],[Demand_Forecast]]&lt;= 125,"Low demand",IF(Tabla2[[#This Row],[Demand_Forecast]] &gt;=285,"High demand","Mid demand"))</f>
        <v>High demand</v>
      </c>
    </row>
    <row r="242" spans="1:17" x14ac:dyDescent="0.25">
      <c r="A242" s="11">
        <v>45359.423344907409</v>
      </c>
      <c r="B242" s="10" t="s">
        <v>28</v>
      </c>
      <c r="C242" s="10" t="s">
        <v>516</v>
      </c>
      <c r="D242" s="10" t="s">
        <v>517</v>
      </c>
      <c r="E242" s="10">
        <v>382</v>
      </c>
      <c r="F242" s="10" t="s">
        <v>25</v>
      </c>
      <c r="G242" s="10">
        <v>22</v>
      </c>
      <c r="H242" s="10">
        <v>77.8</v>
      </c>
      <c r="I242" s="10" t="s">
        <v>38</v>
      </c>
      <c r="J242" s="10">
        <v>47</v>
      </c>
      <c r="K242" s="10">
        <v>448</v>
      </c>
      <c r="L242" s="10">
        <v>5</v>
      </c>
      <c r="M242" s="10" t="s">
        <v>27</v>
      </c>
      <c r="N242" s="10">
        <v>81.400000000000006</v>
      </c>
      <c r="O242" s="10">
        <v>246</v>
      </c>
      <c r="P242" s="10">
        <v>0</v>
      </c>
      <c r="Q242" s="10" t="str">
        <f>+IF(Tabla2[[#This Row],[Demand_Forecast]]&lt;= 125,"Low demand",IF(Tabla2[[#This Row],[Demand_Forecast]] &gt;=285,"High demand","Mid demand"))</f>
        <v>Mid demand</v>
      </c>
    </row>
    <row r="243" spans="1:17" x14ac:dyDescent="0.25">
      <c r="A243" s="11">
        <v>45648.625914351855</v>
      </c>
      <c r="B243" s="10" t="s">
        <v>56</v>
      </c>
      <c r="C243" s="10" t="s">
        <v>518</v>
      </c>
      <c r="D243" s="10" t="s">
        <v>519</v>
      </c>
      <c r="E243" s="10">
        <v>383</v>
      </c>
      <c r="F243" s="10" t="s">
        <v>25</v>
      </c>
      <c r="G243" s="10">
        <v>19.100000000000001</v>
      </c>
      <c r="H243" s="10">
        <v>69</v>
      </c>
      <c r="I243" s="10" t="s">
        <v>20</v>
      </c>
      <c r="J243" s="10">
        <v>16</v>
      </c>
      <c r="K243" s="10">
        <v>238</v>
      </c>
      <c r="L243" s="10">
        <v>3</v>
      </c>
      <c r="M243" s="10" t="s">
        <v>27</v>
      </c>
      <c r="N243" s="10">
        <v>90.7</v>
      </c>
      <c r="O243" s="10">
        <v>290</v>
      </c>
      <c r="P243" s="10">
        <v>0</v>
      </c>
      <c r="Q243" s="10" t="str">
        <f>+IF(Tabla2[[#This Row],[Demand_Forecast]]&lt;= 125,"Low demand",IF(Tabla2[[#This Row],[Demand_Forecast]] &gt;=285,"High demand","Mid demand"))</f>
        <v>High demand</v>
      </c>
    </row>
    <row r="244" spans="1:17" x14ac:dyDescent="0.25">
      <c r="A244" s="11">
        <v>45312.553506944445</v>
      </c>
      <c r="B244" s="10" t="s">
        <v>95</v>
      </c>
      <c r="C244" s="10" t="s">
        <v>520</v>
      </c>
      <c r="D244" s="10" t="s">
        <v>521</v>
      </c>
      <c r="E244" s="10">
        <v>334</v>
      </c>
      <c r="F244" s="10" t="s">
        <v>19</v>
      </c>
      <c r="G244" s="10">
        <v>26.6</v>
      </c>
      <c r="H244" s="10">
        <v>74.099999999999994</v>
      </c>
      <c r="I244" s="10" t="s">
        <v>20</v>
      </c>
      <c r="J244" s="10">
        <v>10</v>
      </c>
      <c r="K244" s="10">
        <v>317</v>
      </c>
      <c r="L244" s="10">
        <v>3</v>
      </c>
      <c r="M244" s="10" t="s">
        <v>35</v>
      </c>
      <c r="N244" s="10">
        <v>73</v>
      </c>
      <c r="O244" s="10">
        <v>184</v>
      </c>
      <c r="P244" s="10">
        <v>1</v>
      </c>
      <c r="Q244" s="10" t="str">
        <f>+IF(Tabla2[[#This Row],[Demand_Forecast]]&lt;= 125,"Low demand",IF(Tabla2[[#This Row],[Demand_Forecast]] &gt;=285,"High demand","Mid demand"))</f>
        <v>Mid demand</v>
      </c>
    </row>
    <row r="245" spans="1:17" x14ac:dyDescent="0.25">
      <c r="A245" s="11">
        <v>45468.107800925929</v>
      </c>
      <c r="B245" s="10" t="s">
        <v>31</v>
      </c>
      <c r="C245" s="10" t="s">
        <v>522</v>
      </c>
      <c r="D245" s="10" t="s">
        <v>523</v>
      </c>
      <c r="E245" s="10">
        <v>421</v>
      </c>
      <c r="F245" s="10" t="s">
        <v>19</v>
      </c>
      <c r="G245" s="10">
        <v>26.3</v>
      </c>
      <c r="H245" s="10">
        <v>68.8</v>
      </c>
      <c r="I245" s="10" t="s">
        <v>26</v>
      </c>
      <c r="J245" s="10">
        <v>53</v>
      </c>
      <c r="K245" s="10">
        <v>128</v>
      </c>
      <c r="L245" s="10">
        <v>6</v>
      </c>
      <c r="M245" s="10" t="s">
        <v>21</v>
      </c>
      <c r="N245" s="10">
        <v>76.599999999999994</v>
      </c>
      <c r="O245" s="10">
        <v>100</v>
      </c>
      <c r="P245" s="10">
        <v>1</v>
      </c>
      <c r="Q245" s="10" t="str">
        <f>+IF(Tabla2[[#This Row],[Demand_Forecast]]&lt;= 125,"Low demand",IF(Tabla2[[#This Row],[Demand_Forecast]] &gt;=285,"High demand","Mid demand"))</f>
        <v>Low demand</v>
      </c>
    </row>
    <row r="246" spans="1:17" x14ac:dyDescent="0.25">
      <c r="A246" s="11">
        <v>45439.217743055553</v>
      </c>
      <c r="B246" s="10" t="s">
        <v>48</v>
      </c>
      <c r="C246" s="10" t="s">
        <v>524</v>
      </c>
      <c r="D246" s="10" t="s">
        <v>525</v>
      </c>
      <c r="E246" s="10">
        <v>329</v>
      </c>
      <c r="F246" s="10" t="s">
        <v>34</v>
      </c>
      <c r="G246" s="10">
        <v>25</v>
      </c>
      <c r="H246" s="10">
        <v>51.2</v>
      </c>
      <c r="I246" s="10" t="s">
        <v>20</v>
      </c>
      <c r="J246" s="10">
        <v>53</v>
      </c>
      <c r="K246" s="10">
        <v>233</v>
      </c>
      <c r="L246" s="10">
        <v>5</v>
      </c>
      <c r="M246" s="10" t="s">
        <v>51</v>
      </c>
      <c r="N246" s="10">
        <v>67.2</v>
      </c>
      <c r="O246" s="10">
        <v>188</v>
      </c>
      <c r="P246" s="10">
        <v>0</v>
      </c>
      <c r="Q246" s="10" t="str">
        <f>+IF(Tabla2[[#This Row],[Demand_Forecast]]&lt;= 125,"Low demand",IF(Tabla2[[#This Row],[Demand_Forecast]] &gt;=285,"High demand","Mid demand"))</f>
        <v>Mid demand</v>
      </c>
    </row>
    <row r="247" spans="1:17" x14ac:dyDescent="0.25">
      <c r="A247" s="11">
        <v>45318.045578703706</v>
      </c>
      <c r="B247" s="10" t="s">
        <v>28</v>
      </c>
      <c r="C247" s="10" t="s">
        <v>526</v>
      </c>
      <c r="D247" s="10" t="s">
        <v>527</v>
      </c>
      <c r="E247" s="10">
        <v>284</v>
      </c>
      <c r="F247" s="10" t="s">
        <v>25</v>
      </c>
      <c r="G247" s="10">
        <v>22.1</v>
      </c>
      <c r="H247" s="10">
        <v>77.2</v>
      </c>
      <c r="I247" s="10" t="s">
        <v>26</v>
      </c>
      <c r="J247" s="10">
        <v>16</v>
      </c>
      <c r="K247" s="10">
        <v>226</v>
      </c>
      <c r="L247" s="10">
        <v>4</v>
      </c>
      <c r="M247" s="10" t="s">
        <v>21</v>
      </c>
      <c r="N247" s="10">
        <v>95.8</v>
      </c>
      <c r="O247" s="10">
        <v>206</v>
      </c>
      <c r="P247" s="10">
        <v>1</v>
      </c>
      <c r="Q247" s="10" t="str">
        <f>+IF(Tabla2[[#This Row],[Demand_Forecast]]&lt;= 125,"Low demand",IF(Tabla2[[#This Row],[Demand_Forecast]] &gt;=285,"High demand","Mid demand"))</f>
        <v>Mid demand</v>
      </c>
    </row>
    <row r="248" spans="1:17" x14ac:dyDescent="0.25">
      <c r="A248" s="11">
        <v>45312.133275462962</v>
      </c>
      <c r="B248" s="10" t="s">
        <v>48</v>
      </c>
      <c r="C248" s="10" t="s">
        <v>528</v>
      </c>
      <c r="D248" s="10" t="s">
        <v>529</v>
      </c>
      <c r="E248" s="10">
        <v>184</v>
      </c>
      <c r="F248" s="10" t="s">
        <v>19</v>
      </c>
      <c r="G248" s="10">
        <v>19.2</v>
      </c>
      <c r="H248" s="10">
        <v>59.8</v>
      </c>
      <c r="I248" s="10" t="s">
        <v>26</v>
      </c>
      <c r="J248" s="10">
        <v>23</v>
      </c>
      <c r="K248" s="10">
        <v>126</v>
      </c>
      <c r="L248" s="10">
        <v>4</v>
      </c>
      <c r="M248" s="10" t="s">
        <v>51</v>
      </c>
      <c r="N248" s="10">
        <v>90.4</v>
      </c>
      <c r="O248" s="10">
        <v>200</v>
      </c>
      <c r="P248" s="10">
        <v>1</v>
      </c>
      <c r="Q248" s="10" t="str">
        <f>+IF(Tabla2[[#This Row],[Demand_Forecast]]&lt;= 125,"Low demand",IF(Tabla2[[#This Row],[Demand_Forecast]] &gt;=285,"High demand","Mid demand"))</f>
        <v>Mid demand</v>
      </c>
    </row>
    <row r="249" spans="1:17" x14ac:dyDescent="0.25">
      <c r="A249" s="11">
        <v>45507.560034722221</v>
      </c>
      <c r="B249" s="10" t="s">
        <v>64</v>
      </c>
      <c r="C249" s="10" t="s">
        <v>530</v>
      </c>
      <c r="D249" s="10" t="s">
        <v>531</v>
      </c>
      <c r="E249" s="10">
        <v>403</v>
      </c>
      <c r="F249" s="10" t="s">
        <v>34</v>
      </c>
      <c r="G249" s="10">
        <v>20.6</v>
      </c>
      <c r="H249" s="10">
        <v>66.099999999999994</v>
      </c>
      <c r="I249" s="10" t="s">
        <v>38</v>
      </c>
      <c r="J249" s="10">
        <v>15</v>
      </c>
      <c r="K249" s="10">
        <v>461</v>
      </c>
      <c r="L249" s="10">
        <v>4</v>
      </c>
      <c r="M249" s="10" t="s">
        <v>21</v>
      </c>
      <c r="N249" s="10">
        <v>77.099999999999994</v>
      </c>
      <c r="O249" s="10">
        <v>263</v>
      </c>
      <c r="P249" s="10">
        <v>0</v>
      </c>
      <c r="Q249" s="10" t="str">
        <f>+IF(Tabla2[[#This Row],[Demand_Forecast]]&lt;= 125,"Low demand",IF(Tabla2[[#This Row],[Demand_Forecast]] &gt;=285,"High demand","Mid demand"))</f>
        <v>Mid demand</v>
      </c>
    </row>
    <row r="250" spans="1:17" x14ac:dyDescent="0.25">
      <c r="A250" s="11">
        <v>45448.756643518522</v>
      </c>
      <c r="B250" s="10" t="s">
        <v>22</v>
      </c>
      <c r="C250" s="10" t="s">
        <v>532</v>
      </c>
      <c r="D250" s="10" t="s">
        <v>533</v>
      </c>
      <c r="E250" s="10">
        <v>100</v>
      </c>
      <c r="F250" s="10" t="s">
        <v>25</v>
      </c>
      <c r="G250" s="10">
        <v>22.3</v>
      </c>
      <c r="H250" s="10">
        <v>72.3</v>
      </c>
      <c r="I250" s="10" t="s">
        <v>20</v>
      </c>
      <c r="J250" s="10">
        <v>43</v>
      </c>
      <c r="K250" s="10">
        <v>256</v>
      </c>
      <c r="L250" s="10">
        <v>5</v>
      </c>
      <c r="M250" s="10" t="s">
        <v>21</v>
      </c>
      <c r="N250" s="10">
        <v>92.8</v>
      </c>
      <c r="O250" s="10">
        <v>101</v>
      </c>
      <c r="P250" s="10">
        <v>0</v>
      </c>
      <c r="Q250" s="10" t="str">
        <f>+IF(Tabla2[[#This Row],[Demand_Forecast]]&lt;= 125,"Low demand",IF(Tabla2[[#This Row],[Demand_Forecast]] &gt;=285,"High demand","Mid demand"))</f>
        <v>Low demand</v>
      </c>
    </row>
    <row r="251" spans="1:17" x14ac:dyDescent="0.25">
      <c r="A251" s="11">
        <v>45592.50644675926</v>
      </c>
      <c r="B251" s="10" t="s">
        <v>61</v>
      </c>
      <c r="C251" s="10" t="s">
        <v>534</v>
      </c>
      <c r="D251" s="10" t="s">
        <v>535</v>
      </c>
      <c r="E251" s="10">
        <v>135</v>
      </c>
      <c r="F251" s="10" t="s">
        <v>19</v>
      </c>
      <c r="G251" s="10">
        <v>18.899999999999999</v>
      </c>
      <c r="H251" s="10">
        <v>55.5</v>
      </c>
      <c r="I251" s="10" t="s">
        <v>26</v>
      </c>
      <c r="J251" s="10">
        <v>57</v>
      </c>
      <c r="K251" s="10">
        <v>162</v>
      </c>
      <c r="L251" s="10">
        <v>9</v>
      </c>
      <c r="M251" s="10" t="s">
        <v>21</v>
      </c>
      <c r="N251" s="10">
        <v>75.3</v>
      </c>
      <c r="O251" s="10">
        <v>127</v>
      </c>
      <c r="P251" s="10">
        <v>1</v>
      </c>
      <c r="Q251" s="10" t="str">
        <f>+IF(Tabla2[[#This Row],[Demand_Forecast]]&lt;= 125,"Low demand",IF(Tabla2[[#This Row],[Demand_Forecast]] &gt;=285,"High demand","Mid demand"))</f>
        <v>Mid demand</v>
      </c>
    </row>
    <row r="252" spans="1:17" x14ac:dyDescent="0.25">
      <c r="A252" s="11">
        <v>45587.603321759256</v>
      </c>
      <c r="B252" s="10" t="s">
        <v>95</v>
      </c>
      <c r="C252" s="10" t="s">
        <v>536</v>
      </c>
      <c r="D252" s="10" t="s">
        <v>537</v>
      </c>
      <c r="E252" s="10">
        <v>220</v>
      </c>
      <c r="F252" s="10" t="s">
        <v>25</v>
      </c>
      <c r="G252" s="10">
        <v>25</v>
      </c>
      <c r="H252" s="10">
        <v>79</v>
      </c>
      <c r="I252" s="10" t="s">
        <v>26</v>
      </c>
      <c r="J252" s="10">
        <v>51</v>
      </c>
      <c r="K252" s="10">
        <v>481</v>
      </c>
      <c r="L252" s="10">
        <v>2</v>
      </c>
      <c r="M252" s="10" t="s">
        <v>27</v>
      </c>
      <c r="N252" s="10">
        <v>64.3</v>
      </c>
      <c r="O252" s="10">
        <v>268</v>
      </c>
      <c r="P252" s="10">
        <v>1</v>
      </c>
      <c r="Q252" s="10" t="str">
        <f>+IF(Tabla2[[#This Row],[Demand_Forecast]]&lt;= 125,"Low demand",IF(Tabla2[[#This Row],[Demand_Forecast]] &gt;=285,"High demand","Mid demand"))</f>
        <v>Mid demand</v>
      </c>
    </row>
    <row r="253" spans="1:17" x14ac:dyDescent="0.25">
      <c r="A253" s="11">
        <v>45538.404143518521</v>
      </c>
      <c r="B253" s="10" t="s">
        <v>56</v>
      </c>
      <c r="C253" s="10" t="s">
        <v>538</v>
      </c>
      <c r="D253" s="10" t="s">
        <v>539</v>
      </c>
      <c r="E253" s="10">
        <v>318</v>
      </c>
      <c r="F253" s="10" t="s">
        <v>25</v>
      </c>
      <c r="G253" s="10">
        <v>29.8</v>
      </c>
      <c r="H253" s="10">
        <v>51.4</v>
      </c>
      <c r="I253" s="10" t="s">
        <v>38</v>
      </c>
      <c r="J253" s="10">
        <v>24</v>
      </c>
      <c r="K253" s="10">
        <v>216</v>
      </c>
      <c r="L253" s="10">
        <v>3</v>
      </c>
      <c r="M253" s="10" t="s">
        <v>27</v>
      </c>
      <c r="N253" s="10">
        <v>83.8</v>
      </c>
      <c r="O253" s="10">
        <v>221</v>
      </c>
      <c r="P253" s="10">
        <v>0</v>
      </c>
      <c r="Q253" s="10" t="str">
        <f>+IF(Tabla2[[#This Row],[Demand_Forecast]]&lt;= 125,"Low demand",IF(Tabla2[[#This Row],[Demand_Forecast]] &gt;=285,"High demand","Mid demand"))</f>
        <v>Mid demand</v>
      </c>
    </row>
    <row r="254" spans="1:17" x14ac:dyDescent="0.25">
      <c r="A254" s="11">
        <v>45294.472604166665</v>
      </c>
      <c r="B254" s="10" t="s">
        <v>16</v>
      </c>
      <c r="C254" s="10" t="s">
        <v>540</v>
      </c>
      <c r="D254" s="10" t="s">
        <v>541</v>
      </c>
      <c r="E254" s="10">
        <v>237</v>
      </c>
      <c r="F254" s="10" t="s">
        <v>34</v>
      </c>
      <c r="G254" s="10">
        <v>29.2</v>
      </c>
      <c r="H254" s="10">
        <v>56.2</v>
      </c>
      <c r="I254" s="10" t="s">
        <v>20</v>
      </c>
      <c r="J254" s="10">
        <v>15</v>
      </c>
      <c r="K254" s="10">
        <v>251</v>
      </c>
      <c r="L254" s="10">
        <v>3</v>
      </c>
      <c r="M254" s="10" t="s">
        <v>27</v>
      </c>
      <c r="N254" s="10">
        <v>76.3</v>
      </c>
      <c r="O254" s="10">
        <v>198</v>
      </c>
      <c r="P254" s="10">
        <v>0</v>
      </c>
      <c r="Q254" s="10" t="str">
        <f>+IF(Tabla2[[#This Row],[Demand_Forecast]]&lt;= 125,"Low demand",IF(Tabla2[[#This Row],[Demand_Forecast]] &gt;=285,"High demand","Mid demand"))</f>
        <v>Mid demand</v>
      </c>
    </row>
    <row r="255" spans="1:17" x14ac:dyDescent="0.25">
      <c r="A255" s="11">
        <v>45454.985335648147</v>
      </c>
      <c r="B255" s="10" t="s">
        <v>48</v>
      </c>
      <c r="C255" s="10" t="s">
        <v>542</v>
      </c>
      <c r="D255" s="10" t="s">
        <v>543</v>
      </c>
      <c r="E255" s="10">
        <v>459</v>
      </c>
      <c r="F255" s="10" t="s">
        <v>25</v>
      </c>
      <c r="G255" s="10">
        <v>27.2</v>
      </c>
      <c r="H255" s="10">
        <v>78.5</v>
      </c>
      <c r="I255" s="10" t="s">
        <v>26</v>
      </c>
      <c r="J255" s="10">
        <v>22</v>
      </c>
      <c r="K255" s="10">
        <v>323</v>
      </c>
      <c r="L255" s="10">
        <v>7</v>
      </c>
      <c r="M255" s="10" t="s">
        <v>21</v>
      </c>
      <c r="N255" s="10">
        <v>87.3</v>
      </c>
      <c r="O255" s="10">
        <v>271</v>
      </c>
      <c r="P255" s="10">
        <v>1</v>
      </c>
      <c r="Q255" s="10" t="str">
        <f>+IF(Tabla2[[#This Row],[Demand_Forecast]]&lt;= 125,"Low demand",IF(Tabla2[[#This Row],[Demand_Forecast]] &gt;=285,"High demand","Mid demand"))</f>
        <v>Mid demand</v>
      </c>
    </row>
    <row r="256" spans="1:17" x14ac:dyDescent="0.25">
      <c r="A256" s="11">
        <v>45295.98101851852</v>
      </c>
      <c r="B256" s="10" t="s">
        <v>22</v>
      </c>
      <c r="C256" s="10" t="s">
        <v>544</v>
      </c>
      <c r="D256" s="10" t="s">
        <v>545</v>
      </c>
      <c r="E256" s="10">
        <v>332</v>
      </c>
      <c r="F256" s="10" t="s">
        <v>25</v>
      </c>
      <c r="G256" s="10">
        <v>21.7</v>
      </c>
      <c r="H256" s="10">
        <v>58.9</v>
      </c>
      <c r="I256" s="10" t="s">
        <v>26</v>
      </c>
      <c r="J256" s="10">
        <v>33</v>
      </c>
      <c r="K256" s="10">
        <v>363</v>
      </c>
      <c r="L256" s="10">
        <v>6</v>
      </c>
      <c r="M256" s="10" t="s">
        <v>27</v>
      </c>
      <c r="N256" s="10">
        <v>90.1</v>
      </c>
      <c r="O256" s="10">
        <v>131</v>
      </c>
      <c r="P256" s="10">
        <v>1</v>
      </c>
      <c r="Q256" s="10" t="str">
        <f>+IF(Tabla2[[#This Row],[Demand_Forecast]]&lt;= 125,"Low demand",IF(Tabla2[[#This Row],[Demand_Forecast]] &gt;=285,"High demand","Mid demand"))</f>
        <v>Mid demand</v>
      </c>
    </row>
    <row r="257" spans="1:17" x14ac:dyDescent="0.25">
      <c r="A257" s="11">
        <v>45506.290520833332</v>
      </c>
      <c r="B257" s="10" t="s">
        <v>56</v>
      </c>
      <c r="C257" s="10" t="s">
        <v>546</v>
      </c>
      <c r="D257" s="10" t="s">
        <v>547</v>
      </c>
      <c r="E257" s="10">
        <v>133</v>
      </c>
      <c r="F257" s="10" t="s">
        <v>25</v>
      </c>
      <c r="G257" s="10">
        <v>28.7</v>
      </c>
      <c r="H257" s="10">
        <v>69.5</v>
      </c>
      <c r="I257" s="10" t="s">
        <v>20</v>
      </c>
      <c r="J257" s="10">
        <v>57</v>
      </c>
      <c r="K257" s="10">
        <v>342</v>
      </c>
      <c r="L257" s="10">
        <v>6</v>
      </c>
      <c r="M257" s="10" t="s">
        <v>35</v>
      </c>
      <c r="N257" s="10">
        <v>99.9</v>
      </c>
      <c r="O257" s="10">
        <v>261</v>
      </c>
      <c r="P257" s="10">
        <v>0</v>
      </c>
      <c r="Q257" s="10" t="str">
        <f>+IF(Tabla2[[#This Row],[Demand_Forecast]]&lt;= 125,"Low demand",IF(Tabla2[[#This Row],[Demand_Forecast]] &gt;=285,"High demand","Mid demand"))</f>
        <v>Mid demand</v>
      </c>
    </row>
    <row r="258" spans="1:17" x14ac:dyDescent="0.25">
      <c r="A258" s="11">
        <v>45533.088379629633</v>
      </c>
      <c r="B258" s="10" t="s">
        <v>56</v>
      </c>
      <c r="C258" s="10" t="s">
        <v>548</v>
      </c>
      <c r="D258" s="10" t="s">
        <v>549</v>
      </c>
      <c r="E258" s="10">
        <v>499</v>
      </c>
      <c r="F258" s="10" t="s">
        <v>19</v>
      </c>
      <c r="G258" s="10">
        <v>18.3</v>
      </c>
      <c r="H258" s="10">
        <v>75.099999999999994</v>
      </c>
      <c r="I258" s="10" t="s">
        <v>38</v>
      </c>
      <c r="J258" s="10">
        <v>22</v>
      </c>
      <c r="K258" s="10">
        <v>251</v>
      </c>
      <c r="L258" s="10">
        <v>1</v>
      </c>
      <c r="M258" s="10" t="s">
        <v>51</v>
      </c>
      <c r="N258" s="10">
        <v>79.2</v>
      </c>
      <c r="O258" s="10">
        <v>139</v>
      </c>
      <c r="P258" s="10">
        <v>1</v>
      </c>
      <c r="Q258" s="10" t="str">
        <f>+IF(Tabla2[[#This Row],[Demand_Forecast]]&lt;= 125,"Low demand",IF(Tabla2[[#This Row],[Demand_Forecast]] &gt;=285,"High demand","Mid demand"))</f>
        <v>Mid demand</v>
      </c>
    </row>
    <row r="259" spans="1:17" x14ac:dyDescent="0.25">
      <c r="A259" s="11">
        <v>45344.751388888886</v>
      </c>
      <c r="B259" s="10" t="s">
        <v>28</v>
      </c>
      <c r="C259" s="10" t="s">
        <v>550</v>
      </c>
      <c r="D259" s="10" t="s">
        <v>551</v>
      </c>
      <c r="E259" s="10">
        <v>350</v>
      </c>
      <c r="F259" s="10" t="s">
        <v>34</v>
      </c>
      <c r="G259" s="10">
        <v>25.3</v>
      </c>
      <c r="H259" s="10">
        <v>71.2</v>
      </c>
      <c r="I259" s="10" t="s">
        <v>20</v>
      </c>
      <c r="J259" s="10">
        <v>19</v>
      </c>
      <c r="K259" s="10">
        <v>177</v>
      </c>
      <c r="L259" s="10">
        <v>1</v>
      </c>
      <c r="M259" s="10" t="s">
        <v>21</v>
      </c>
      <c r="N259" s="10">
        <v>67</v>
      </c>
      <c r="O259" s="10">
        <v>209</v>
      </c>
      <c r="P259" s="10">
        <v>0</v>
      </c>
      <c r="Q259" s="10" t="str">
        <f>+IF(Tabla2[[#This Row],[Demand_Forecast]]&lt;= 125,"Low demand",IF(Tabla2[[#This Row],[Demand_Forecast]] &gt;=285,"High demand","Mid demand"))</f>
        <v>Mid demand</v>
      </c>
    </row>
    <row r="260" spans="1:17" x14ac:dyDescent="0.25">
      <c r="A260" s="11">
        <v>45464.855254629627</v>
      </c>
      <c r="B260" s="10" t="s">
        <v>16</v>
      </c>
      <c r="C260" s="10" t="s">
        <v>552</v>
      </c>
      <c r="D260" s="10" t="s">
        <v>553</v>
      </c>
      <c r="E260" s="10">
        <v>186</v>
      </c>
      <c r="F260" s="10" t="s">
        <v>19</v>
      </c>
      <c r="G260" s="10">
        <v>24.1</v>
      </c>
      <c r="H260" s="10">
        <v>72</v>
      </c>
      <c r="I260" s="10" t="s">
        <v>20</v>
      </c>
      <c r="J260" s="10">
        <v>26</v>
      </c>
      <c r="K260" s="10">
        <v>131</v>
      </c>
      <c r="L260" s="10">
        <v>4</v>
      </c>
      <c r="M260" s="10" t="s">
        <v>21</v>
      </c>
      <c r="N260" s="10">
        <v>68.2</v>
      </c>
      <c r="O260" s="10">
        <v>189</v>
      </c>
      <c r="P260" s="10">
        <v>1</v>
      </c>
      <c r="Q260" s="10" t="str">
        <f>+IF(Tabla2[[#This Row],[Demand_Forecast]]&lt;= 125,"Low demand",IF(Tabla2[[#This Row],[Demand_Forecast]] &gt;=285,"High demand","Mid demand"))</f>
        <v>Mid demand</v>
      </c>
    </row>
    <row r="261" spans="1:17" x14ac:dyDescent="0.25">
      <c r="A261" s="11">
        <v>45318.650173611109</v>
      </c>
      <c r="B261" s="10" t="s">
        <v>56</v>
      </c>
      <c r="C261" s="10" t="s">
        <v>554</v>
      </c>
      <c r="D261" s="10" t="s">
        <v>555</v>
      </c>
      <c r="E261" s="10">
        <v>403</v>
      </c>
      <c r="F261" s="10" t="s">
        <v>34</v>
      </c>
      <c r="G261" s="10">
        <v>23.1</v>
      </c>
      <c r="H261" s="10">
        <v>69.3</v>
      </c>
      <c r="I261" s="10" t="s">
        <v>20</v>
      </c>
      <c r="J261" s="10">
        <v>24</v>
      </c>
      <c r="K261" s="10">
        <v>487</v>
      </c>
      <c r="L261" s="10">
        <v>10</v>
      </c>
      <c r="M261" s="10" t="s">
        <v>51</v>
      </c>
      <c r="N261" s="10">
        <v>69.599999999999994</v>
      </c>
      <c r="O261" s="10">
        <v>104</v>
      </c>
      <c r="P261" s="10">
        <v>0</v>
      </c>
      <c r="Q261" s="10" t="str">
        <f>+IF(Tabla2[[#This Row],[Demand_Forecast]]&lt;= 125,"Low demand",IF(Tabla2[[#This Row],[Demand_Forecast]] &gt;=285,"High demand","Mid demand"))</f>
        <v>Low demand</v>
      </c>
    </row>
    <row r="262" spans="1:17" x14ac:dyDescent="0.25">
      <c r="A262" s="11">
        <v>45460.527928240743</v>
      </c>
      <c r="B262" s="10" t="s">
        <v>22</v>
      </c>
      <c r="C262" s="10" t="s">
        <v>556</v>
      </c>
      <c r="D262" s="10" t="s">
        <v>557</v>
      </c>
      <c r="E262" s="10">
        <v>193</v>
      </c>
      <c r="F262" s="10" t="s">
        <v>19</v>
      </c>
      <c r="G262" s="10">
        <v>22.1</v>
      </c>
      <c r="H262" s="10">
        <v>68.2</v>
      </c>
      <c r="I262" s="10" t="s">
        <v>26</v>
      </c>
      <c r="J262" s="10">
        <v>29</v>
      </c>
      <c r="K262" s="10">
        <v>231</v>
      </c>
      <c r="L262" s="10">
        <v>3</v>
      </c>
      <c r="M262" s="10" t="s">
        <v>27</v>
      </c>
      <c r="N262" s="10">
        <v>69.7</v>
      </c>
      <c r="O262" s="10">
        <v>198</v>
      </c>
      <c r="P262" s="10">
        <v>1</v>
      </c>
      <c r="Q262" s="10" t="str">
        <f>+IF(Tabla2[[#This Row],[Demand_Forecast]]&lt;= 125,"Low demand",IF(Tabla2[[#This Row],[Demand_Forecast]] &gt;=285,"High demand","Mid demand"))</f>
        <v>Mid demand</v>
      </c>
    </row>
    <row r="263" spans="1:17" x14ac:dyDescent="0.25">
      <c r="A263" s="11">
        <v>45382.604375000003</v>
      </c>
      <c r="B263" s="10" t="s">
        <v>48</v>
      </c>
      <c r="C263" s="10" t="s">
        <v>558</v>
      </c>
      <c r="D263" s="10" t="s">
        <v>559</v>
      </c>
      <c r="E263" s="10">
        <v>254</v>
      </c>
      <c r="F263" s="10" t="s">
        <v>34</v>
      </c>
      <c r="G263" s="10">
        <v>24</v>
      </c>
      <c r="H263" s="10">
        <v>78.599999999999994</v>
      </c>
      <c r="I263" s="10" t="s">
        <v>26</v>
      </c>
      <c r="J263" s="10">
        <v>24</v>
      </c>
      <c r="K263" s="10">
        <v>108</v>
      </c>
      <c r="L263" s="10">
        <v>3</v>
      </c>
      <c r="M263" s="10" t="s">
        <v>27</v>
      </c>
      <c r="N263" s="10">
        <v>66.599999999999994</v>
      </c>
      <c r="O263" s="10">
        <v>219</v>
      </c>
      <c r="P263" s="10">
        <v>1</v>
      </c>
      <c r="Q263" s="10" t="str">
        <f>+IF(Tabla2[[#This Row],[Demand_Forecast]]&lt;= 125,"Low demand",IF(Tabla2[[#This Row],[Demand_Forecast]] &gt;=285,"High demand","Mid demand"))</f>
        <v>Mid demand</v>
      </c>
    </row>
    <row r="264" spans="1:17" x14ac:dyDescent="0.25">
      <c r="A264" s="11">
        <v>45374.340497685182</v>
      </c>
      <c r="B264" s="10" t="s">
        <v>31</v>
      </c>
      <c r="C264" s="10" t="s">
        <v>560</v>
      </c>
      <c r="D264" s="10" t="s">
        <v>561</v>
      </c>
      <c r="E264" s="10">
        <v>368</v>
      </c>
      <c r="F264" s="10" t="s">
        <v>34</v>
      </c>
      <c r="G264" s="10">
        <v>26.1</v>
      </c>
      <c r="H264" s="10">
        <v>71</v>
      </c>
      <c r="I264" s="10" t="s">
        <v>38</v>
      </c>
      <c r="J264" s="10">
        <v>58</v>
      </c>
      <c r="K264" s="10">
        <v>336</v>
      </c>
      <c r="L264" s="10">
        <v>2</v>
      </c>
      <c r="M264" s="10" t="s">
        <v>51</v>
      </c>
      <c r="N264" s="10">
        <v>86.5</v>
      </c>
      <c r="O264" s="10">
        <v>259</v>
      </c>
      <c r="P264" s="10">
        <v>0</v>
      </c>
      <c r="Q264" s="10" t="str">
        <f>+IF(Tabla2[[#This Row],[Demand_Forecast]]&lt;= 125,"Low demand",IF(Tabla2[[#This Row],[Demand_Forecast]] &gt;=285,"High demand","Mid demand"))</f>
        <v>Mid demand</v>
      </c>
    </row>
    <row r="265" spans="1:17" x14ac:dyDescent="0.25">
      <c r="A265" s="11">
        <v>45567.633333333331</v>
      </c>
      <c r="B265" s="10" t="s">
        <v>22</v>
      </c>
      <c r="C265" s="10" t="s">
        <v>562</v>
      </c>
      <c r="D265" s="10" t="s">
        <v>563</v>
      </c>
      <c r="E265" s="10">
        <v>283</v>
      </c>
      <c r="F265" s="10" t="s">
        <v>19</v>
      </c>
      <c r="G265" s="10">
        <v>28.5</v>
      </c>
      <c r="H265" s="10">
        <v>50.7</v>
      </c>
      <c r="I265" s="10" t="s">
        <v>20</v>
      </c>
      <c r="J265" s="10">
        <v>11</v>
      </c>
      <c r="K265" s="10">
        <v>495</v>
      </c>
      <c r="L265" s="10">
        <v>10</v>
      </c>
      <c r="M265" s="10" t="s">
        <v>27</v>
      </c>
      <c r="N265" s="10">
        <v>88.1</v>
      </c>
      <c r="O265" s="10">
        <v>200</v>
      </c>
      <c r="P265" s="10">
        <v>1</v>
      </c>
      <c r="Q265" s="10" t="str">
        <f>+IF(Tabla2[[#This Row],[Demand_Forecast]]&lt;= 125,"Low demand",IF(Tabla2[[#This Row],[Demand_Forecast]] &gt;=285,"High demand","Mid demand"))</f>
        <v>Mid demand</v>
      </c>
    </row>
    <row r="266" spans="1:17" x14ac:dyDescent="0.25">
      <c r="A266" s="11">
        <v>45501.775057870371</v>
      </c>
      <c r="B266" s="10" t="s">
        <v>28</v>
      </c>
      <c r="C266" s="10" t="s">
        <v>564</v>
      </c>
      <c r="D266" s="10" t="s">
        <v>565</v>
      </c>
      <c r="E266" s="10">
        <v>164</v>
      </c>
      <c r="F266" s="10" t="s">
        <v>34</v>
      </c>
      <c r="G266" s="10">
        <v>25.5</v>
      </c>
      <c r="H266" s="10">
        <v>67.599999999999994</v>
      </c>
      <c r="I266" s="10" t="s">
        <v>26</v>
      </c>
      <c r="J266" s="10">
        <v>20</v>
      </c>
      <c r="K266" s="10">
        <v>188</v>
      </c>
      <c r="L266" s="10">
        <v>7</v>
      </c>
      <c r="M266" s="10" t="s">
        <v>51</v>
      </c>
      <c r="N266" s="10">
        <v>60.1</v>
      </c>
      <c r="O266" s="10">
        <v>268</v>
      </c>
      <c r="P266" s="10">
        <v>1</v>
      </c>
      <c r="Q266" s="10" t="str">
        <f>+IF(Tabla2[[#This Row],[Demand_Forecast]]&lt;= 125,"Low demand",IF(Tabla2[[#This Row],[Demand_Forecast]] &gt;=285,"High demand","Mid demand"))</f>
        <v>Mid demand</v>
      </c>
    </row>
    <row r="267" spans="1:17" x14ac:dyDescent="0.25">
      <c r="A267" s="11">
        <v>45302.638807870368</v>
      </c>
      <c r="B267" s="10" t="s">
        <v>64</v>
      </c>
      <c r="C267" s="10" t="s">
        <v>566</v>
      </c>
      <c r="D267" s="10" t="s">
        <v>567</v>
      </c>
      <c r="E267" s="10">
        <v>419</v>
      </c>
      <c r="F267" s="10" t="s">
        <v>34</v>
      </c>
      <c r="G267" s="10">
        <v>22.1</v>
      </c>
      <c r="H267" s="10">
        <v>74.7</v>
      </c>
      <c r="I267" s="10" t="s">
        <v>20</v>
      </c>
      <c r="J267" s="10">
        <v>31</v>
      </c>
      <c r="K267" s="10">
        <v>236</v>
      </c>
      <c r="L267" s="10">
        <v>10</v>
      </c>
      <c r="M267" s="10" t="s">
        <v>35</v>
      </c>
      <c r="N267" s="10">
        <v>95.9</v>
      </c>
      <c r="O267" s="10">
        <v>182</v>
      </c>
      <c r="P267" s="10">
        <v>0</v>
      </c>
      <c r="Q267" s="10" t="str">
        <f>+IF(Tabla2[[#This Row],[Demand_Forecast]]&lt;= 125,"Low demand",IF(Tabla2[[#This Row],[Demand_Forecast]] &gt;=285,"High demand","Mid demand"))</f>
        <v>Mid demand</v>
      </c>
    </row>
    <row r="268" spans="1:17" x14ac:dyDescent="0.25">
      <c r="A268" s="11">
        <v>45654.787164351852</v>
      </c>
      <c r="B268" s="10" t="s">
        <v>31</v>
      </c>
      <c r="C268" s="10" t="s">
        <v>568</v>
      </c>
      <c r="D268" s="10" t="s">
        <v>569</v>
      </c>
      <c r="E268" s="10">
        <v>489</v>
      </c>
      <c r="F268" s="10" t="s">
        <v>34</v>
      </c>
      <c r="G268" s="10">
        <v>25</v>
      </c>
      <c r="H268" s="10">
        <v>69.400000000000006</v>
      </c>
      <c r="I268" s="10" t="s">
        <v>38</v>
      </c>
      <c r="J268" s="10">
        <v>30</v>
      </c>
      <c r="K268" s="10">
        <v>345</v>
      </c>
      <c r="L268" s="10">
        <v>8</v>
      </c>
      <c r="M268" s="10" t="s">
        <v>21</v>
      </c>
      <c r="N268" s="10">
        <v>66.099999999999994</v>
      </c>
      <c r="O268" s="10">
        <v>128</v>
      </c>
      <c r="P268" s="10">
        <v>0</v>
      </c>
      <c r="Q268" s="10" t="str">
        <f>+IF(Tabla2[[#This Row],[Demand_Forecast]]&lt;= 125,"Low demand",IF(Tabla2[[#This Row],[Demand_Forecast]] &gt;=285,"High demand","Mid demand"))</f>
        <v>Mid demand</v>
      </c>
    </row>
    <row r="269" spans="1:17" x14ac:dyDescent="0.25">
      <c r="A269" s="11">
        <v>45542.534907407404</v>
      </c>
      <c r="B269" s="10" t="s">
        <v>48</v>
      </c>
      <c r="C269" s="10" t="s">
        <v>570</v>
      </c>
      <c r="D269" s="10" t="s">
        <v>571</v>
      </c>
      <c r="E269" s="10">
        <v>498</v>
      </c>
      <c r="F269" s="10" t="s">
        <v>19</v>
      </c>
      <c r="G269" s="10">
        <v>20.2</v>
      </c>
      <c r="H269" s="10">
        <v>55</v>
      </c>
      <c r="I269" s="10" t="s">
        <v>38</v>
      </c>
      <c r="J269" s="10">
        <v>51</v>
      </c>
      <c r="K269" s="10">
        <v>147</v>
      </c>
      <c r="L269" s="10">
        <v>8</v>
      </c>
      <c r="M269" s="10" t="s">
        <v>27</v>
      </c>
      <c r="N269" s="10">
        <v>97.7</v>
      </c>
      <c r="O269" s="10">
        <v>247</v>
      </c>
      <c r="P269" s="10">
        <v>1</v>
      </c>
      <c r="Q269" s="10" t="str">
        <f>+IF(Tabla2[[#This Row],[Demand_Forecast]]&lt;= 125,"Low demand",IF(Tabla2[[#This Row],[Demand_Forecast]] &gt;=285,"High demand","Mid demand"))</f>
        <v>Mid demand</v>
      </c>
    </row>
    <row r="270" spans="1:17" x14ac:dyDescent="0.25">
      <c r="A270" s="11">
        <v>45635.468773148146</v>
      </c>
      <c r="B270" s="10" t="s">
        <v>28</v>
      </c>
      <c r="C270" s="10" t="s">
        <v>572</v>
      </c>
      <c r="D270" s="10" t="s">
        <v>573</v>
      </c>
      <c r="E270" s="10">
        <v>244</v>
      </c>
      <c r="F270" s="10" t="s">
        <v>19</v>
      </c>
      <c r="G270" s="10">
        <v>21.2</v>
      </c>
      <c r="H270" s="10">
        <v>61.8</v>
      </c>
      <c r="I270" s="10" t="s">
        <v>20</v>
      </c>
      <c r="J270" s="10">
        <v>24</v>
      </c>
      <c r="K270" s="10">
        <v>181</v>
      </c>
      <c r="L270" s="10">
        <v>2</v>
      </c>
      <c r="M270" s="10" t="s">
        <v>35</v>
      </c>
      <c r="N270" s="10">
        <v>70.099999999999994</v>
      </c>
      <c r="O270" s="10">
        <v>238</v>
      </c>
      <c r="P270" s="10">
        <v>1</v>
      </c>
      <c r="Q270" s="10" t="str">
        <f>+IF(Tabla2[[#This Row],[Demand_Forecast]]&lt;= 125,"Low demand",IF(Tabla2[[#This Row],[Demand_Forecast]] &gt;=285,"High demand","Mid demand"))</f>
        <v>Mid demand</v>
      </c>
    </row>
    <row r="271" spans="1:17" x14ac:dyDescent="0.25">
      <c r="A271" s="11">
        <v>45570.773611111108</v>
      </c>
      <c r="B271" s="10" t="s">
        <v>41</v>
      </c>
      <c r="C271" s="10" t="s">
        <v>574</v>
      </c>
      <c r="D271" s="10" t="s">
        <v>575</v>
      </c>
      <c r="E271" s="10">
        <v>488</v>
      </c>
      <c r="F271" s="10" t="s">
        <v>34</v>
      </c>
      <c r="G271" s="10">
        <v>21.5</v>
      </c>
      <c r="H271" s="10">
        <v>50.3</v>
      </c>
      <c r="I271" s="10" t="s">
        <v>26</v>
      </c>
      <c r="J271" s="10">
        <v>32</v>
      </c>
      <c r="K271" s="10">
        <v>120</v>
      </c>
      <c r="L271" s="10">
        <v>1</v>
      </c>
      <c r="M271" s="10" t="s">
        <v>51</v>
      </c>
      <c r="N271" s="10">
        <v>79.099999999999994</v>
      </c>
      <c r="O271" s="10">
        <v>111</v>
      </c>
      <c r="P271" s="10">
        <v>1</v>
      </c>
      <c r="Q271" s="10" t="str">
        <f>+IF(Tabla2[[#This Row],[Demand_Forecast]]&lt;= 125,"Low demand",IF(Tabla2[[#This Row],[Demand_Forecast]] &gt;=285,"High demand","Mid demand"))</f>
        <v>Low demand</v>
      </c>
    </row>
    <row r="272" spans="1:17" x14ac:dyDescent="0.25">
      <c r="A272" s="11">
        <v>45404.455081018517</v>
      </c>
      <c r="B272" s="10" t="s">
        <v>31</v>
      </c>
      <c r="C272" s="10" t="s">
        <v>576</v>
      </c>
      <c r="D272" s="10" t="s">
        <v>577</v>
      </c>
      <c r="E272" s="10">
        <v>152</v>
      </c>
      <c r="F272" s="10" t="s">
        <v>19</v>
      </c>
      <c r="G272" s="10">
        <v>21.2</v>
      </c>
      <c r="H272" s="10">
        <v>70.3</v>
      </c>
      <c r="I272" s="10" t="s">
        <v>38</v>
      </c>
      <c r="J272" s="10">
        <v>10</v>
      </c>
      <c r="K272" s="10">
        <v>467</v>
      </c>
      <c r="L272" s="10">
        <v>10</v>
      </c>
      <c r="M272" s="10" t="s">
        <v>21</v>
      </c>
      <c r="N272" s="10">
        <v>61.5</v>
      </c>
      <c r="O272" s="10">
        <v>269</v>
      </c>
      <c r="P272" s="10">
        <v>1</v>
      </c>
      <c r="Q272" s="10" t="str">
        <f>+IF(Tabla2[[#This Row],[Demand_Forecast]]&lt;= 125,"Low demand",IF(Tabla2[[#This Row],[Demand_Forecast]] &gt;=285,"High demand","Mid demand"))</f>
        <v>Mid demand</v>
      </c>
    </row>
    <row r="273" spans="1:17" x14ac:dyDescent="0.25">
      <c r="A273" s="11">
        <v>45349.906805555554</v>
      </c>
      <c r="B273" s="10" t="s">
        <v>28</v>
      </c>
      <c r="C273" s="10" t="s">
        <v>578</v>
      </c>
      <c r="D273" s="10" t="s">
        <v>579</v>
      </c>
      <c r="E273" s="10">
        <v>168</v>
      </c>
      <c r="F273" s="10" t="s">
        <v>19</v>
      </c>
      <c r="G273" s="10">
        <v>23.2</v>
      </c>
      <c r="H273" s="10">
        <v>71.5</v>
      </c>
      <c r="I273" s="10" t="s">
        <v>38</v>
      </c>
      <c r="J273" s="10">
        <v>23</v>
      </c>
      <c r="K273" s="10">
        <v>292</v>
      </c>
      <c r="L273" s="10">
        <v>3</v>
      </c>
      <c r="M273" s="10" t="s">
        <v>35</v>
      </c>
      <c r="N273" s="10">
        <v>98.8</v>
      </c>
      <c r="O273" s="10">
        <v>102</v>
      </c>
      <c r="P273" s="10">
        <v>1</v>
      </c>
      <c r="Q273" s="10" t="str">
        <f>+IF(Tabla2[[#This Row],[Demand_Forecast]]&lt;= 125,"Low demand",IF(Tabla2[[#This Row],[Demand_Forecast]] &gt;=285,"High demand","Mid demand"))</f>
        <v>Low demand</v>
      </c>
    </row>
    <row r="274" spans="1:17" x14ac:dyDescent="0.25">
      <c r="A274" s="11">
        <v>45435.919247685182</v>
      </c>
      <c r="B274" s="10" t="s">
        <v>64</v>
      </c>
      <c r="C274" s="10" t="s">
        <v>580</v>
      </c>
      <c r="D274" s="10" t="s">
        <v>581</v>
      </c>
      <c r="E274" s="10">
        <v>268</v>
      </c>
      <c r="F274" s="10" t="s">
        <v>34</v>
      </c>
      <c r="G274" s="10">
        <v>23.9</v>
      </c>
      <c r="H274" s="10">
        <v>79.2</v>
      </c>
      <c r="I274" s="10" t="s">
        <v>38</v>
      </c>
      <c r="J274" s="10">
        <v>41</v>
      </c>
      <c r="K274" s="10">
        <v>295</v>
      </c>
      <c r="L274" s="10">
        <v>9</v>
      </c>
      <c r="M274" s="10" t="s">
        <v>51</v>
      </c>
      <c r="N274" s="10">
        <v>69.5</v>
      </c>
      <c r="O274" s="10">
        <v>146</v>
      </c>
      <c r="P274" s="10">
        <v>0</v>
      </c>
      <c r="Q274" s="10" t="str">
        <f>+IF(Tabla2[[#This Row],[Demand_Forecast]]&lt;= 125,"Low demand",IF(Tabla2[[#This Row],[Demand_Forecast]] &gt;=285,"High demand","Mid demand"))</f>
        <v>Mid demand</v>
      </c>
    </row>
    <row r="275" spans="1:17" x14ac:dyDescent="0.25">
      <c r="A275" s="11">
        <v>45293.930347222224</v>
      </c>
      <c r="B275" s="10" t="s">
        <v>16</v>
      </c>
      <c r="C275" s="10" t="s">
        <v>582</v>
      </c>
      <c r="D275" s="10" t="s">
        <v>583</v>
      </c>
      <c r="E275" s="10">
        <v>341</v>
      </c>
      <c r="F275" s="10" t="s">
        <v>25</v>
      </c>
      <c r="G275" s="10">
        <v>21.3</v>
      </c>
      <c r="H275" s="10">
        <v>76.2</v>
      </c>
      <c r="I275" s="10" t="s">
        <v>26</v>
      </c>
      <c r="J275" s="10">
        <v>58</v>
      </c>
      <c r="K275" s="10">
        <v>429</v>
      </c>
      <c r="L275" s="10">
        <v>3</v>
      </c>
      <c r="M275" s="10" t="s">
        <v>21</v>
      </c>
      <c r="N275" s="10">
        <v>78.599999999999994</v>
      </c>
      <c r="O275" s="10">
        <v>178</v>
      </c>
      <c r="P275" s="10">
        <v>1</v>
      </c>
      <c r="Q275" s="10" t="str">
        <f>+IF(Tabla2[[#This Row],[Demand_Forecast]]&lt;= 125,"Low demand",IF(Tabla2[[#This Row],[Demand_Forecast]] &gt;=285,"High demand","Mid demand"))</f>
        <v>Mid demand</v>
      </c>
    </row>
    <row r="276" spans="1:17" x14ac:dyDescent="0.25">
      <c r="A276" s="11">
        <v>45564.272164351853</v>
      </c>
      <c r="B276" s="10" t="s">
        <v>16</v>
      </c>
      <c r="C276" s="10" t="s">
        <v>584</v>
      </c>
      <c r="D276" s="10" t="s">
        <v>585</v>
      </c>
      <c r="E276" s="10">
        <v>166</v>
      </c>
      <c r="F276" s="10" t="s">
        <v>34</v>
      </c>
      <c r="G276" s="10">
        <v>28.9</v>
      </c>
      <c r="H276" s="10">
        <v>50.6</v>
      </c>
      <c r="I276" s="10" t="s">
        <v>26</v>
      </c>
      <c r="J276" s="10">
        <v>58</v>
      </c>
      <c r="K276" s="10">
        <v>197</v>
      </c>
      <c r="L276" s="10">
        <v>3</v>
      </c>
      <c r="M276" s="10" t="s">
        <v>35</v>
      </c>
      <c r="N276" s="10">
        <v>88.8</v>
      </c>
      <c r="O276" s="10">
        <v>282</v>
      </c>
      <c r="P276" s="10">
        <v>1</v>
      </c>
      <c r="Q276" s="10" t="str">
        <f>+IF(Tabla2[[#This Row],[Demand_Forecast]]&lt;= 125,"Low demand",IF(Tabla2[[#This Row],[Demand_Forecast]] &gt;=285,"High demand","Mid demand"))</f>
        <v>Mid demand</v>
      </c>
    </row>
    <row r="277" spans="1:17" x14ac:dyDescent="0.25">
      <c r="A277" s="11">
        <v>45644.356921296298</v>
      </c>
      <c r="B277" s="10" t="s">
        <v>16</v>
      </c>
      <c r="C277" s="10" t="s">
        <v>586</v>
      </c>
      <c r="D277" s="10" t="s">
        <v>587</v>
      </c>
      <c r="E277" s="10">
        <v>483</v>
      </c>
      <c r="F277" s="10" t="s">
        <v>19</v>
      </c>
      <c r="G277" s="10">
        <v>21.4</v>
      </c>
      <c r="H277" s="10">
        <v>51.2</v>
      </c>
      <c r="I277" s="10" t="s">
        <v>26</v>
      </c>
      <c r="J277" s="10">
        <v>33</v>
      </c>
      <c r="K277" s="10">
        <v>249</v>
      </c>
      <c r="L277" s="10">
        <v>2</v>
      </c>
      <c r="M277" s="10" t="s">
        <v>21</v>
      </c>
      <c r="N277" s="10">
        <v>67.599999999999994</v>
      </c>
      <c r="O277" s="10">
        <v>165</v>
      </c>
      <c r="P277" s="10">
        <v>1</v>
      </c>
      <c r="Q277" s="10" t="str">
        <f>+IF(Tabla2[[#This Row],[Demand_Forecast]]&lt;= 125,"Low demand",IF(Tabla2[[#This Row],[Demand_Forecast]] &gt;=285,"High demand","Mid demand"))</f>
        <v>Mid demand</v>
      </c>
    </row>
    <row r="278" spans="1:17" x14ac:dyDescent="0.25">
      <c r="A278" s="11">
        <v>45515.436782407407</v>
      </c>
      <c r="B278" s="10" t="s">
        <v>28</v>
      </c>
      <c r="C278" s="10" t="s">
        <v>588</v>
      </c>
      <c r="D278" s="10" t="s">
        <v>589</v>
      </c>
      <c r="E278" s="10">
        <v>232</v>
      </c>
      <c r="F278" s="10" t="s">
        <v>34</v>
      </c>
      <c r="G278" s="10">
        <v>22.3</v>
      </c>
      <c r="H278" s="10">
        <v>73.3</v>
      </c>
      <c r="I278" s="10" t="s">
        <v>26</v>
      </c>
      <c r="J278" s="10">
        <v>19</v>
      </c>
      <c r="K278" s="10">
        <v>332</v>
      </c>
      <c r="L278" s="10">
        <v>4</v>
      </c>
      <c r="M278" s="10" t="s">
        <v>21</v>
      </c>
      <c r="N278" s="10">
        <v>78.599999999999994</v>
      </c>
      <c r="O278" s="10">
        <v>135</v>
      </c>
      <c r="P278" s="10">
        <v>1</v>
      </c>
      <c r="Q278" s="10" t="str">
        <f>+IF(Tabla2[[#This Row],[Demand_Forecast]]&lt;= 125,"Low demand",IF(Tabla2[[#This Row],[Demand_Forecast]] &gt;=285,"High demand","Mid demand"))</f>
        <v>Mid demand</v>
      </c>
    </row>
    <row r="279" spans="1:17" x14ac:dyDescent="0.25">
      <c r="A279" s="11">
        <v>45375.955925925926</v>
      </c>
      <c r="B279" s="10" t="s">
        <v>61</v>
      </c>
      <c r="C279" s="10" t="s">
        <v>590</v>
      </c>
      <c r="D279" s="10" t="s">
        <v>591</v>
      </c>
      <c r="E279" s="10">
        <v>392</v>
      </c>
      <c r="F279" s="10" t="s">
        <v>25</v>
      </c>
      <c r="G279" s="10">
        <v>20.7</v>
      </c>
      <c r="H279" s="10">
        <v>62.8</v>
      </c>
      <c r="I279" s="10" t="s">
        <v>20</v>
      </c>
      <c r="J279" s="10">
        <v>12</v>
      </c>
      <c r="K279" s="10">
        <v>417</v>
      </c>
      <c r="L279" s="10">
        <v>2</v>
      </c>
      <c r="M279" s="10" t="s">
        <v>27</v>
      </c>
      <c r="N279" s="10">
        <v>69.3</v>
      </c>
      <c r="O279" s="10">
        <v>109</v>
      </c>
      <c r="P279" s="10">
        <v>0</v>
      </c>
      <c r="Q279" s="10" t="str">
        <f>+IF(Tabla2[[#This Row],[Demand_Forecast]]&lt;= 125,"Low demand",IF(Tabla2[[#This Row],[Demand_Forecast]] &gt;=285,"High demand","Mid demand"))</f>
        <v>Low demand</v>
      </c>
    </row>
    <row r="280" spans="1:17" x14ac:dyDescent="0.25">
      <c r="A280" s="11">
        <v>45445.016712962963</v>
      </c>
      <c r="B280" s="10" t="s">
        <v>56</v>
      </c>
      <c r="C280" s="10" t="s">
        <v>592</v>
      </c>
      <c r="D280" s="10" t="s">
        <v>593</v>
      </c>
      <c r="E280" s="10">
        <v>480</v>
      </c>
      <c r="F280" s="10" t="s">
        <v>25</v>
      </c>
      <c r="G280" s="10">
        <v>24.9</v>
      </c>
      <c r="H280" s="10">
        <v>77.8</v>
      </c>
      <c r="I280" s="10" t="s">
        <v>26</v>
      </c>
      <c r="J280" s="10">
        <v>53</v>
      </c>
      <c r="K280" s="10">
        <v>318</v>
      </c>
      <c r="L280" s="10">
        <v>3</v>
      </c>
      <c r="M280" s="10" t="s">
        <v>51</v>
      </c>
      <c r="N280" s="10">
        <v>69.5</v>
      </c>
      <c r="O280" s="10">
        <v>181</v>
      </c>
      <c r="P280" s="10">
        <v>1</v>
      </c>
      <c r="Q280" s="10" t="str">
        <f>+IF(Tabla2[[#This Row],[Demand_Forecast]]&lt;= 125,"Low demand",IF(Tabla2[[#This Row],[Demand_Forecast]] &gt;=285,"High demand","Mid demand"))</f>
        <v>Mid demand</v>
      </c>
    </row>
    <row r="281" spans="1:17" x14ac:dyDescent="0.25">
      <c r="A281" s="11">
        <v>45324.157569444447</v>
      </c>
      <c r="B281" s="10" t="s">
        <v>61</v>
      </c>
      <c r="C281" s="10" t="s">
        <v>594</v>
      </c>
      <c r="D281" s="10" t="s">
        <v>595</v>
      </c>
      <c r="E281" s="10">
        <v>368</v>
      </c>
      <c r="F281" s="10" t="s">
        <v>34</v>
      </c>
      <c r="G281" s="10">
        <v>28</v>
      </c>
      <c r="H281" s="10">
        <v>53.4</v>
      </c>
      <c r="I281" s="10" t="s">
        <v>20</v>
      </c>
      <c r="J281" s="10">
        <v>42</v>
      </c>
      <c r="K281" s="10">
        <v>182</v>
      </c>
      <c r="L281" s="10">
        <v>5</v>
      </c>
      <c r="M281" s="10" t="s">
        <v>21</v>
      </c>
      <c r="N281" s="10">
        <v>77.5</v>
      </c>
      <c r="O281" s="10">
        <v>205</v>
      </c>
      <c r="P281" s="10">
        <v>0</v>
      </c>
      <c r="Q281" s="10" t="str">
        <f>+IF(Tabla2[[#This Row],[Demand_Forecast]]&lt;= 125,"Low demand",IF(Tabla2[[#This Row],[Demand_Forecast]] &gt;=285,"High demand","Mid demand"))</f>
        <v>Mid demand</v>
      </c>
    </row>
    <row r="282" spans="1:17" x14ac:dyDescent="0.25">
      <c r="A282" s="11">
        <v>45567.539421296293</v>
      </c>
      <c r="B282" s="10" t="s">
        <v>22</v>
      </c>
      <c r="C282" s="10" t="s">
        <v>596</v>
      </c>
      <c r="D282" s="10" t="s">
        <v>597</v>
      </c>
      <c r="E282" s="10">
        <v>373</v>
      </c>
      <c r="F282" s="10" t="s">
        <v>25</v>
      </c>
      <c r="G282" s="10">
        <v>25</v>
      </c>
      <c r="H282" s="10">
        <v>62.4</v>
      </c>
      <c r="I282" s="10" t="s">
        <v>38</v>
      </c>
      <c r="J282" s="10">
        <v>20</v>
      </c>
      <c r="K282" s="10">
        <v>125</v>
      </c>
      <c r="L282" s="10">
        <v>1</v>
      </c>
      <c r="M282" s="10" t="s">
        <v>51</v>
      </c>
      <c r="N282" s="10">
        <v>91.2</v>
      </c>
      <c r="O282" s="10">
        <v>160</v>
      </c>
      <c r="P282" s="10">
        <v>0</v>
      </c>
      <c r="Q282" s="10" t="str">
        <f>+IF(Tabla2[[#This Row],[Demand_Forecast]]&lt;= 125,"Low demand",IF(Tabla2[[#This Row],[Demand_Forecast]] &gt;=285,"High demand","Mid demand"))</f>
        <v>Mid demand</v>
      </c>
    </row>
    <row r="283" spans="1:17" x14ac:dyDescent="0.25">
      <c r="A283" s="11">
        <v>45560.513969907406</v>
      </c>
      <c r="B283" s="10" t="s">
        <v>48</v>
      </c>
      <c r="C283" s="10" t="s">
        <v>598</v>
      </c>
      <c r="D283" s="10" t="s">
        <v>599</v>
      </c>
      <c r="E283" s="10">
        <v>154</v>
      </c>
      <c r="F283" s="10" t="s">
        <v>34</v>
      </c>
      <c r="G283" s="10">
        <v>22</v>
      </c>
      <c r="H283" s="10">
        <v>53.3</v>
      </c>
      <c r="I283" s="10" t="s">
        <v>26</v>
      </c>
      <c r="J283" s="10">
        <v>50</v>
      </c>
      <c r="K283" s="10">
        <v>208</v>
      </c>
      <c r="L283" s="10">
        <v>4</v>
      </c>
      <c r="M283" s="10" t="s">
        <v>21</v>
      </c>
      <c r="N283" s="10">
        <v>85</v>
      </c>
      <c r="O283" s="10">
        <v>231</v>
      </c>
      <c r="P283" s="10">
        <v>1</v>
      </c>
      <c r="Q283" s="10" t="str">
        <f>+IF(Tabla2[[#This Row],[Demand_Forecast]]&lt;= 125,"Low demand",IF(Tabla2[[#This Row],[Demand_Forecast]] &gt;=285,"High demand","Mid demand"))</f>
        <v>Mid demand</v>
      </c>
    </row>
    <row r="284" spans="1:17" x14ac:dyDescent="0.25">
      <c r="A284" s="11">
        <v>45346.34107638889</v>
      </c>
      <c r="B284" s="10" t="s">
        <v>61</v>
      </c>
      <c r="C284" s="10" t="s">
        <v>600</v>
      </c>
      <c r="D284" s="10" t="s">
        <v>601</v>
      </c>
      <c r="E284" s="10">
        <v>184</v>
      </c>
      <c r="F284" s="10" t="s">
        <v>34</v>
      </c>
      <c r="G284" s="10">
        <v>19.2</v>
      </c>
      <c r="H284" s="10">
        <v>55.3</v>
      </c>
      <c r="I284" s="10" t="s">
        <v>26</v>
      </c>
      <c r="J284" s="10">
        <v>14</v>
      </c>
      <c r="K284" s="10">
        <v>450</v>
      </c>
      <c r="L284" s="10">
        <v>3</v>
      </c>
      <c r="M284" s="10" t="s">
        <v>21</v>
      </c>
      <c r="N284" s="10">
        <v>86.7</v>
      </c>
      <c r="O284" s="10">
        <v>247</v>
      </c>
      <c r="P284" s="10">
        <v>1</v>
      </c>
      <c r="Q284" s="10" t="str">
        <f>+IF(Tabla2[[#This Row],[Demand_Forecast]]&lt;= 125,"Low demand",IF(Tabla2[[#This Row],[Demand_Forecast]] &gt;=285,"High demand","Mid demand"))</f>
        <v>Mid demand</v>
      </c>
    </row>
    <row r="285" spans="1:17" x14ac:dyDescent="0.25">
      <c r="A285" s="11">
        <v>45593.416898148149</v>
      </c>
      <c r="B285" s="10" t="s">
        <v>31</v>
      </c>
      <c r="C285" s="10" t="s">
        <v>602</v>
      </c>
      <c r="D285" s="10" t="s">
        <v>603</v>
      </c>
      <c r="E285" s="10">
        <v>204</v>
      </c>
      <c r="F285" s="10" t="s">
        <v>34</v>
      </c>
      <c r="G285" s="10">
        <v>21.4</v>
      </c>
      <c r="H285" s="10">
        <v>61.5</v>
      </c>
      <c r="I285" s="10" t="s">
        <v>38</v>
      </c>
      <c r="J285" s="10">
        <v>51</v>
      </c>
      <c r="K285" s="10">
        <v>490</v>
      </c>
      <c r="L285" s="10">
        <v>5</v>
      </c>
      <c r="M285" s="10" t="s">
        <v>51</v>
      </c>
      <c r="N285" s="10">
        <v>68</v>
      </c>
      <c r="O285" s="10">
        <v>288</v>
      </c>
      <c r="P285" s="10">
        <v>0</v>
      </c>
      <c r="Q285" s="10" t="str">
        <f>+IF(Tabla2[[#This Row],[Demand_Forecast]]&lt;= 125,"Low demand",IF(Tabla2[[#This Row],[Demand_Forecast]] &gt;=285,"High demand","Mid demand"))</f>
        <v>High demand</v>
      </c>
    </row>
    <row r="286" spans="1:17" x14ac:dyDescent="0.25">
      <c r="A286" s="11">
        <v>45443.972581018519</v>
      </c>
      <c r="B286" s="10" t="s">
        <v>48</v>
      </c>
      <c r="C286" s="10" t="s">
        <v>604</v>
      </c>
      <c r="D286" s="10" t="s">
        <v>605</v>
      </c>
      <c r="E286" s="10">
        <v>227</v>
      </c>
      <c r="F286" s="10" t="s">
        <v>34</v>
      </c>
      <c r="G286" s="10">
        <v>26.1</v>
      </c>
      <c r="H286" s="10">
        <v>65.7</v>
      </c>
      <c r="I286" s="10" t="s">
        <v>20</v>
      </c>
      <c r="J286" s="10">
        <v>47</v>
      </c>
      <c r="K286" s="10">
        <v>247</v>
      </c>
      <c r="L286" s="10">
        <v>8</v>
      </c>
      <c r="M286" s="10" t="s">
        <v>35</v>
      </c>
      <c r="N286" s="10">
        <v>77.8</v>
      </c>
      <c r="O286" s="10">
        <v>135</v>
      </c>
      <c r="P286" s="10">
        <v>0</v>
      </c>
      <c r="Q286" s="10" t="str">
        <f>+IF(Tabla2[[#This Row],[Demand_Forecast]]&lt;= 125,"Low demand",IF(Tabla2[[#This Row],[Demand_Forecast]] &gt;=285,"High demand","Mid demand"))</f>
        <v>Mid demand</v>
      </c>
    </row>
    <row r="287" spans="1:17" x14ac:dyDescent="0.25">
      <c r="A287" s="11">
        <v>45313.023831018516</v>
      </c>
      <c r="B287" s="10" t="s">
        <v>64</v>
      </c>
      <c r="C287" s="10" t="s">
        <v>606</v>
      </c>
      <c r="D287" s="10" t="s">
        <v>607</v>
      </c>
      <c r="E287" s="10">
        <v>405</v>
      </c>
      <c r="F287" s="10" t="s">
        <v>25</v>
      </c>
      <c r="G287" s="10">
        <v>28</v>
      </c>
      <c r="H287" s="10">
        <v>67.7</v>
      </c>
      <c r="I287" s="10" t="s">
        <v>38</v>
      </c>
      <c r="J287" s="10">
        <v>48</v>
      </c>
      <c r="K287" s="10">
        <v>348</v>
      </c>
      <c r="L287" s="10">
        <v>3</v>
      </c>
      <c r="M287" s="10" t="s">
        <v>51</v>
      </c>
      <c r="N287" s="10">
        <v>78.3</v>
      </c>
      <c r="O287" s="10">
        <v>213</v>
      </c>
      <c r="P287" s="10">
        <v>0</v>
      </c>
      <c r="Q287" s="10" t="str">
        <f>+IF(Tabla2[[#This Row],[Demand_Forecast]]&lt;= 125,"Low demand",IF(Tabla2[[#This Row],[Demand_Forecast]] &gt;=285,"High demand","Mid demand"))</f>
        <v>Mid demand</v>
      </c>
    </row>
    <row r="288" spans="1:17" x14ac:dyDescent="0.25">
      <c r="A288" s="11">
        <v>45645.462604166663</v>
      </c>
      <c r="B288" s="10" t="s">
        <v>16</v>
      </c>
      <c r="C288" s="10" t="s">
        <v>608</v>
      </c>
      <c r="D288" s="10" t="s">
        <v>609</v>
      </c>
      <c r="E288" s="10">
        <v>392</v>
      </c>
      <c r="F288" s="10" t="s">
        <v>34</v>
      </c>
      <c r="G288" s="10">
        <v>27.4</v>
      </c>
      <c r="H288" s="10">
        <v>69</v>
      </c>
      <c r="I288" s="10" t="s">
        <v>20</v>
      </c>
      <c r="J288" s="10">
        <v>31</v>
      </c>
      <c r="K288" s="10">
        <v>347</v>
      </c>
      <c r="L288" s="10">
        <v>9</v>
      </c>
      <c r="M288" s="10" t="s">
        <v>27</v>
      </c>
      <c r="N288" s="10">
        <v>98</v>
      </c>
      <c r="O288" s="10">
        <v>133</v>
      </c>
      <c r="P288" s="10">
        <v>0</v>
      </c>
      <c r="Q288" s="10" t="str">
        <f>+IF(Tabla2[[#This Row],[Demand_Forecast]]&lt;= 125,"Low demand",IF(Tabla2[[#This Row],[Demand_Forecast]] &gt;=285,"High demand","Mid demand"))</f>
        <v>Mid demand</v>
      </c>
    </row>
    <row r="289" spans="1:17" x14ac:dyDescent="0.25">
      <c r="A289" s="11">
        <v>45296.948912037034</v>
      </c>
      <c r="B289" s="10" t="s">
        <v>61</v>
      </c>
      <c r="C289" s="10" t="s">
        <v>610</v>
      </c>
      <c r="D289" s="10" t="s">
        <v>611</v>
      </c>
      <c r="E289" s="10">
        <v>429</v>
      </c>
      <c r="F289" s="10" t="s">
        <v>25</v>
      </c>
      <c r="G289" s="10">
        <v>27.7</v>
      </c>
      <c r="H289" s="10">
        <v>75</v>
      </c>
      <c r="I289" s="10" t="s">
        <v>26</v>
      </c>
      <c r="J289" s="10">
        <v>12</v>
      </c>
      <c r="K289" s="10">
        <v>446</v>
      </c>
      <c r="L289" s="10">
        <v>4</v>
      </c>
      <c r="M289" s="10" t="s">
        <v>21</v>
      </c>
      <c r="N289" s="10">
        <v>65.7</v>
      </c>
      <c r="O289" s="10">
        <v>203</v>
      </c>
      <c r="P289" s="10">
        <v>1</v>
      </c>
      <c r="Q289" s="10" t="str">
        <f>+IF(Tabla2[[#This Row],[Demand_Forecast]]&lt;= 125,"Low demand",IF(Tabla2[[#This Row],[Demand_Forecast]] &gt;=285,"High demand","Mid demand"))</f>
        <v>Mid demand</v>
      </c>
    </row>
    <row r="290" spans="1:17" x14ac:dyDescent="0.25">
      <c r="A290" s="11">
        <v>45469.339733796296</v>
      </c>
      <c r="B290" s="10" t="s">
        <v>16</v>
      </c>
      <c r="C290" s="10" t="s">
        <v>612</v>
      </c>
      <c r="D290" s="10" t="s">
        <v>613</v>
      </c>
      <c r="E290" s="10">
        <v>488</v>
      </c>
      <c r="F290" s="10" t="s">
        <v>34</v>
      </c>
      <c r="G290" s="10">
        <v>25.2</v>
      </c>
      <c r="H290" s="10">
        <v>63.9</v>
      </c>
      <c r="I290" s="10" t="s">
        <v>26</v>
      </c>
      <c r="J290" s="10">
        <v>19</v>
      </c>
      <c r="K290" s="10">
        <v>219</v>
      </c>
      <c r="L290" s="10">
        <v>4</v>
      </c>
      <c r="M290" s="10" t="s">
        <v>27</v>
      </c>
      <c r="N290" s="10">
        <v>100</v>
      </c>
      <c r="O290" s="10">
        <v>184</v>
      </c>
      <c r="P290" s="10">
        <v>1</v>
      </c>
      <c r="Q290" s="10" t="str">
        <f>+IF(Tabla2[[#This Row],[Demand_Forecast]]&lt;= 125,"Low demand",IF(Tabla2[[#This Row],[Demand_Forecast]] &gt;=285,"High demand","Mid demand"))</f>
        <v>Mid demand</v>
      </c>
    </row>
    <row r="291" spans="1:17" x14ac:dyDescent="0.25">
      <c r="A291" s="11">
        <v>45504.08829861111</v>
      </c>
      <c r="B291" s="10" t="s">
        <v>22</v>
      </c>
      <c r="C291" s="10" t="s">
        <v>614</v>
      </c>
      <c r="D291" s="10" t="s">
        <v>615</v>
      </c>
      <c r="E291" s="10">
        <v>444</v>
      </c>
      <c r="F291" s="10" t="s">
        <v>19</v>
      </c>
      <c r="G291" s="10">
        <v>29.8</v>
      </c>
      <c r="H291" s="10">
        <v>67.5</v>
      </c>
      <c r="I291" s="10" t="s">
        <v>38</v>
      </c>
      <c r="J291" s="10">
        <v>41</v>
      </c>
      <c r="K291" s="10">
        <v>125</v>
      </c>
      <c r="L291" s="10">
        <v>5</v>
      </c>
      <c r="M291" s="10" t="s">
        <v>27</v>
      </c>
      <c r="N291" s="10">
        <v>63.3</v>
      </c>
      <c r="O291" s="10">
        <v>152</v>
      </c>
      <c r="P291" s="10">
        <v>1</v>
      </c>
      <c r="Q291" s="10" t="str">
        <f>+IF(Tabla2[[#This Row],[Demand_Forecast]]&lt;= 125,"Low demand",IF(Tabla2[[#This Row],[Demand_Forecast]] &gt;=285,"High demand","Mid demand"))</f>
        <v>Mid demand</v>
      </c>
    </row>
    <row r="292" spans="1:17" x14ac:dyDescent="0.25">
      <c r="A292" s="11">
        <v>45623.181458333333</v>
      </c>
      <c r="B292" s="10" t="s">
        <v>95</v>
      </c>
      <c r="C292" s="10" t="s">
        <v>616</v>
      </c>
      <c r="D292" s="10" t="s">
        <v>617</v>
      </c>
      <c r="E292" s="10">
        <v>420</v>
      </c>
      <c r="F292" s="10" t="s">
        <v>19</v>
      </c>
      <c r="G292" s="10">
        <v>18.399999999999999</v>
      </c>
      <c r="H292" s="10">
        <v>68.5</v>
      </c>
      <c r="I292" s="10" t="s">
        <v>26</v>
      </c>
      <c r="J292" s="10">
        <v>50</v>
      </c>
      <c r="K292" s="10">
        <v>340</v>
      </c>
      <c r="L292" s="10">
        <v>10</v>
      </c>
      <c r="M292" s="10" t="s">
        <v>27</v>
      </c>
      <c r="N292" s="10">
        <v>76.8</v>
      </c>
      <c r="O292" s="10">
        <v>212</v>
      </c>
      <c r="P292" s="10">
        <v>1</v>
      </c>
      <c r="Q292" s="10" t="str">
        <f>+IF(Tabla2[[#This Row],[Demand_Forecast]]&lt;= 125,"Low demand",IF(Tabla2[[#This Row],[Demand_Forecast]] &gt;=285,"High demand","Mid demand"))</f>
        <v>Mid demand</v>
      </c>
    </row>
    <row r="293" spans="1:17" x14ac:dyDescent="0.25">
      <c r="A293" s="11">
        <v>45449.16814814815</v>
      </c>
      <c r="B293" s="10" t="s">
        <v>95</v>
      </c>
      <c r="C293" s="10" t="s">
        <v>618</v>
      </c>
      <c r="D293" s="10" t="s">
        <v>619</v>
      </c>
      <c r="E293" s="10">
        <v>391</v>
      </c>
      <c r="F293" s="10" t="s">
        <v>25</v>
      </c>
      <c r="G293" s="10">
        <v>25.5</v>
      </c>
      <c r="H293" s="10">
        <v>73.7</v>
      </c>
      <c r="I293" s="10" t="s">
        <v>20</v>
      </c>
      <c r="J293" s="10">
        <v>31</v>
      </c>
      <c r="K293" s="10">
        <v>472</v>
      </c>
      <c r="L293" s="10">
        <v>10</v>
      </c>
      <c r="M293" s="10" t="s">
        <v>27</v>
      </c>
      <c r="N293" s="10">
        <v>77.2</v>
      </c>
      <c r="O293" s="10">
        <v>109</v>
      </c>
      <c r="P293" s="10">
        <v>0</v>
      </c>
      <c r="Q293" s="10" t="str">
        <f>+IF(Tabla2[[#This Row],[Demand_Forecast]]&lt;= 125,"Low demand",IF(Tabla2[[#This Row],[Demand_Forecast]] &gt;=285,"High demand","Mid demand"))</f>
        <v>Low demand</v>
      </c>
    </row>
    <row r="294" spans="1:17" x14ac:dyDescent="0.25">
      <c r="A294" s="11">
        <v>45428.85701388889</v>
      </c>
      <c r="B294" s="10" t="s">
        <v>31</v>
      </c>
      <c r="C294" s="10" t="s">
        <v>620</v>
      </c>
      <c r="D294" s="10" t="s">
        <v>621</v>
      </c>
      <c r="E294" s="10">
        <v>212</v>
      </c>
      <c r="F294" s="10" t="s">
        <v>34</v>
      </c>
      <c r="G294" s="10">
        <v>20.6</v>
      </c>
      <c r="H294" s="10">
        <v>50.5</v>
      </c>
      <c r="I294" s="10" t="s">
        <v>38</v>
      </c>
      <c r="J294" s="10">
        <v>41</v>
      </c>
      <c r="K294" s="10">
        <v>498</v>
      </c>
      <c r="L294" s="10">
        <v>5</v>
      </c>
      <c r="M294" s="10" t="s">
        <v>51</v>
      </c>
      <c r="N294" s="10">
        <v>94.1</v>
      </c>
      <c r="O294" s="10">
        <v>162</v>
      </c>
      <c r="P294" s="10">
        <v>0</v>
      </c>
      <c r="Q294" s="10" t="str">
        <f>+IF(Tabla2[[#This Row],[Demand_Forecast]]&lt;= 125,"Low demand",IF(Tabla2[[#This Row],[Demand_Forecast]] &gt;=285,"High demand","Mid demand"))</f>
        <v>Mid demand</v>
      </c>
    </row>
    <row r="295" spans="1:17" x14ac:dyDescent="0.25">
      <c r="A295" s="11">
        <v>45487.884814814817</v>
      </c>
      <c r="B295" s="10" t="s">
        <v>41</v>
      </c>
      <c r="C295" s="10" t="s">
        <v>622</v>
      </c>
      <c r="D295" s="10" t="s">
        <v>623</v>
      </c>
      <c r="E295" s="10">
        <v>157</v>
      </c>
      <c r="F295" s="10" t="s">
        <v>34</v>
      </c>
      <c r="G295" s="10">
        <v>20.9</v>
      </c>
      <c r="H295" s="10">
        <v>77.099999999999994</v>
      </c>
      <c r="I295" s="10" t="s">
        <v>38</v>
      </c>
      <c r="J295" s="10">
        <v>26</v>
      </c>
      <c r="K295" s="10">
        <v>499</v>
      </c>
      <c r="L295" s="10">
        <v>4</v>
      </c>
      <c r="M295" s="10" t="s">
        <v>35</v>
      </c>
      <c r="N295" s="10">
        <v>91.4</v>
      </c>
      <c r="O295" s="10">
        <v>214</v>
      </c>
      <c r="P295" s="10">
        <v>0</v>
      </c>
      <c r="Q295" s="10" t="str">
        <f>+IF(Tabla2[[#This Row],[Demand_Forecast]]&lt;= 125,"Low demand",IF(Tabla2[[#This Row],[Demand_Forecast]] &gt;=285,"High demand","Mid demand"))</f>
        <v>Mid demand</v>
      </c>
    </row>
    <row r="296" spans="1:17" x14ac:dyDescent="0.25">
      <c r="A296" s="11">
        <v>45618.480486111112</v>
      </c>
      <c r="B296" s="10" t="s">
        <v>56</v>
      </c>
      <c r="C296" s="10" t="s">
        <v>624</v>
      </c>
      <c r="D296" s="10" t="s">
        <v>625</v>
      </c>
      <c r="E296" s="10">
        <v>399</v>
      </c>
      <c r="F296" s="10" t="s">
        <v>34</v>
      </c>
      <c r="G296" s="10">
        <v>26.3</v>
      </c>
      <c r="H296" s="10">
        <v>79.400000000000006</v>
      </c>
      <c r="I296" s="10" t="s">
        <v>20</v>
      </c>
      <c r="J296" s="10">
        <v>25</v>
      </c>
      <c r="K296" s="10">
        <v>476</v>
      </c>
      <c r="L296" s="10">
        <v>4</v>
      </c>
      <c r="M296" s="10" t="s">
        <v>51</v>
      </c>
      <c r="N296" s="10">
        <v>95.6</v>
      </c>
      <c r="O296" s="10">
        <v>256</v>
      </c>
      <c r="P296" s="10">
        <v>0</v>
      </c>
      <c r="Q296" s="10" t="str">
        <f>+IF(Tabla2[[#This Row],[Demand_Forecast]]&lt;= 125,"Low demand",IF(Tabla2[[#This Row],[Demand_Forecast]] &gt;=285,"High demand","Mid demand"))</f>
        <v>Mid demand</v>
      </c>
    </row>
    <row r="297" spans="1:17" x14ac:dyDescent="0.25">
      <c r="A297" s="11">
        <v>45597.896689814814</v>
      </c>
      <c r="B297" s="10" t="s">
        <v>48</v>
      </c>
      <c r="C297" s="10" t="s">
        <v>626</v>
      </c>
      <c r="D297" s="10" t="s">
        <v>627</v>
      </c>
      <c r="E297" s="10">
        <v>103</v>
      </c>
      <c r="F297" s="10" t="s">
        <v>34</v>
      </c>
      <c r="G297" s="10">
        <v>27.9</v>
      </c>
      <c r="H297" s="10">
        <v>53.1</v>
      </c>
      <c r="I297" s="10" t="s">
        <v>20</v>
      </c>
      <c r="J297" s="10">
        <v>52</v>
      </c>
      <c r="K297" s="10">
        <v>386</v>
      </c>
      <c r="L297" s="10">
        <v>1</v>
      </c>
      <c r="M297" s="10" t="s">
        <v>21</v>
      </c>
      <c r="N297" s="10">
        <v>97.7</v>
      </c>
      <c r="O297" s="10">
        <v>141</v>
      </c>
      <c r="P297" s="10">
        <v>0</v>
      </c>
      <c r="Q297" s="10" t="str">
        <f>+IF(Tabla2[[#This Row],[Demand_Forecast]]&lt;= 125,"Low demand",IF(Tabla2[[#This Row],[Demand_Forecast]] &gt;=285,"High demand","Mid demand"))</f>
        <v>Mid demand</v>
      </c>
    </row>
    <row r="298" spans="1:17" x14ac:dyDescent="0.25">
      <c r="A298" s="11">
        <v>45592.652511574073</v>
      </c>
      <c r="B298" s="10" t="s">
        <v>31</v>
      </c>
      <c r="C298" s="10" t="s">
        <v>628</v>
      </c>
      <c r="D298" s="10" t="s">
        <v>629</v>
      </c>
      <c r="E298" s="10">
        <v>333</v>
      </c>
      <c r="F298" s="10" t="s">
        <v>19</v>
      </c>
      <c r="G298" s="10">
        <v>22.1</v>
      </c>
      <c r="H298" s="10">
        <v>65</v>
      </c>
      <c r="I298" s="10" t="s">
        <v>20</v>
      </c>
      <c r="J298" s="10">
        <v>22</v>
      </c>
      <c r="K298" s="10">
        <v>243</v>
      </c>
      <c r="L298" s="10">
        <v>5</v>
      </c>
      <c r="M298" s="10" t="s">
        <v>51</v>
      </c>
      <c r="N298" s="10">
        <v>83.2</v>
      </c>
      <c r="O298" s="10">
        <v>176</v>
      </c>
      <c r="P298" s="10">
        <v>1</v>
      </c>
      <c r="Q298" s="10" t="str">
        <f>+IF(Tabla2[[#This Row],[Demand_Forecast]]&lt;= 125,"Low demand",IF(Tabla2[[#This Row],[Demand_Forecast]] &gt;=285,"High demand","Mid demand"))</f>
        <v>Mid demand</v>
      </c>
    </row>
    <row r="299" spans="1:17" x14ac:dyDescent="0.25">
      <c r="A299" s="11">
        <v>45336.514317129629</v>
      </c>
      <c r="B299" s="10" t="s">
        <v>22</v>
      </c>
      <c r="C299" s="10" t="s">
        <v>630</v>
      </c>
      <c r="D299" s="10" t="s">
        <v>631</v>
      </c>
      <c r="E299" s="10">
        <v>234</v>
      </c>
      <c r="F299" s="10" t="s">
        <v>34</v>
      </c>
      <c r="G299" s="10">
        <v>27.3</v>
      </c>
      <c r="H299" s="10">
        <v>70.099999999999994</v>
      </c>
      <c r="I299" s="10" t="s">
        <v>20</v>
      </c>
      <c r="J299" s="10">
        <v>45</v>
      </c>
      <c r="K299" s="10">
        <v>416</v>
      </c>
      <c r="L299" s="10">
        <v>8</v>
      </c>
      <c r="M299" s="10" t="s">
        <v>21</v>
      </c>
      <c r="N299" s="10">
        <v>86.9</v>
      </c>
      <c r="O299" s="10">
        <v>165</v>
      </c>
      <c r="P299" s="10">
        <v>0</v>
      </c>
      <c r="Q299" s="10" t="str">
        <f>+IF(Tabla2[[#This Row],[Demand_Forecast]]&lt;= 125,"Low demand",IF(Tabla2[[#This Row],[Demand_Forecast]] &gt;=285,"High demand","Mid demand"))</f>
        <v>Mid demand</v>
      </c>
    </row>
    <row r="300" spans="1:17" x14ac:dyDescent="0.25">
      <c r="A300" s="11">
        <v>45414.468564814815</v>
      </c>
      <c r="B300" s="10" t="s">
        <v>31</v>
      </c>
      <c r="C300" s="10" t="s">
        <v>632</v>
      </c>
      <c r="D300" s="10" t="s">
        <v>633</v>
      </c>
      <c r="E300" s="10">
        <v>146</v>
      </c>
      <c r="F300" s="10" t="s">
        <v>19</v>
      </c>
      <c r="G300" s="10">
        <v>29</v>
      </c>
      <c r="H300" s="10">
        <v>55.5</v>
      </c>
      <c r="I300" s="10" t="s">
        <v>20</v>
      </c>
      <c r="J300" s="10">
        <v>52</v>
      </c>
      <c r="K300" s="10">
        <v>414</v>
      </c>
      <c r="L300" s="10">
        <v>10</v>
      </c>
      <c r="M300" s="10" t="s">
        <v>51</v>
      </c>
      <c r="N300" s="10">
        <v>82.3</v>
      </c>
      <c r="O300" s="10">
        <v>228</v>
      </c>
      <c r="P300" s="10">
        <v>1</v>
      </c>
      <c r="Q300" s="10" t="str">
        <f>+IF(Tabla2[[#This Row],[Demand_Forecast]]&lt;= 125,"Low demand",IF(Tabla2[[#This Row],[Demand_Forecast]] &gt;=285,"High demand","Mid demand"))</f>
        <v>Mid demand</v>
      </c>
    </row>
    <row r="301" spans="1:17" x14ac:dyDescent="0.25">
      <c r="A301" s="11">
        <v>45537.210706018515</v>
      </c>
      <c r="B301" s="10" t="s">
        <v>16</v>
      </c>
      <c r="C301" s="10" t="s">
        <v>634</v>
      </c>
      <c r="D301" s="10" t="s">
        <v>635</v>
      </c>
      <c r="E301" s="10">
        <v>109</v>
      </c>
      <c r="F301" s="10" t="s">
        <v>19</v>
      </c>
      <c r="G301" s="10">
        <v>20.7</v>
      </c>
      <c r="H301" s="10">
        <v>60.9</v>
      </c>
      <c r="I301" s="10" t="s">
        <v>26</v>
      </c>
      <c r="J301" s="10">
        <v>39</v>
      </c>
      <c r="K301" s="10">
        <v>147</v>
      </c>
      <c r="L301" s="10">
        <v>9</v>
      </c>
      <c r="M301" s="10" t="s">
        <v>35</v>
      </c>
      <c r="N301" s="10">
        <v>75</v>
      </c>
      <c r="O301" s="10">
        <v>116</v>
      </c>
      <c r="P301" s="10">
        <v>1</v>
      </c>
      <c r="Q301" s="10" t="str">
        <f>+IF(Tabla2[[#This Row],[Demand_Forecast]]&lt;= 125,"Low demand",IF(Tabla2[[#This Row],[Demand_Forecast]] &gt;=285,"High demand","Mid demand"))</f>
        <v>Low demand</v>
      </c>
    </row>
    <row r="302" spans="1:17" x14ac:dyDescent="0.25">
      <c r="A302" s="11">
        <v>45634.191412037035</v>
      </c>
      <c r="B302" s="10" t="s">
        <v>56</v>
      </c>
      <c r="C302" s="10" t="s">
        <v>636</v>
      </c>
      <c r="D302" s="10" t="s">
        <v>637</v>
      </c>
      <c r="E302" s="10">
        <v>357</v>
      </c>
      <c r="F302" s="10" t="s">
        <v>19</v>
      </c>
      <c r="G302" s="10">
        <v>24.6</v>
      </c>
      <c r="H302" s="10">
        <v>73.5</v>
      </c>
      <c r="I302" s="10" t="s">
        <v>38</v>
      </c>
      <c r="J302" s="10">
        <v>48</v>
      </c>
      <c r="K302" s="10">
        <v>266</v>
      </c>
      <c r="L302" s="10">
        <v>10</v>
      </c>
      <c r="M302" s="10" t="s">
        <v>35</v>
      </c>
      <c r="N302" s="10">
        <v>74.400000000000006</v>
      </c>
      <c r="O302" s="10">
        <v>226</v>
      </c>
      <c r="P302" s="10">
        <v>1</v>
      </c>
      <c r="Q302" s="10" t="str">
        <f>+IF(Tabla2[[#This Row],[Demand_Forecast]]&lt;= 125,"Low demand",IF(Tabla2[[#This Row],[Demand_Forecast]] &gt;=285,"High demand","Mid demand"))</f>
        <v>Mid demand</v>
      </c>
    </row>
    <row r="303" spans="1:17" x14ac:dyDescent="0.25">
      <c r="A303" s="11">
        <v>45314.233263888891</v>
      </c>
      <c r="B303" s="10" t="s">
        <v>31</v>
      </c>
      <c r="C303" s="10" t="s">
        <v>638</v>
      </c>
      <c r="D303" s="10" t="s">
        <v>639</v>
      </c>
      <c r="E303" s="10">
        <v>356</v>
      </c>
      <c r="F303" s="10" t="s">
        <v>34</v>
      </c>
      <c r="G303" s="10">
        <v>19.5</v>
      </c>
      <c r="H303" s="10">
        <v>63.1</v>
      </c>
      <c r="I303" s="10" t="s">
        <v>38</v>
      </c>
      <c r="J303" s="10">
        <v>16</v>
      </c>
      <c r="K303" s="10">
        <v>118</v>
      </c>
      <c r="L303" s="10">
        <v>3</v>
      </c>
      <c r="M303" s="10" t="s">
        <v>21</v>
      </c>
      <c r="N303" s="10">
        <v>77.8</v>
      </c>
      <c r="O303" s="10">
        <v>230</v>
      </c>
      <c r="P303" s="10">
        <v>0</v>
      </c>
      <c r="Q303" s="10" t="str">
        <f>+IF(Tabla2[[#This Row],[Demand_Forecast]]&lt;= 125,"Low demand",IF(Tabla2[[#This Row],[Demand_Forecast]] &gt;=285,"High demand","Mid demand"))</f>
        <v>Mid demand</v>
      </c>
    </row>
    <row r="304" spans="1:17" x14ac:dyDescent="0.25">
      <c r="A304" s="11">
        <v>45316.477708333332</v>
      </c>
      <c r="B304" s="10" t="s">
        <v>48</v>
      </c>
      <c r="C304" s="10" t="s">
        <v>640</v>
      </c>
      <c r="D304" s="10" t="s">
        <v>641</v>
      </c>
      <c r="E304" s="10">
        <v>349</v>
      </c>
      <c r="F304" s="10" t="s">
        <v>34</v>
      </c>
      <c r="G304" s="10">
        <v>19.399999999999999</v>
      </c>
      <c r="H304" s="10">
        <v>62.7</v>
      </c>
      <c r="I304" s="10" t="s">
        <v>20</v>
      </c>
      <c r="J304" s="10">
        <v>19</v>
      </c>
      <c r="K304" s="10">
        <v>296</v>
      </c>
      <c r="L304" s="10">
        <v>3</v>
      </c>
      <c r="M304" s="10" t="s">
        <v>21</v>
      </c>
      <c r="N304" s="10">
        <v>72.3</v>
      </c>
      <c r="O304" s="10">
        <v>177</v>
      </c>
      <c r="P304" s="10">
        <v>0</v>
      </c>
      <c r="Q304" s="10" t="str">
        <f>+IF(Tabla2[[#This Row],[Demand_Forecast]]&lt;= 125,"Low demand",IF(Tabla2[[#This Row],[Demand_Forecast]] &gt;=285,"High demand","Mid demand"))</f>
        <v>Mid demand</v>
      </c>
    </row>
    <row r="305" spans="1:17" x14ac:dyDescent="0.25">
      <c r="A305" s="11">
        <v>45604.563842592594</v>
      </c>
      <c r="B305" s="10" t="s">
        <v>95</v>
      </c>
      <c r="C305" s="10" t="s">
        <v>642</v>
      </c>
      <c r="D305" s="10" t="s">
        <v>643</v>
      </c>
      <c r="E305" s="10">
        <v>159</v>
      </c>
      <c r="F305" s="10" t="s">
        <v>34</v>
      </c>
      <c r="G305" s="10">
        <v>27.1</v>
      </c>
      <c r="H305" s="10">
        <v>77.5</v>
      </c>
      <c r="I305" s="10" t="s">
        <v>26</v>
      </c>
      <c r="J305" s="10">
        <v>33</v>
      </c>
      <c r="K305" s="10">
        <v>429</v>
      </c>
      <c r="L305" s="10">
        <v>9</v>
      </c>
      <c r="M305" s="10" t="s">
        <v>21</v>
      </c>
      <c r="N305" s="10">
        <v>77.900000000000006</v>
      </c>
      <c r="O305" s="10">
        <v>200</v>
      </c>
      <c r="P305" s="10">
        <v>1</v>
      </c>
      <c r="Q305" s="10" t="str">
        <f>+IF(Tabla2[[#This Row],[Demand_Forecast]]&lt;= 125,"Low demand",IF(Tabla2[[#This Row],[Demand_Forecast]] &gt;=285,"High demand","Mid demand"))</f>
        <v>Mid demand</v>
      </c>
    </row>
    <row r="306" spans="1:17" x14ac:dyDescent="0.25">
      <c r="A306" s="11">
        <v>45442.045023148145</v>
      </c>
      <c r="B306" s="10" t="s">
        <v>41</v>
      </c>
      <c r="C306" s="10" t="s">
        <v>644</v>
      </c>
      <c r="D306" s="10" t="s">
        <v>645</v>
      </c>
      <c r="E306" s="10">
        <v>148</v>
      </c>
      <c r="F306" s="10" t="s">
        <v>34</v>
      </c>
      <c r="G306" s="10">
        <v>25</v>
      </c>
      <c r="H306" s="10">
        <v>60.7</v>
      </c>
      <c r="I306" s="10" t="s">
        <v>38</v>
      </c>
      <c r="J306" s="10">
        <v>43</v>
      </c>
      <c r="K306" s="10">
        <v>196</v>
      </c>
      <c r="L306" s="10">
        <v>4</v>
      </c>
      <c r="M306" s="10" t="s">
        <v>51</v>
      </c>
      <c r="N306" s="10">
        <v>64.599999999999994</v>
      </c>
      <c r="O306" s="10">
        <v>240</v>
      </c>
      <c r="P306" s="10">
        <v>0</v>
      </c>
      <c r="Q306" s="10" t="str">
        <f>+IF(Tabla2[[#This Row],[Demand_Forecast]]&lt;= 125,"Low demand",IF(Tabla2[[#This Row],[Demand_Forecast]] &gt;=285,"High demand","Mid demand"))</f>
        <v>Mid demand</v>
      </c>
    </row>
    <row r="307" spans="1:17" x14ac:dyDescent="0.25">
      <c r="A307" s="11">
        <v>45442.479560185187</v>
      </c>
      <c r="B307" s="10" t="s">
        <v>61</v>
      </c>
      <c r="C307" s="10" t="s">
        <v>646</v>
      </c>
      <c r="D307" s="10" t="s">
        <v>647</v>
      </c>
      <c r="E307" s="10">
        <v>354</v>
      </c>
      <c r="F307" s="10" t="s">
        <v>34</v>
      </c>
      <c r="G307" s="10">
        <v>26.9</v>
      </c>
      <c r="H307" s="10">
        <v>65.5</v>
      </c>
      <c r="I307" s="10" t="s">
        <v>26</v>
      </c>
      <c r="J307" s="10">
        <v>14</v>
      </c>
      <c r="K307" s="10">
        <v>245</v>
      </c>
      <c r="L307" s="10">
        <v>4</v>
      </c>
      <c r="M307" s="10" t="s">
        <v>21</v>
      </c>
      <c r="N307" s="10">
        <v>73.400000000000006</v>
      </c>
      <c r="O307" s="10">
        <v>151</v>
      </c>
      <c r="P307" s="10">
        <v>1</v>
      </c>
      <c r="Q307" s="10" t="str">
        <f>+IF(Tabla2[[#This Row],[Demand_Forecast]]&lt;= 125,"Low demand",IF(Tabla2[[#This Row],[Demand_Forecast]] &gt;=285,"High demand","Mid demand"))</f>
        <v>Mid demand</v>
      </c>
    </row>
    <row r="308" spans="1:17" x14ac:dyDescent="0.25">
      <c r="A308" s="11">
        <v>45353.992604166669</v>
      </c>
      <c r="B308" s="10" t="s">
        <v>56</v>
      </c>
      <c r="C308" s="10" t="s">
        <v>648</v>
      </c>
      <c r="D308" s="10" t="s">
        <v>649</v>
      </c>
      <c r="E308" s="10">
        <v>214</v>
      </c>
      <c r="F308" s="10" t="s">
        <v>34</v>
      </c>
      <c r="G308" s="10">
        <v>21.5</v>
      </c>
      <c r="H308" s="10">
        <v>69.099999999999994</v>
      </c>
      <c r="I308" s="10" t="s">
        <v>26</v>
      </c>
      <c r="J308" s="10">
        <v>49</v>
      </c>
      <c r="K308" s="10">
        <v>417</v>
      </c>
      <c r="L308" s="10">
        <v>10</v>
      </c>
      <c r="M308" s="10" t="s">
        <v>35</v>
      </c>
      <c r="N308" s="10">
        <v>76.7</v>
      </c>
      <c r="O308" s="10">
        <v>249</v>
      </c>
      <c r="P308" s="10">
        <v>1</v>
      </c>
      <c r="Q308" s="10" t="str">
        <f>+IF(Tabla2[[#This Row],[Demand_Forecast]]&lt;= 125,"Low demand",IF(Tabla2[[#This Row],[Demand_Forecast]] &gt;=285,"High demand","Mid demand"))</f>
        <v>Mid demand</v>
      </c>
    </row>
    <row r="309" spans="1:17" x14ac:dyDescent="0.25">
      <c r="A309" s="11">
        <v>45533.494849537034</v>
      </c>
      <c r="B309" s="10" t="s">
        <v>56</v>
      </c>
      <c r="C309" s="10" t="s">
        <v>650</v>
      </c>
      <c r="D309" s="10" t="s">
        <v>651</v>
      </c>
      <c r="E309" s="10">
        <v>307</v>
      </c>
      <c r="F309" s="10" t="s">
        <v>19</v>
      </c>
      <c r="G309" s="10">
        <v>21</v>
      </c>
      <c r="H309" s="10">
        <v>52.8</v>
      </c>
      <c r="I309" s="10" t="s">
        <v>38</v>
      </c>
      <c r="J309" s="10">
        <v>21</v>
      </c>
      <c r="K309" s="10">
        <v>475</v>
      </c>
      <c r="L309" s="10">
        <v>4</v>
      </c>
      <c r="M309" s="10" t="s">
        <v>21</v>
      </c>
      <c r="N309" s="10">
        <v>82.8</v>
      </c>
      <c r="O309" s="10">
        <v>107</v>
      </c>
      <c r="P309" s="10">
        <v>1</v>
      </c>
      <c r="Q309" s="10" t="str">
        <f>+IF(Tabla2[[#This Row],[Demand_Forecast]]&lt;= 125,"Low demand",IF(Tabla2[[#This Row],[Demand_Forecast]] &gt;=285,"High demand","Mid demand"))</f>
        <v>Low demand</v>
      </c>
    </row>
    <row r="310" spans="1:17" x14ac:dyDescent="0.25">
      <c r="A310" s="11">
        <v>45438.078506944446</v>
      </c>
      <c r="B310" s="10" t="s">
        <v>95</v>
      </c>
      <c r="C310" s="10" t="s">
        <v>652</v>
      </c>
      <c r="D310" s="10" t="s">
        <v>653</v>
      </c>
      <c r="E310" s="10">
        <v>385</v>
      </c>
      <c r="F310" s="10" t="s">
        <v>25</v>
      </c>
      <c r="G310" s="10">
        <v>24.3</v>
      </c>
      <c r="H310" s="10">
        <v>59.4</v>
      </c>
      <c r="I310" s="10" t="s">
        <v>38</v>
      </c>
      <c r="J310" s="10">
        <v>37</v>
      </c>
      <c r="K310" s="10">
        <v>239</v>
      </c>
      <c r="L310" s="10">
        <v>3</v>
      </c>
      <c r="M310" s="10" t="s">
        <v>21</v>
      </c>
      <c r="N310" s="10">
        <v>88.3</v>
      </c>
      <c r="O310" s="10">
        <v>148</v>
      </c>
      <c r="P310" s="10">
        <v>0</v>
      </c>
      <c r="Q310" s="10" t="str">
        <f>+IF(Tabla2[[#This Row],[Demand_Forecast]]&lt;= 125,"Low demand",IF(Tabla2[[#This Row],[Demand_Forecast]] &gt;=285,"High demand","Mid demand"))</f>
        <v>Mid demand</v>
      </c>
    </row>
    <row r="311" spans="1:17" x14ac:dyDescent="0.25">
      <c r="A311" s="11">
        <v>45497.05605324074</v>
      </c>
      <c r="B311" s="10" t="s">
        <v>56</v>
      </c>
      <c r="C311" s="10" t="s">
        <v>654</v>
      </c>
      <c r="D311" s="10" t="s">
        <v>655</v>
      </c>
      <c r="E311" s="10">
        <v>490</v>
      </c>
      <c r="F311" s="10" t="s">
        <v>19</v>
      </c>
      <c r="G311" s="10">
        <v>24</v>
      </c>
      <c r="H311" s="10">
        <v>56.1</v>
      </c>
      <c r="I311" s="10" t="s">
        <v>26</v>
      </c>
      <c r="J311" s="10">
        <v>29</v>
      </c>
      <c r="K311" s="10">
        <v>463</v>
      </c>
      <c r="L311" s="10">
        <v>6</v>
      </c>
      <c r="M311" s="10" t="s">
        <v>51</v>
      </c>
      <c r="N311" s="10">
        <v>81.099999999999994</v>
      </c>
      <c r="O311" s="10">
        <v>134</v>
      </c>
      <c r="P311" s="10">
        <v>1</v>
      </c>
      <c r="Q311" s="10" t="str">
        <f>+IF(Tabla2[[#This Row],[Demand_Forecast]]&lt;= 125,"Low demand",IF(Tabla2[[#This Row],[Demand_Forecast]] &gt;=285,"High demand","Mid demand"))</f>
        <v>Mid demand</v>
      </c>
    </row>
    <row r="312" spans="1:17" x14ac:dyDescent="0.25">
      <c r="A312" s="11">
        <v>45650.431203703702</v>
      </c>
      <c r="B312" s="10" t="s">
        <v>41</v>
      </c>
      <c r="C312" s="10" t="s">
        <v>656</v>
      </c>
      <c r="D312" s="10" t="s">
        <v>657</v>
      </c>
      <c r="E312" s="10">
        <v>133</v>
      </c>
      <c r="F312" s="10" t="s">
        <v>19</v>
      </c>
      <c r="G312" s="10">
        <v>19.399999999999999</v>
      </c>
      <c r="H312" s="10">
        <v>76</v>
      </c>
      <c r="I312" s="10" t="s">
        <v>20</v>
      </c>
      <c r="J312" s="10">
        <v>36</v>
      </c>
      <c r="K312" s="10">
        <v>182</v>
      </c>
      <c r="L312" s="10">
        <v>3</v>
      </c>
      <c r="M312" s="10" t="s">
        <v>21</v>
      </c>
      <c r="N312" s="10">
        <v>70.5</v>
      </c>
      <c r="O312" s="10">
        <v>249</v>
      </c>
      <c r="P312" s="10">
        <v>1</v>
      </c>
      <c r="Q312" s="10" t="str">
        <f>+IF(Tabla2[[#This Row],[Demand_Forecast]]&lt;= 125,"Low demand",IF(Tabla2[[#This Row],[Demand_Forecast]] &gt;=285,"High demand","Mid demand"))</f>
        <v>Mid demand</v>
      </c>
    </row>
    <row r="313" spans="1:17" x14ac:dyDescent="0.25">
      <c r="A313" s="11">
        <v>45333.611157407409</v>
      </c>
      <c r="B313" s="10" t="s">
        <v>48</v>
      </c>
      <c r="C313" s="10" t="s">
        <v>658</v>
      </c>
      <c r="D313" s="10" t="s">
        <v>659</v>
      </c>
      <c r="E313" s="10">
        <v>472</v>
      </c>
      <c r="F313" s="10" t="s">
        <v>34</v>
      </c>
      <c r="G313" s="10">
        <v>24.9</v>
      </c>
      <c r="H313" s="10">
        <v>63.2</v>
      </c>
      <c r="I313" s="10" t="s">
        <v>20</v>
      </c>
      <c r="J313" s="10">
        <v>36</v>
      </c>
      <c r="K313" s="10">
        <v>485</v>
      </c>
      <c r="L313" s="10">
        <v>9</v>
      </c>
      <c r="M313" s="10" t="s">
        <v>21</v>
      </c>
      <c r="N313" s="10">
        <v>78.900000000000006</v>
      </c>
      <c r="O313" s="10">
        <v>271</v>
      </c>
      <c r="P313" s="10">
        <v>0</v>
      </c>
      <c r="Q313" s="10" t="str">
        <f>+IF(Tabla2[[#This Row],[Demand_Forecast]]&lt;= 125,"Low demand",IF(Tabla2[[#This Row],[Demand_Forecast]] &gt;=285,"High demand","Mid demand"))</f>
        <v>Mid demand</v>
      </c>
    </row>
    <row r="314" spans="1:17" x14ac:dyDescent="0.25">
      <c r="A314" s="11">
        <v>45406.03806712963</v>
      </c>
      <c r="B314" s="10" t="s">
        <v>16</v>
      </c>
      <c r="C314" s="10" t="s">
        <v>660</v>
      </c>
      <c r="D314" s="10" t="s">
        <v>661</v>
      </c>
      <c r="E314" s="10">
        <v>338</v>
      </c>
      <c r="F314" s="10" t="s">
        <v>25</v>
      </c>
      <c r="G314" s="10">
        <v>28.9</v>
      </c>
      <c r="H314" s="10">
        <v>55.5</v>
      </c>
      <c r="I314" s="10" t="s">
        <v>20</v>
      </c>
      <c r="J314" s="10">
        <v>39</v>
      </c>
      <c r="K314" s="10">
        <v>181</v>
      </c>
      <c r="L314" s="10">
        <v>2</v>
      </c>
      <c r="M314" s="10" t="s">
        <v>51</v>
      </c>
      <c r="N314" s="10">
        <v>88.6</v>
      </c>
      <c r="O314" s="10">
        <v>143</v>
      </c>
      <c r="P314" s="10">
        <v>0</v>
      </c>
      <c r="Q314" s="10" t="str">
        <f>+IF(Tabla2[[#This Row],[Demand_Forecast]]&lt;= 125,"Low demand",IF(Tabla2[[#This Row],[Demand_Forecast]] &gt;=285,"High demand","Mid demand"))</f>
        <v>Mid demand</v>
      </c>
    </row>
    <row r="315" spans="1:17" x14ac:dyDescent="0.25">
      <c r="A315" s="11">
        <v>45299.431064814817</v>
      </c>
      <c r="B315" s="10" t="s">
        <v>48</v>
      </c>
      <c r="C315" s="10" t="s">
        <v>662</v>
      </c>
      <c r="D315" s="10" t="s">
        <v>663</v>
      </c>
      <c r="E315" s="10">
        <v>172</v>
      </c>
      <c r="F315" s="10" t="s">
        <v>34</v>
      </c>
      <c r="G315" s="10">
        <v>25.5</v>
      </c>
      <c r="H315" s="10">
        <v>55.7</v>
      </c>
      <c r="I315" s="10" t="s">
        <v>20</v>
      </c>
      <c r="J315" s="10">
        <v>25</v>
      </c>
      <c r="K315" s="10">
        <v>259</v>
      </c>
      <c r="L315" s="10">
        <v>1</v>
      </c>
      <c r="M315" s="10" t="s">
        <v>35</v>
      </c>
      <c r="N315" s="10">
        <v>65.2</v>
      </c>
      <c r="O315" s="10">
        <v>255</v>
      </c>
      <c r="P315" s="10">
        <v>0</v>
      </c>
      <c r="Q315" s="10" t="str">
        <f>+IF(Tabla2[[#This Row],[Demand_Forecast]]&lt;= 125,"Low demand",IF(Tabla2[[#This Row],[Demand_Forecast]] &gt;=285,"High demand","Mid demand"))</f>
        <v>Mid demand</v>
      </c>
    </row>
    <row r="316" spans="1:17" x14ac:dyDescent="0.25">
      <c r="A316" s="11">
        <v>45590.126203703701</v>
      </c>
      <c r="B316" s="10" t="s">
        <v>48</v>
      </c>
      <c r="C316" s="10" t="s">
        <v>664</v>
      </c>
      <c r="D316" s="10" t="s">
        <v>665</v>
      </c>
      <c r="E316" s="10">
        <v>187</v>
      </c>
      <c r="F316" s="10" t="s">
        <v>19</v>
      </c>
      <c r="G316" s="10">
        <v>24.8</v>
      </c>
      <c r="H316" s="10">
        <v>52</v>
      </c>
      <c r="I316" s="10" t="s">
        <v>20</v>
      </c>
      <c r="J316" s="10">
        <v>31</v>
      </c>
      <c r="K316" s="10">
        <v>231</v>
      </c>
      <c r="L316" s="10">
        <v>5</v>
      </c>
      <c r="M316" s="10" t="s">
        <v>27</v>
      </c>
      <c r="N316" s="10">
        <v>91.6</v>
      </c>
      <c r="O316" s="10">
        <v>234</v>
      </c>
      <c r="P316" s="10">
        <v>1</v>
      </c>
      <c r="Q316" s="10" t="str">
        <f>+IF(Tabla2[[#This Row],[Demand_Forecast]]&lt;= 125,"Low demand",IF(Tabla2[[#This Row],[Demand_Forecast]] &gt;=285,"High demand","Mid demand"))</f>
        <v>Mid demand</v>
      </c>
    </row>
    <row r="317" spans="1:17" x14ac:dyDescent="0.25">
      <c r="A317" s="11">
        <v>45638.62767361111</v>
      </c>
      <c r="B317" s="10" t="s">
        <v>56</v>
      </c>
      <c r="C317" s="10" t="s">
        <v>666</v>
      </c>
      <c r="D317" s="10" t="s">
        <v>667</v>
      </c>
      <c r="E317" s="10">
        <v>439</v>
      </c>
      <c r="F317" s="10" t="s">
        <v>25</v>
      </c>
      <c r="G317" s="10">
        <v>23.5</v>
      </c>
      <c r="H317" s="10">
        <v>55.1</v>
      </c>
      <c r="I317" s="10" t="s">
        <v>20</v>
      </c>
      <c r="J317" s="10">
        <v>47</v>
      </c>
      <c r="K317" s="10">
        <v>454</v>
      </c>
      <c r="L317" s="10">
        <v>3</v>
      </c>
      <c r="M317" s="10" t="s">
        <v>27</v>
      </c>
      <c r="N317" s="10">
        <v>75.5</v>
      </c>
      <c r="O317" s="10">
        <v>196</v>
      </c>
      <c r="P317" s="10">
        <v>0</v>
      </c>
      <c r="Q317" s="10" t="str">
        <f>+IF(Tabla2[[#This Row],[Demand_Forecast]]&lt;= 125,"Low demand",IF(Tabla2[[#This Row],[Demand_Forecast]] &gt;=285,"High demand","Mid demand"))</f>
        <v>Mid demand</v>
      </c>
    </row>
    <row r="318" spans="1:17" x14ac:dyDescent="0.25">
      <c r="A318" s="11">
        <v>45626.386574074073</v>
      </c>
      <c r="B318" s="10" t="s">
        <v>16</v>
      </c>
      <c r="C318" s="10" t="s">
        <v>668</v>
      </c>
      <c r="D318" s="10" t="s">
        <v>669</v>
      </c>
      <c r="E318" s="10">
        <v>159</v>
      </c>
      <c r="F318" s="10" t="s">
        <v>25</v>
      </c>
      <c r="G318" s="10">
        <v>18.100000000000001</v>
      </c>
      <c r="H318" s="10">
        <v>76</v>
      </c>
      <c r="I318" s="10" t="s">
        <v>20</v>
      </c>
      <c r="J318" s="10">
        <v>18</v>
      </c>
      <c r="K318" s="10">
        <v>202</v>
      </c>
      <c r="L318" s="10">
        <v>2</v>
      </c>
      <c r="M318" s="10" t="s">
        <v>27</v>
      </c>
      <c r="N318" s="10">
        <v>94.4</v>
      </c>
      <c r="O318" s="10">
        <v>197</v>
      </c>
      <c r="P318" s="10">
        <v>0</v>
      </c>
      <c r="Q318" s="10" t="str">
        <f>+IF(Tabla2[[#This Row],[Demand_Forecast]]&lt;= 125,"Low demand",IF(Tabla2[[#This Row],[Demand_Forecast]] &gt;=285,"High demand","Mid demand"))</f>
        <v>Mid demand</v>
      </c>
    </row>
    <row r="319" spans="1:17" x14ac:dyDescent="0.25">
      <c r="A319" s="11">
        <v>45425.378761574073</v>
      </c>
      <c r="B319" s="10" t="s">
        <v>16</v>
      </c>
      <c r="C319" s="10" t="s">
        <v>670</v>
      </c>
      <c r="D319" s="10" t="s">
        <v>671</v>
      </c>
      <c r="E319" s="10">
        <v>362</v>
      </c>
      <c r="F319" s="10" t="s">
        <v>34</v>
      </c>
      <c r="G319" s="10">
        <v>18.3</v>
      </c>
      <c r="H319" s="10">
        <v>57.6</v>
      </c>
      <c r="I319" s="10" t="s">
        <v>26</v>
      </c>
      <c r="J319" s="10">
        <v>58</v>
      </c>
      <c r="K319" s="10">
        <v>437</v>
      </c>
      <c r="L319" s="10">
        <v>8</v>
      </c>
      <c r="M319" s="10" t="s">
        <v>51</v>
      </c>
      <c r="N319" s="10">
        <v>66.8</v>
      </c>
      <c r="O319" s="10">
        <v>123</v>
      </c>
      <c r="P319" s="10">
        <v>1</v>
      </c>
      <c r="Q319" s="10" t="str">
        <f>+IF(Tabla2[[#This Row],[Demand_Forecast]]&lt;= 125,"Low demand",IF(Tabla2[[#This Row],[Demand_Forecast]] &gt;=285,"High demand","Mid demand"))</f>
        <v>Low demand</v>
      </c>
    </row>
    <row r="320" spans="1:17" x14ac:dyDescent="0.25">
      <c r="A320" s="11">
        <v>45642.254826388889</v>
      </c>
      <c r="B320" s="10" t="s">
        <v>41</v>
      </c>
      <c r="C320" s="10" t="s">
        <v>672</v>
      </c>
      <c r="D320" s="10" t="s">
        <v>673</v>
      </c>
      <c r="E320" s="10">
        <v>163</v>
      </c>
      <c r="F320" s="10" t="s">
        <v>34</v>
      </c>
      <c r="G320" s="10">
        <v>24.6</v>
      </c>
      <c r="H320" s="10">
        <v>53.2</v>
      </c>
      <c r="I320" s="10" t="s">
        <v>20</v>
      </c>
      <c r="J320" s="10">
        <v>34</v>
      </c>
      <c r="K320" s="10">
        <v>473</v>
      </c>
      <c r="L320" s="10">
        <v>9</v>
      </c>
      <c r="M320" s="10" t="s">
        <v>35</v>
      </c>
      <c r="N320" s="10">
        <v>72.400000000000006</v>
      </c>
      <c r="O320" s="10">
        <v>263</v>
      </c>
      <c r="P320" s="10">
        <v>0</v>
      </c>
      <c r="Q320" s="10" t="str">
        <f>+IF(Tabla2[[#This Row],[Demand_Forecast]]&lt;= 125,"Low demand",IF(Tabla2[[#This Row],[Demand_Forecast]] &gt;=285,"High demand","Mid demand"))</f>
        <v>Mid demand</v>
      </c>
    </row>
    <row r="321" spans="1:17" x14ac:dyDescent="0.25">
      <c r="A321" s="11">
        <v>45336.32984953704</v>
      </c>
      <c r="B321" s="10" t="s">
        <v>16</v>
      </c>
      <c r="C321" s="10" t="s">
        <v>674</v>
      </c>
      <c r="D321" s="10" t="s">
        <v>675</v>
      </c>
      <c r="E321" s="10">
        <v>258</v>
      </c>
      <c r="F321" s="10" t="s">
        <v>19</v>
      </c>
      <c r="G321" s="10">
        <v>19.899999999999999</v>
      </c>
      <c r="H321" s="10">
        <v>51.9</v>
      </c>
      <c r="I321" s="10" t="s">
        <v>26</v>
      </c>
      <c r="J321" s="10">
        <v>54</v>
      </c>
      <c r="K321" s="10">
        <v>237</v>
      </c>
      <c r="L321" s="10">
        <v>10</v>
      </c>
      <c r="M321" s="10" t="s">
        <v>21</v>
      </c>
      <c r="N321" s="10">
        <v>92.7</v>
      </c>
      <c r="O321" s="10">
        <v>271</v>
      </c>
      <c r="P321" s="10">
        <v>1</v>
      </c>
      <c r="Q321" s="10" t="str">
        <f>+IF(Tabla2[[#This Row],[Demand_Forecast]]&lt;= 125,"Low demand",IF(Tabla2[[#This Row],[Demand_Forecast]] &gt;=285,"High demand","Mid demand"))</f>
        <v>Mid demand</v>
      </c>
    </row>
    <row r="322" spans="1:17" x14ac:dyDescent="0.25">
      <c r="A322" s="11">
        <v>45468.510740740741</v>
      </c>
      <c r="B322" s="10" t="s">
        <v>31</v>
      </c>
      <c r="C322" s="10" t="s">
        <v>676</v>
      </c>
      <c r="D322" s="10" t="s">
        <v>677</v>
      </c>
      <c r="E322" s="10">
        <v>319</v>
      </c>
      <c r="F322" s="10" t="s">
        <v>19</v>
      </c>
      <c r="G322" s="10">
        <v>18</v>
      </c>
      <c r="H322" s="10">
        <v>63.6</v>
      </c>
      <c r="I322" s="10" t="s">
        <v>20</v>
      </c>
      <c r="J322" s="10">
        <v>23</v>
      </c>
      <c r="K322" s="10">
        <v>473</v>
      </c>
      <c r="L322" s="10">
        <v>7</v>
      </c>
      <c r="M322" s="10" t="s">
        <v>27</v>
      </c>
      <c r="N322" s="10">
        <v>83</v>
      </c>
      <c r="O322" s="10">
        <v>187</v>
      </c>
      <c r="P322" s="10">
        <v>1</v>
      </c>
      <c r="Q322" s="10" t="str">
        <f>+IF(Tabla2[[#This Row],[Demand_Forecast]]&lt;= 125,"Low demand",IF(Tabla2[[#This Row],[Demand_Forecast]] &gt;=285,"High demand","Mid demand"))</f>
        <v>Mid demand</v>
      </c>
    </row>
    <row r="323" spans="1:17" x14ac:dyDescent="0.25">
      <c r="A323" s="11">
        <v>45518.165972222225</v>
      </c>
      <c r="B323" s="10" t="s">
        <v>31</v>
      </c>
      <c r="C323" s="10" t="s">
        <v>678</v>
      </c>
      <c r="D323" s="10" t="s">
        <v>679</v>
      </c>
      <c r="E323" s="10">
        <v>247</v>
      </c>
      <c r="F323" s="10" t="s">
        <v>34</v>
      </c>
      <c r="G323" s="10">
        <v>28.9</v>
      </c>
      <c r="H323" s="10">
        <v>60.7</v>
      </c>
      <c r="I323" s="10" t="s">
        <v>38</v>
      </c>
      <c r="J323" s="10">
        <v>56</v>
      </c>
      <c r="K323" s="10">
        <v>115</v>
      </c>
      <c r="L323" s="10">
        <v>10</v>
      </c>
      <c r="M323" s="10" t="s">
        <v>51</v>
      </c>
      <c r="N323" s="10">
        <v>61.6</v>
      </c>
      <c r="O323" s="10">
        <v>270</v>
      </c>
      <c r="P323" s="10">
        <v>0</v>
      </c>
      <c r="Q323" s="10" t="str">
        <f>+IF(Tabla2[[#This Row],[Demand_Forecast]]&lt;= 125,"Low demand",IF(Tabla2[[#This Row],[Demand_Forecast]] &gt;=285,"High demand","Mid demand"))</f>
        <v>Mid demand</v>
      </c>
    </row>
    <row r="324" spans="1:17" x14ac:dyDescent="0.25">
      <c r="A324" s="11">
        <v>45390.822141203702</v>
      </c>
      <c r="B324" s="10" t="s">
        <v>56</v>
      </c>
      <c r="C324" s="10" t="s">
        <v>680</v>
      </c>
      <c r="D324" s="10" t="s">
        <v>681</v>
      </c>
      <c r="E324" s="10">
        <v>134</v>
      </c>
      <c r="F324" s="10" t="s">
        <v>25</v>
      </c>
      <c r="G324" s="10">
        <v>19.899999999999999</v>
      </c>
      <c r="H324" s="10">
        <v>67.5</v>
      </c>
      <c r="I324" s="10" t="s">
        <v>20</v>
      </c>
      <c r="J324" s="10">
        <v>42</v>
      </c>
      <c r="K324" s="10">
        <v>421</v>
      </c>
      <c r="L324" s="10">
        <v>5</v>
      </c>
      <c r="M324" s="10" t="s">
        <v>51</v>
      </c>
      <c r="N324" s="10">
        <v>77.599999999999994</v>
      </c>
      <c r="O324" s="10">
        <v>183</v>
      </c>
      <c r="P324" s="10">
        <v>0</v>
      </c>
      <c r="Q324" s="10" t="str">
        <f>+IF(Tabla2[[#This Row],[Demand_Forecast]]&lt;= 125,"Low demand",IF(Tabla2[[#This Row],[Demand_Forecast]] &gt;=285,"High demand","Mid demand"))</f>
        <v>Mid demand</v>
      </c>
    </row>
    <row r="325" spans="1:17" x14ac:dyDescent="0.25">
      <c r="A325" s="11">
        <v>45603.598506944443</v>
      </c>
      <c r="B325" s="10" t="s">
        <v>41</v>
      </c>
      <c r="C325" s="10" t="s">
        <v>682</v>
      </c>
      <c r="D325" s="10" t="s">
        <v>683</v>
      </c>
      <c r="E325" s="10">
        <v>175</v>
      </c>
      <c r="F325" s="10" t="s">
        <v>25</v>
      </c>
      <c r="G325" s="10">
        <v>20.9</v>
      </c>
      <c r="H325" s="10">
        <v>58.7</v>
      </c>
      <c r="I325" s="10" t="s">
        <v>20</v>
      </c>
      <c r="J325" s="10">
        <v>35</v>
      </c>
      <c r="K325" s="10">
        <v>274</v>
      </c>
      <c r="L325" s="10">
        <v>9</v>
      </c>
      <c r="M325" s="10" t="s">
        <v>51</v>
      </c>
      <c r="N325" s="10">
        <v>61.1</v>
      </c>
      <c r="O325" s="10">
        <v>240</v>
      </c>
      <c r="P325" s="10">
        <v>0</v>
      </c>
      <c r="Q325" s="10" t="str">
        <f>+IF(Tabla2[[#This Row],[Demand_Forecast]]&lt;= 125,"Low demand",IF(Tabla2[[#This Row],[Demand_Forecast]] &gt;=285,"High demand","Mid demand"))</f>
        <v>Mid demand</v>
      </c>
    </row>
    <row r="326" spans="1:17" x14ac:dyDescent="0.25">
      <c r="A326" s="11">
        <v>45303.709409722222</v>
      </c>
      <c r="B326" s="10" t="s">
        <v>31</v>
      </c>
      <c r="C326" s="10" t="s">
        <v>684</v>
      </c>
      <c r="D326" s="10" t="s">
        <v>685</v>
      </c>
      <c r="E326" s="10">
        <v>179</v>
      </c>
      <c r="F326" s="10" t="s">
        <v>19</v>
      </c>
      <c r="G326" s="10">
        <v>24.2</v>
      </c>
      <c r="H326" s="10">
        <v>50.2</v>
      </c>
      <c r="I326" s="10" t="s">
        <v>38</v>
      </c>
      <c r="J326" s="10">
        <v>31</v>
      </c>
      <c r="K326" s="10">
        <v>485</v>
      </c>
      <c r="L326" s="10">
        <v>10</v>
      </c>
      <c r="M326" s="10" t="s">
        <v>21</v>
      </c>
      <c r="N326" s="10">
        <v>75.8</v>
      </c>
      <c r="O326" s="10">
        <v>255</v>
      </c>
      <c r="P326" s="10">
        <v>1</v>
      </c>
      <c r="Q326" s="10" t="str">
        <f>+IF(Tabla2[[#This Row],[Demand_Forecast]]&lt;= 125,"Low demand",IF(Tabla2[[#This Row],[Demand_Forecast]] &gt;=285,"High demand","Mid demand"))</f>
        <v>Mid demand</v>
      </c>
    </row>
    <row r="327" spans="1:17" x14ac:dyDescent="0.25">
      <c r="A327" s="11">
        <v>45442.35359953704</v>
      </c>
      <c r="B327" s="10" t="s">
        <v>28</v>
      </c>
      <c r="C327" s="10" t="s">
        <v>686</v>
      </c>
      <c r="D327" s="10" t="s">
        <v>687</v>
      </c>
      <c r="E327" s="10">
        <v>105</v>
      </c>
      <c r="F327" s="10" t="s">
        <v>19</v>
      </c>
      <c r="G327" s="10">
        <v>27.1</v>
      </c>
      <c r="H327" s="10">
        <v>59.8</v>
      </c>
      <c r="I327" s="10" t="s">
        <v>38</v>
      </c>
      <c r="J327" s="10">
        <v>36</v>
      </c>
      <c r="K327" s="10">
        <v>409</v>
      </c>
      <c r="L327" s="10">
        <v>7</v>
      </c>
      <c r="M327" s="10" t="s">
        <v>35</v>
      </c>
      <c r="N327" s="10">
        <v>75.7</v>
      </c>
      <c r="O327" s="10">
        <v>290</v>
      </c>
      <c r="P327" s="10">
        <v>1</v>
      </c>
      <c r="Q327" s="10" t="str">
        <f>+IF(Tabla2[[#This Row],[Demand_Forecast]]&lt;= 125,"Low demand",IF(Tabla2[[#This Row],[Demand_Forecast]] &gt;=285,"High demand","Mid demand"))</f>
        <v>High demand</v>
      </c>
    </row>
    <row r="328" spans="1:17" x14ac:dyDescent="0.25">
      <c r="A328" s="11">
        <v>45428.315405092595</v>
      </c>
      <c r="B328" s="10" t="s">
        <v>48</v>
      </c>
      <c r="C328" s="10" t="s">
        <v>688</v>
      </c>
      <c r="D328" s="10" t="s">
        <v>689</v>
      </c>
      <c r="E328" s="10">
        <v>277</v>
      </c>
      <c r="F328" s="10" t="s">
        <v>25</v>
      </c>
      <c r="G328" s="10">
        <v>23.5</v>
      </c>
      <c r="H328" s="10">
        <v>63.9</v>
      </c>
      <c r="I328" s="10" t="s">
        <v>26</v>
      </c>
      <c r="J328" s="10">
        <v>11</v>
      </c>
      <c r="K328" s="10">
        <v>292</v>
      </c>
      <c r="L328" s="10">
        <v>8</v>
      </c>
      <c r="M328" s="10" t="s">
        <v>27</v>
      </c>
      <c r="N328" s="10">
        <v>67.5</v>
      </c>
      <c r="O328" s="10">
        <v>234</v>
      </c>
      <c r="P328" s="10">
        <v>1</v>
      </c>
      <c r="Q328" s="10" t="str">
        <f>+IF(Tabla2[[#This Row],[Demand_Forecast]]&lt;= 125,"Low demand",IF(Tabla2[[#This Row],[Demand_Forecast]] &gt;=285,"High demand","Mid demand"))</f>
        <v>Mid demand</v>
      </c>
    </row>
    <row r="329" spans="1:17" x14ac:dyDescent="0.25">
      <c r="A329" s="11">
        <v>45634.518495370372</v>
      </c>
      <c r="B329" s="10" t="s">
        <v>64</v>
      </c>
      <c r="C329" s="10" t="s">
        <v>690</v>
      </c>
      <c r="D329" s="10" t="s">
        <v>691</v>
      </c>
      <c r="E329" s="10">
        <v>427</v>
      </c>
      <c r="F329" s="10" t="s">
        <v>19</v>
      </c>
      <c r="G329" s="10">
        <v>26.7</v>
      </c>
      <c r="H329" s="10">
        <v>63.8</v>
      </c>
      <c r="I329" s="10" t="s">
        <v>20</v>
      </c>
      <c r="J329" s="10">
        <v>54</v>
      </c>
      <c r="K329" s="10">
        <v>453</v>
      </c>
      <c r="L329" s="10">
        <v>6</v>
      </c>
      <c r="M329" s="10" t="s">
        <v>27</v>
      </c>
      <c r="N329" s="10">
        <v>86.7</v>
      </c>
      <c r="O329" s="10">
        <v>101</v>
      </c>
      <c r="P329" s="10">
        <v>1</v>
      </c>
      <c r="Q329" s="10" t="str">
        <f>+IF(Tabla2[[#This Row],[Demand_Forecast]]&lt;= 125,"Low demand",IF(Tabla2[[#This Row],[Demand_Forecast]] &gt;=285,"High demand","Mid demand"))</f>
        <v>Low demand</v>
      </c>
    </row>
    <row r="330" spans="1:17" x14ac:dyDescent="0.25">
      <c r="A330" s="11">
        <v>45379.356956018521</v>
      </c>
      <c r="B330" s="10" t="s">
        <v>61</v>
      </c>
      <c r="C330" s="10" t="s">
        <v>692</v>
      </c>
      <c r="D330" s="10" t="s">
        <v>693</v>
      </c>
      <c r="E330" s="10">
        <v>348</v>
      </c>
      <c r="F330" s="10" t="s">
        <v>19</v>
      </c>
      <c r="G330" s="10">
        <v>22.7</v>
      </c>
      <c r="H330" s="10">
        <v>63.3</v>
      </c>
      <c r="I330" s="10" t="s">
        <v>20</v>
      </c>
      <c r="J330" s="10">
        <v>23</v>
      </c>
      <c r="K330" s="10">
        <v>134</v>
      </c>
      <c r="L330" s="10">
        <v>4</v>
      </c>
      <c r="M330" s="10" t="s">
        <v>51</v>
      </c>
      <c r="N330" s="10">
        <v>99.6</v>
      </c>
      <c r="O330" s="10">
        <v>251</v>
      </c>
      <c r="P330" s="10">
        <v>1</v>
      </c>
      <c r="Q330" s="10" t="str">
        <f>+IF(Tabla2[[#This Row],[Demand_Forecast]]&lt;= 125,"Low demand",IF(Tabla2[[#This Row],[Demand_Forecast]] &gt;=285,"High demand","Mid demand"))</f>
        <v>Mid demand</v>
      </c>
    </row>
    <row r="331" spans="1:17" x14ac:dyDescent="0.25">
      <c r="A331" s="11">
        <v>45398.897141203706</v>
      </c>
      <c r="B331" s="10" t="s">
        <v>61</v>
      </c>
      <c r="C331" s="10" t="s">
        <v>694</v>
      </c>
      <c r="D331" s="10" t="s">
        <v>695</v>
      </c>
      <c r="E331" s="10">
        <v>300</v>
      </c>
      <c r="F331" s="10" t="s">
        <v>19</v>
      </c>
      <c r="G331" s="10">
        <v>23.1</v>
      </c>
      <c r="H331" s="10">
        <v>78.099999999999994</v>
      </c>
      <c r="I331" s="10" t="s">
        <v>20</v>
      </c>
      <c r="J331" s="10">
        <v>53</v>
      </c>
      <c r="K331" s="10">
        <v>146</v>
      </c>
      <c r="L331" s="10">
        <v>4</v>
      </c>
      <c r="M331" s="10" t="s">
        <v>27</v>
      </c>
      <c r="N331" s="10">
        <v>73.3</v>
      </c>
      <c r="O331" s="10">
        <v>280</v>
      </c>
      <c r="P331" s="10">
        <v>1</v>
      </c>
      <c r="Q331" s="10" t="str">
        <f>+IF(Tabla2[[#This Row],[Demand_Forecast]]&lt;= 125,"Low demand",IF(Tabla2[[#This Row],[Demand_Forecast]] &gt;=285,"High demand","Mid demand"))</f>
        <v>Mid demand</v>
      </c>
    </row>
    <row r="332" spans="1:17" x14ac:dyDescent="0.25">
      <c r="A332" s="11">
        <v>45616.614236111112</v>
      </c>
      <c r="B332" s="10" t="s">
        <v>95</v>
      </c>
      <c r="C332" s="10" t="s">
        <v>696</v>
      </c>
      <c r="D332" s="10" t="s">
        <v>697</v>
      </c>
      <c r="E332" s="10">
        <v>457</v>
      </c>
      <c r="F332" s="10" t="s">
        <v>34</v>
      </c>
      <c r="G332" s="10">
        <v>27.2</v>
      </c>
      <c r="H332" s="10">
        <v>69.099999999999994</v>
      </c>
      <c r="I332" s="10" t="s">
        <v>26</v>
      </c>
      <c r="J332" s="10">
        <v>55</v>
      </c>
      <c r="K332" s="10">
        <v>319</v>
      </c>
      <c r="L332" s="10">
        <v>2</v>
      </c>
      <c r="M332" s="10" t="s">
        <v>35</v>
      </c>
      <c r="N332" s="10">
        <v>67.7</v>
      </c>
      <c r="O332" s="10">
        <v>132</v>
      </c>
      <c r="P332" s="10">
        <v>1</v>
      </c>
      <c r="Q332" s="10" t="str">
        <f>+IF(Tabla2[[#This Row],[Demand_Forecast]]&lt;= 125,"Low demand",IF(Tabla2[[#This Row],[Demand_Forecast]] &gt;=285,"High demand","Mid demand"))</f>
        <v>Mid demand</v>
      </c>
    </row>
    <row r="333" spans="1:17" x14ac:dyDescent="0.25">
      <c r="A333" s="11">
        <v>45463.345775462964</v>
      </c>
      <c r="B333" s="10" t="s">
        <v>95</v>
      </c>
      <c r="C333" s="10" t="s">
        <v>698</v>
      </c>
      <c r="D333" s="10" t="s">
        <v>699</v>
      </c>
      <c r="E333" s="10">
        <v>316</v>
      </c>
      <c r="F333" s="10" t="s">
        <v>19</v>
      </c>
      <c r="G333" s="10">
        <v>26.8</v>
      </c>
      <c r="H333" s="10">
        <v>53.5</v>
      </c>
      <c r="I333" s="10" t="s">
        <v>38</v>
      </c>
      <c r="J333" s="10">
        <v>35</v>
      </c>
      <c r="K333" s="10">
        <v>402</v>
      </c>
      <c r="L333" s="10">
        <v>10</v>
      </c>
      <c r="M333" s="10" t="s">
        <v>51</v>
      </c>
      <c r="N333" s="10">
        <v>93.6</v>
      </c>
      <c r="O333" s="10">
        <v>206</v>
      </c>
      <c r="P333" s="10">
        <v>1</v>
      </c>
      <c r="Q333" s="10" t="str">
        <f>+IF(Tabla2[[#This Row],[Demand_Forecast]]&lt;= 125,"Low demand",IF(Tabla2[[#This Row],[Demand_Forecast]] &gt;=285,"High demand","Mid demand"))</f>
        <v>Mid demand</v>
      </c>
    </row>
    <row r="334" spans="1:17" x14ac:dyDescent="0.25">
      <c r="A334" s="11">
        <v>45515.653171296297</v>
      </c>
      <c r="B334" s="10" t="s">
        <v>31</v>
      </c>
      <c r="C334" s="10" t="s">
        <v>700</v>
      </c>
      <c r="D334" s="10" t="s">
        <v>701</v>
      </c>
      <c r="E334" s="10">
        <v>207</v>
      </c>
      <c r="F334" s="10" t="s">
        <v>25</v>
      </c>
      <c r="G334" s="10">
        <v>19.2</v>
      </c>
      <c r="H334" s="10">
        <v>59.7</v>
      </c>
      <c r="I334" s="10" t="s">
        <v>20</v>
      </c>
      <c r="J334" s="10">
        <v>56</v>
      </c>
      <c r="K334" s="10">
        <v>484</v>
      </c>
      <c r="L334" s="10">
        <v>7</v>
      </c>
      <c r="M334" s="10" t="s">
        <v>35</v>
      </c>
      <c r="N334" s="10">
        <v>72.599999999999994</v>
      </c>
      <c r="O334" s="10">
        <v>285</v>
      </c>
      <c r="P334" s="10">
        <v>0</v>
      </c>
      <c r="Q334" s="10" t="str">
        <f>+IF(Tabla2[[#This Row],[Demand_Forecast]]&lt;= 125,"Low demand",IF(Tabla2[[#This Row],[Demand_Forecast]] &gt;=285,"High demand","Mid demand"))</f>
        <v>High demand</v>
      </c>
    </row>
    <row r="335" spans="1:17" x14ac:dyDescent="0.25">
      <c r="A335" s="11">
        <v>45595.530914351853</v>
      </c>
      <c r="B335" s="10" t="s">
        <v>28</v>
      </c>
      <c r="C335" s="10" t="s">
        <v>702</v>
      </c>
      <c r="D335" s="10" t="s">
        <v>703</v>
      </c>
      <c r="E335" s="10">
        <v>333</v>
      </c>
      <c r="F335" s="10" t="s">
        <v>34</v>
      </c>
      <c r="G335" s="10">
        <v>27.5</v>
      </c>
      <c r="H335" s="10">
        <v>55.8</v>
      </c>
      <c r="I335" s="10" t="s">
        <v>26</v>
      </c>
      <c r="J335" s="10">
        <v>36</v>
      </c>
      <c r="K335" s="10">
        <v>141</v>
      </c>
      <c r="L335" s="10">
        <v>2</v>
      </c>
      <c r="M335" s="10" t="s">
        <v>35</v>
      </c>
      <c r="N335" s="10">
        <v>67</v>
      </c>
      <c r="O335" s="10">
        <v>264</v>
      </c>
      <c r="P335" s="10">
        <v>1</v>
      </c>
      <c r="Q335" s="10" t="str">
        <f>+IF(Tabla2[[#This Row],[Demand_Forecast]]&lt;= 125,"Low demand",IF(Tabla2[[#This Row],[Demand_Forecast]] &gt;=285,"High demand","Mid demand"))</f>
        <v>Mid demand</v>
      </c>
    </row>
    <row r="336" spans="1:17" x14ac:dyDescent="0.25">
      <c r="A336" s="11">
        <v>45373.458564814813</v>
      </c>
      <c r="B336" s="10" t="s">
        <v>28</v>
      </c>
      <c r="C336" s="10" t="s">
        <v>704</v>
      </c>
      <c r="D336" s="10" t="s">
        <v>705</v>
      </c>
      <c r="E336" s="10">
        <v>327</v>
      </c>
      <c r="F336" s="10" t="s">
        <v>19</v>
      </c>
      <c r="G336" s="10">
        <v>22.6</v>
      </c>
      <c r="H336" s="10">
        <v>57.4</v>
      </c>
      <c r="I336" s="10" t="s">
        <v>20</v>
      </c>
      <c r="J336" s="10">
        <v>38</v>
      </c>
      <c r="K336" s="10">
        <v>432</v>
      </c>
      <c r="L336" s="10">
        <v>4</v>
      </c>
      <c r="M336" s="10" t="s">
        <v>35</v>
      </c>
      <c r="N336" s="10">
        <v>68.400000000000006</v>
      </c>
      <c r="O336" s="10">
        <v>171</v>
      </c>
      <c r="P336" s="10">
        <v>1</v>
      </c>
      <c r="Q336" s="10" t="str">
        <f>+IF(Tabla2[[#This Row],[Demand_Forecast]]&lt;= 125,"Low demand",IF(Tabla2[[#This Row],[Demand_Forecast]] &gt;=285,"High demand","Mid demand"))</f>
        <v>Mid demand</v>
      </c>
    </row>
    <row r="337" spans="1:17" x14ac:dyDescent="0.25">
      <c r="A337" s="11">
        <v>45424.569502314815</v>
      </c>
      <c r="B337" s="10" t="s">
        <v>61</v>
      </c>
      <c r="C337" s="10" t="s">
        <v>706</v>
      </c>
      <c r="D337" s="10" t="s">
        <v>707</v>
      </c>
      <c r="E337" s="10">
        <v>197</v>
      </c>
      <c r="F337" s="10" t="s">
        <v>25</v>
      </c>
      <c r="G337" s="10">
        <v>20</v>
      </c>
      <c r="H337" s="10">
        <v>69.599999999999994</v>
      </c>
      <c r="I337" s="10" t="s">
        <v>20</v>
      </c>
      <c r="J337" s="10">
        <v>42</v>
      </c>
      <c r="K337" s="10">
        <v>314</v>
      </c>
      <c r="L337" s="10">
        <v>3</v>
      </c>
      <c r="M337" s="10" t="s">
        <v>35</v>
      </c>
      <c r="N337" s="10">
        <v>87.2</v>
      </c>
      <c r="O337" s="10">
        <v>201</v>
      </c>
      <c r="P337" s="10">
        <v>0</v>
      </c>
      <c r="Q337" s="10" t="str">
        <f>+IF(Tabla2[[#This Row],[Demand_Forecast]]&lt;= 125,"Low demand",IF(Tabla2[[#This Row],[Demand_Forecast]] &gt;=285,"High demand","Mid demand"))</f>
        <v>Mid demand</v>
      </c>
    </row>
    <row r="338" spans="1:17" x14ac:dyDescent="0.25">
      <c r="A338" s="11">
        <v>45611.339085648149</v>
      </c>
      <c r="B338" s="10" t="s">
        <v>16</v>
      </c>
      <c r="C338" s="10" t="s">
        <v>708</v>
      </c>
      <c r="D338" s="10" t="s">
        <v>709</v>
      </c>
      <c r="E338" s="10">
        <v>356</v>
      </c>
      <c r="F338" s="10" t="s">
        <v>19</v>
      </c>
      <c r="G338" s="10">
        <v>23.4</v>
      </c>
      <c r="H338" s="10">
        <v>72.8</v>
      </c>
      <c r="I338" s="10" t="s">
        <v>20</v>
      </c>
      <c r="J338" s="10">
        <v>39</v>
      </c>
      <c r="K338" s="10">
        <v>486</v>
      </c>
      <c r="L338" s="10">
        <v>9</v>
      </c>
      <c r="M338" s="10" t="s">
        <v>51</v>
      </c>
      <c r="N338" s="10">
        <v>99.2</v>
      </c>
      <c r="O338" s="10">
        <v>282</v>
      </c>
      <c r="P338" s="10">
        <v>1</v>
      </c>
      <c r="Q338" s="10" t="str">
        <f>+IF(Tabla2[[#This Row],[Demand_Forecast]]&lt;= 125,"Low demand",IF(Tabla2[[#This Row],[Demand_Forecast]] &gt;=285,"High demand","Mid demand"))</f>
        <v>Mid demand</v>
      </c>
    </row>
    <row r="339" spans="1:17" x14ac:dyDescent="0.25">
      <c r="A339" s="11">
        <v>45572.258090277777</v>
      </c>
      <c r="B339" s="10" t="s">
        <v>31</v>
      </c>
      <c r="C339" s="10" t="s">
        <v>710</v>
      </c>
      <c r="D339" s="10" t="s">
        <v>711</v>
      </c>
      <c r="E339" s="10">
        <v>359</v>
      </c>
      <c r="F339" s="10" t="s">
        <v>19</v>
      </c>
      <c r="G339" s="10">
        <v>29.2</v>
      </c>
      <c r="H339" s="10">
        <v>54.5</v>
      </c>
      <c r="I339" s="10" t="s">
        <v>20</v>
      </c>
      <c r="J339" s="10">
        <v>50</v>
      </c>
      <c r="K339" s="10">
        <v>268</v>
      </c>
      <c r="L339" s="10">
        <v>1</v>
      </c>
      <c r="M339" s="10" t="s">
        <v>21</v>
      </c>
      <c r="N339" s="10">
        <v>67.400000000000006</v>
      </c>
      <c r="O339" s="10">
        <v>249</v>
      </c>
      <c r="P339" s="10">
        <v>1</v>
      </c>
      <c r="Q339" s="10" t="str">
        <f>+IF(Tabla2[[#This Row],[Demand_Forecast]]&lt;= 125,"Low demand",IF(Tabla2[[#This Row],[Demand_Forecast]] &gt;=285,"High demand","Mid demand"))</f>
        <v>Mid demand</v>
      </c>
    </row>
    <row r="340" spans="1:17" x14ac:dyDescent="0.25">
      <c r="A340" s="11">
        <v>45544.145972222221</v>
      </c>
      <c r="B340" s="10" t="s">
        <v>61</v>
      </c>
      <c r="C340" s="10" t="s">
        <v>712</v>
      </c>
      <c r="D340" s="10" t="s">
        <v>713</v>
      </c>
      <c r="E340" s="10">
        <v>377</v>
      </c>
      <c r="F340" s="10" t="s">
        <v>34</v>
      </c>
      <c r="G340" s="10">
        <v>18.100000000000001</v>
      </c>
      <c r="H340" s="10">
        <v>55</v>
      </c>
      <c r="I340" s="10" t="s">
        <v>20</v>
      </c>
      <c r="J340" s="10">
        <v>59</v>
      </c>
      <c r="K340" s="10">
        <v>476</v>
      </c>
      <c r="L340" s="10">
        <v>6</v>
      </c>
      <c r="M340" s="10" t="s">
        <v>27</v>
      </c>
      <c r="N340" s="10">
        <v>70.2</v>
      </c>
      <c r="O340" s="10">
        <v>268</v>
      </c>
      <c r="P340" s="10">
        <v>0</v>
      </c>
      <c r="Q340" s="10" t="str">
        <f>+IF(Tabla2[[#This Row],[Demand_Forecast]]&lt;= 125,"Low demand",IF(Tabla2[[#This Row],[Demand_Forecast]] &gt;=285,"High demand","Mid demand"))</f>
        <v>Mid demand</v>
      </c>
    </row>
    <row r="341" spans="1:17" x14ac:dyDescent="0.25">
      <c r="A341" s="11">
        <v>45525.838287037041</v>
      </c>
      <c r="B341" s="10" t="s">
        <v>22</v>
      </c>
      <c r="C341" s="10" t="s">
        <v>714</v>
      </c>
      <c r="D341" s="10" t="s">
        <v>715</v>
      </c>
      <c r="E341" s="10">
        <v>228</v>
      </c>
      <c r="F341" s="10" t="s">
        <v>19</v>
      </c>
      <c r="G341" s="10">
        <v>24.2</v>
      </c>
      <c r="H341" s="10">
        <v>59.2</v>
      </c>
      <c r="I341" s="10" t="s">
        <v>26</v>
      </c>
      <c r="J341" s="10">
        <v>26</v>
      </c>
      <c r="K341" s="10">
        <v>321</v>
      </c>
      <c r="L341" s="10">
        <v>5</v>
      </c>
      <c r="M341" s="10" t="s">
        <v>35</v>
      </c>
      <c r="N341" s="10">
        <v>96.3</v>
      </c>
      <c r="O341" s="10">
        <v>132</v>
      </c>
      <c r="P341" s="10">
        <v>1</v>
      </c>
      <c r="Q341" s="10" t="str">
        <f>+IF(Tabla2[[#This Row],[Demand_Forecast]]&lt;= 125,"Low demand",IF(Tabla2[[#This Row],[Demand_Forecast]] &gt;=285,"High demand","Mid demand"))</f>
        <v>Mid demand</v>
      </c>
    </row>
    <row r="342" spans="1:17" x14ac:dyDescent="0.25">
      <c r="A342" s="11">
        <v>45308.148564814815</v>
      </c>
      <c r="B342" s="10" t="s">
        <v>28</v>
      </c>
      <c r="C342" s="10" t="s">
        <v>716</v>
      </c>
      <c r="D342" s="10" t="s">
        <v>717</v>
      </c>
      <c r="E342" s="10">
        <v>399</v>
      </c>
      <c r="F342" s="10" t="s">
        <v>34</v>
      </c>
      <c r="G342" s="10">
        <v>23.4</v>
      </c>
      <c r="H342" s="10">
        <v>71.7</v>
      </c>
      <c r="I342" s="10" t="s">
        <v>26</v>
      </c>
      <c r="J342" s="10">
        <v>12</v>
      </c>
      <c r="K342" s="10">
        <v>239</v>
      </c>
      <c r="L342" s="10">
        <v>1</v>
      </c>
      <c r="M342" s="10" t="s">
        <v>21</v>
      </c>
      <c r="N342" s="10">
        <v>67.599999999999994</v>
      </c>
      <c r="O342" s="10">
        <v>156</v>
      </c>
      <c r="P342" s="10">
        <v>1</v>
      </c>
      <c r="Q342" s="10" t="str">
        <f>+IF(Tabla2[[#This Row],[Demand_Forecast]]&lt;= 125,"Low demand",IF(Tabla2[[#This Row],[Demand_Forecast]] &gt;=285,"High demand","Mid demand"))</f>
        <v>Mid demand</v>
      </c>
    </row>
    <row r="343" spans="1:17" x14ac:dyDescent="0.25">
      <c r="A343" s="11">
        <v>45628.505543981482</v>
      </c>
      <c r="B343" s="10" t="s">
        <v>61</v>
      </c>
      <c r="C343" s="10" t="s">
        <v>718</v>
      </c>
      <c r="D343" s="10" t="s">
        <v>719</v>
      </c>
      <c r="E343" s="10">
        <v>157</v>
      </c>
      <c r="F343" s="10" t="s">
        <v>25</v>
      </c>
      <c r="G343" s="10">
        <v>29.8</v>
      </c>
      <c r="H343" s="10">
        <v>54</v>
      </c>
      <c r="I343" s="10" t="s">
        <v>38</v>
      </c>
      <c r="J343" s="10">
        <v>33</v>
      </c>
      <c r="K343" s="10">
        <v>151</v>
      </c>
      <c r="L343" s="10">
        <v>10</v>
      </c>
      <c r="M343" s="10" t="s">
        <v>27</v>
      </c>
      <c r="N343" s="10">
        <v>81.2</v>
      </c>
      <c r="O343" s="10">
        <v>192</v>
      </c>
      <c r="P343" s="10">
        <v>0</v>
      </c>
      <c r="Q343" s="10" t="str">
        <f>+IF(Tabla2[[#This Row],[Demand_Forecast]]&lt;= 125,"Low demand",IF(Tabla2[[#This Row],[Demand_Forecast]] &gt;=285,"High demand","Mid demand"))</f>
        <v>Mid demand</v>
      </c>
    </row>
    <row r="344" spans="1:17" x14ac:dyDescent="0.25">
      <c r="A344" s="11">
        <v>45614.327928240738</v>
      </c>
      <c r="B344" s="10" t="s">
        <v>28</v>
      </c>
      <c r="C344" s="10" t="s">
        <v>720</v>
      </c>
      <c r="D344" s="10" t="s">
        <v>721</v>
      </c>
      <c r="E344" s="10">
        <v>327</v>
      </c>
      <c r="F344" s="10" t="s">
        <v>25</v>
      </c>
      <c r="G344" s="10">
        <v>21.2</v>
      </c>
      <c r="H344" s="10">
        <v>52.6</v>
      </c>
      <c r="I344" s="10" t="s">
        <v>38</v>
      </c>
      <c r="J344" s="10">
        <v>48</v>
      </c>
      <c r="K344" s="10">
        <v>209</v>
      </c>
      <c r="L344" s="10">
        <v>8</v>
      </c>
      <c r="M344" s="10" t="s">
        <v>51</v>
      </c>
      <c r="N344" s="10">
        <v>98.6</v>
      </c>
      <c r="O344" s="10">
        <v>104</v>
      </c>
      <c r="P344" s="10">
        <v>0</v>
      </c>
      <c r="Q344" s="10" t="str">
        <f>+IF(Tabla2[[#This Row],[Demand_Forecast]]&lt;= 125,"Low demand",IF(Tabla2[[#This Row],[Demand_Forecast]] &gt;=285,"High demand","Mid demand"))</f>
        <v>Low demand</v>
      </c>
    </row>
    <row r="345" spans="1:17" x14ac:dyDescent="0.25">
      <c r="A345" s="11">
        <v>45411.496134259258</v>
      </c>
      <c r="B345" s="10" t="s">
        <v>48</v>
      </c>
      <c r="C345" s="10" t="s">
        <v>722</v>
      </c>
      <c r="D345" s="10" t="s">
        <v>723</v>
      </c>
      <c r="E345" s="10">
        <v>215</v>
      </c>
      <c r="F345" s="10" t="s">
        <v>19</v>
      </c>
      <c r="G345" s="10">
        <v>21.7</v>
      </c>
      <c r="H345" s="10">
        <v>73.400000000000006</v>
      </c>
      <c r="I345" s="10" t="s">
        <v>20</v>
      </c>
      <c r="J345" s="10">
        <v>17</v>
      </c>
      <c r="K345" s="10">
        <v>146</v>
      </c>
      <c r="L345" s="10">
        <v>9</v>
      </c>
      <c r="M345" s="10" t="s">
        <v>21</v>
      </c>
      <c r="N345" s="10">
        <v>70.400000000000006</v>
      </c>
      <c r="O345" s="10">
        <v>296</v>
      </c>
      <c r="P345" s="10">
        <v>1</v>
      </c>
      <c r="Q345" s="10" t="str">
        <f>+IF(Tabla2[[#This Row],[Demand_Forecast]]&lt;= 125,"Low demand",IF(Tabla2[[#This Row],[Demand_Forecast]] &gt;=285,"High demand","Mid demand"))</f>
        <v>High demand</v>
      </c>
    </row>
    <row r="346" spans="1:17" x14ac:dyDescent="0.25">
      <c r="A346" s="11">
        <v>45441.28460648148</v>
      </c>
      <c r="B346" s="10" t="s">
        <v>31</v>
      </c>
      <c r="C346" s="10" t="s">
        <v>724</v>
      </c>
      <c r="D346" s="10" t="s">
        <v>725</v>
      </c>
      <c r="E346" s="10">
        <v>213</v>
      </c>
      <c r="F346" s="10" t="s">
        <v>19</v>
      </c>
      <c r="G346" s="10">
        <v>20.2</v>
      </c>
      <c r="H346" s="10">
        <v>63.7</v>
      </c>
      <c r="I346" s="10" t="s">
        <v>38</v>
      </c>
      <c r="J346" s="10">
        <v>16</v>
      </c>
      <c r="K346" s="10">
        <v>248</v>
      </c>
      <c r="L346" s="10">
        <v>10</v>
      </c>
      <c r="M346" s="10" t="s">
        <v>21</v>
      </c>
      <c r="N346" s="10">
        <v>68.8</v>
      </c>
      <c r="O346" s="10">
        <v>136</v>
      </c>
      <c r="P346" s="10">
        <v>1</v>
      </c>
      <c r="Q346" s="10" t="str">
        <f>+IF(Tabla2[[#This Row],[Demand_Forecast]]&lt;= 125,"Low demand",IF(Tabla2[[#This Row],[Demand_Forecast]] &gt;=285,"High demand","Mid demand"))</f>
        <v>Mid demand</v>
      </c>
    </row>
    <row r="347" spans="1:17" x14ac:dyDescent="0.25">
      <c r="A347" s="11">
        <v>45606.242604166669</v>
      </c>
      <c r="B347" s="10" t="s">
        <v>16</v>
      </c>
      <c r="C347" s="10" t="s">
        <v>726</v>
      </c>
      <c r="D347" s="10" t="s">
        <v>727</v>
      </c>
      <c r="E347" s="10">
        <v>226</v>
      </c>
      <c r="F347" s="10" t="s">
        <v>25</v>
      </c>
      <c r="G347" s="10">
        <v>21.4</v>
      </c>
      <c r="H347" s="10">
        <v>58</v>
      </c>
      <c r="I347" s="10" t="s">
        <v>20</v>
      </c>
      <c r="J347" s="10">
        <v>47</v>
      </c>
      <c r="K347" s="10">
        <v>348</v>
      </c>
      <c r="L347" s="10">
        <v>7</v>
      </c>
      <c r="M347" s="10" t="s">
        <v>51</v>
      </c>
      <c r="N347" s="10">
        <v>85.7</v>
      </c>
      <c r="O347" s="10">
        <v>136</v>
      </c>
      <c r="P347" s="10">
        <v>0</v>
      </c>
      <c r="Q347" s="10" t="str">
        <f>+IF(Tabla2[[#This Row],[Demand_Forecast]]&lt;= 125,"Low demand",IF(Tabla2[[#This Row],[Demand_Forecast]] &gt;=285,"High demand","Mid demand"))</f>
        <v>Mid demand</v>
      </c>
    </row>
    <row r="348" spans="1:17" x14ac:dyDescent="0.25">
      <c r="A348" s="11">
        <v>45599.848356481481</v>
      </c>
      <c r="B348" s="10" t="s">
        <v>95</v>
      </c>
      <c r="C348" s="10" t="s">
        <v>728</v>
      </c>
      <c r="D348" s="10" t="s">
        <v>729</v>
      </c>
      <c r="E348" s="10">
        <v>334</v>
      </c>
      <c r="F348" s="10" t="s">
        <v>34</v>
      </c>
      <c r="G348" s="10">
        <v>24.2</v>
      </c>
      <c r="H348" s="10">
        <v>76.2</v>
      </c>
      <c r="I348" s="10" t="s">
        <v>38</v>
      </c>
      <c r="J348" s="10">
        <v>24</v>
      </c>
      <c r="K348" s="10">
        <v>402</v>
      </c>
      <c r="L348" s="10">
        <v>7</v>
      </c>
      <c r="M348" s="10" t="s">
        <v>35</v>
      </c>
      <c r="N348" s="10">
        <v>71.5</v>
      </c>
      <c r="O348" s="10">
        <v>105</v>
      </c>
      <c r="P348" s="10">
        <v>0</v>
      </c>
      <c r="Q348" s="10" t="str">
        <f>+IF(Tabla2[[#This Row],[Demand_Forecast]]&lt;= 125,"Low demand",IF(Tabla2[[#This Row],[Demand_Forecast]] &gt;=285,"High demand","Mid demand"))</f>
        <v>Low demand</v>
      </c>
    </row>
    <row r="349" spans="1:17" x14ac:dyDescent="0.25">
      <c r="A349" s="11">
        <v>45539.448067129626</v>
      </c>
      <c r="B349" s="10" t="s">
        <v>48</v>
      </c>
      <c r="C349" s="10" t="s">
        <v>730</v>
      </c>
      <c r="D349" s="10" t="s">
        <v>731</v>
      </c>
      <c r="E349" s="10">
        <v>319</v>
      </c>
      <c r="F349" s="10" t="s">
        <v>25</v>
      </c>
      <c r="G349" s="10">
        <v>25.5</v>
      </c>
      <c r="H349" s="10">
        <v>51.7</v>
      </c>
      <c r="I349" s="10" t="s">
        <v>20</v>
      </c>
      <c r="J349" s="10">
        <v>32</v>
      </c>
      <c r="K349" s="10">
        <v>350</v>
      </c>
      <c r="L349" s="10">
        <v>2</v>
      </c>
      <c r="M349" s="10" t="s">
        <v>21</v>
      </c>
      <c r="N349" s="10">
        <v>69.7</v>
      </c>
      <c r="O349" s="10">
        <v>254</v>
      </c>
      <c r="P349" s="10">
        <v>0</v>
      </c>
      <c r="Q349" s="10" t="str">
        <f>+IF(Tabla2[[#This Row],[Demand_Forecast]]&lt;= 125,"Low demand",IF(Tabla2[[#This Row],[Demand_Forecast]] &gt;=285,"High demand","Mid demand"))</f>
        <v>Mid demand</v>
      </c>
    </row>
    <row r="350" spans="1:17" x14ac:dyDescent="0.25">
      <c r="A350" s="11">
        <v>45560.911909722221</v>
      </c>
      <c r="B350" s="10" t="s">
        <v>56</v>
      </c>
      <c r="C350" s="10" t="s">
        <v>732</v>
      </c>
      <c r="D350" s="10" t="s">
        <v>733</v>
      </c>
      <c r="E350" s="10">
        <v>411</v>
      </c>
      <c r="F350" s="10" t="s">
        <v>25</v>
      </c>
      <c r="G350" s="10">
        <v>20.5</v>
      </c>
      <c r="H350" s="10">
        <v>77.400000000000006</v>
      </c>
      <c r="I350" s="10" t="s">
        <v>26</v>
      </c>
      <c r="J350" s="10">
        <v>51</v>
      </c>
      <c r="K350" s="10">
        <v>211</v>
      </c>
      <c r="L350" s="10">
        <v>5</v>
      </c>
      <c r="M350" s="10" t="s">
        <v>51</v>
      </c>
      <c r="N350" s="10">
        <v>76.900000000000006</v>
      </c>
      <c r="O350" s="10">
        <v>244</v>
      </c>
      <c r="P350" s="10">
        <v>1</v>
      </c>
      <c r="Q350" s="10" t="str">
        <f>+IF(Tabla2[[#This Row],[Demand_Forecast]]&lt;= 125,"Low demand",IF(Tabla2[[#This Row],[Demand_Forecast]] &gt;=285,"High demand","Mid demand"))</f>
        <v>Mid demand</v>
      </c>
    </row>
    <row r="351" spans="1:17" x14ac:dyDescent="0.25">
      <c r="A351" s="11">
        <v>45497.271041666667</v>
      </c>
      <c r="B351" s="10" t="s">
        <v>22</v>
      </c>
      <c r="C351" s="10" t="s">
        <v>734</v>
      </c>
      <c r="D351" s="10" t="s">
        <v>735</v>
      </c>
      <c r="E351" s="10">
        <v>208</v>
      </c>
      <c r="F351" s="10" t="s">
        <v>19</v>
      </c>
      <c r="G351" s="10">
        <v>28.8</v>
      </c>
      <c r="H351" s="10">
        <v>64.900000000000006</v>
      </c>
      <c r="I351" s="10" t="s">
        <v>38</v>
      </c>
      <c r="J351" s="10">
        <v>40</v>
      </c>
      <c r="K351" s="10">
        <v>437</v>
      </c>
      <c r="L351" s="10">
        <v>6</v>
      </c>
      <c r="M351" s="10" t="s">
        <v>27</v>
      </c>
      <c r="N351" s="10">
        <v>64.599999999999994</v>
      </c>
      <c r="O351" s="10">
        <v>185</v>
      </c>
      <c r="P351" s="10">
        <v>1</v>
      </c>
      <c r="Q351" s="10" t="str">
        <f>+IF(Tabla2[[#This Row],[Demand_Forecast]]&lt;= 125,"Low demand",IF(Tabla2[[#This Row],[Demand_Forecast]] &gt;=285,"High demand","Mid demand"))</f>
        <v>Mid demand</v>
      </c>
    </row>
    <row r="352" spans="1:17" x14ac:dyDescent="0.25">
      <c r="A352" s="11">
        <v>45384.571597222224</v>
      </c>
      <c r="B352" s="10" t="s">
        <v>64</v>
      </c>
      <c r="C352" s="10" t="s">
        <v>736</v>
      </c>
      <c r="D352" s="10" t="s">
        <v>737</v>
      </c>
      <c r="E352" s="10">
        <v>328</v>
      </c>
      <c r="F352" s="10" t="s">
        <v>34</v>
      </c>
      <c r="G352" s="10">
        <v>22.8</v>
      </c>
      <c r="H352" s="10">
        <v>73.599999999999994</v>
      </c>
      <c r="I352" s="10" t="s">
        <v>38</v>
      </c>
      <c r="J352" s="10">
        <v>12</v>
      </c>
      <c r="K352" s="10">
        <v>349</v>
      </c>
      <c r="L352" s="10">
        <v>9</v>
      </c>
      <c r="M352" s="10" t="s">
        <v>51</v>
      </c>
      <c r="N352" s="10">
        <v>93.3</v>
      </c>
      <c r="O352" s="10">
        <v>162</v>
      </c>
      <c r="P352" s="10">
        <v>0</v>
      </c>
      <c r="Q352" s="10" t="str">
        <f>+IF(Tabla2[[#This Row],[Demand_Forecast]]&lt;= 125,"Low demand",IF(Tabla2[[#This Row],[Demand_Forecast]] &gt;=285,"High demand","Mid demand"))</f>
        <v>Mid demand</v>
      </c>
    </row>
    <row r="353" spans="1:17" x14ac:dyDescent="0.25">
      <c r="A353" s="11">
        <v>45355.280324074076</v>
      </c>
      <c r="B353" s="10" t="s">
        <v>61</v>
      </c>
      <c r="C353" s="10" t="s">
        <v>738</v>
      </c>
      <c r="D353" s="10" t="s">
        <v>739</v>
      </c>
      <c r="E353" s="10">
        <v>219</v>
      </c>
      <c r="F353" s="10" t="s">
        <v>19</v>
      </c>
      <c r="G353" s="10">
        <v>22.9</v>
      </c>
      <c r="H353" s="10">
        <v>56.6</v>
      </c>
      <c r="I353" s="10" t="s">
        <v>26</v>
      </c>
      <c r="J353" s="10">
        <v>49</v>
      </c>
      <c r="K353" s="10">
        <v>372</v>
      </c>
      <c r="L353" s="10">
        <v>6</v>
      </c>
      <c r="M353" s="10" t="s">
        <v>51</v>
      </c>
      <c r="N353" s="10">
        <v>64.400000000000006</v>
      </c>
      <c r="O353" s="10">
        <v>300</v>
      </c>
      <c r="P353" s="10">
        <v>1</v>
      </c>
      <c r="Q353" s="10" t="str">
        <f>+IF(Tabla2[[#This Row],[Demand_Forecast]]&lt;= 125,"Low demand",IF(Tabla2[[#This Row],[Demand_Forecast]] &gt;=285,"High demand","Mid demand"))</f>
        <v>High demand</v>
      </c>
    </row>
    <row r="354" spans="1:17" x14ac:dyDescent="0.25">
      <c r="A354" s="11">
        <v>45636.527662037035</v>
      </c>
      <c r="B354" s="10" t="s">
        <v>56</v>
      </c>
      <c r="C354" s="10" t="s">
        <v>740</v>
      </c>
      <c r="D354" s="10" t="s">
        <v>741</v>
      </c>
      <c r="E354" s="10">
        <v>438</v>
      </c>
      <c r="F354" s="10" t="s">
        <v>25</v>
      </c>
      <c r="G354" s="10">
        <v>25.7</v>
      </c>
      <c r="H354" s="10">
        <v>71.2</v>
      </c>
      <c r="I354" s="10" t="s">
        <v>20</v>
      </c>
      <c r="J354" s="10">
        <v>21</v>
      </c>
      <c r="K354" s="10">
        <v>445</v>
      </c>
      <c r="L354" s="10">
        <v>5</v>
      </c>
      <c r="M354" s="10" t="s">
        <v>27</v>
      </c>
      <c r="N354" s="10">
        <v>90.4</v>
      </c>
      <c r="O354" s="10">
        <v>154</v>
      </c>
      <c r="P354" s="10">
        <v>0</v>
      </c>
      <c r="Q354" s="10" t="str">
        <f>+IF(Tabla2[[#This Row],[Demand_Forecast]]&lt;= 125,"Low demand",IF(Tabla2[[#This Row],[Demand_Forecast]] &gt;=285,"High demand","Mid demand"))</f>
        <v>Mid demand</v>
      </c>
    </row>
    <row r="355" spans="1:17" x14ac:dyDescent="0.25">
      <c r="A355" s="11">
        <v>45296.141041666669</v>
      </c>
      <c r="B355" s="10" t="s">
        <v>31</v>
      </c>
      <c r="C355" s="10" t="s">
        <v>742</v>
      </c>
      <c r="D355" s="10" t="s">
        <v>743</v>
      </c>
      <c r="E355" s="10">
        <v>145</v>
      </c>
      <c r="F355" s="10" t="s">
        <v>25</v>
      </c>
      <c r="G355" s="10">
        <v>23.3</v>
      </c>
      <c r="H355" s="10">
        <v>70.3</v>
      </c>
      <c r="I355" s="10" t="s">
        <v>20</v>
      </c>
      <c r="J355" s="10">
        <v>44</v>
      </c>
      <c r="K355" s="10">
        <v>421</v>
      </c>
      <c r="L355" s="10">
        <v>2</v>
      </c>
      <c r="M355" s="10" t="s">
        <v>21</v>
      </c>
      <c r="N355" s="10">
        <v>93.9</v>
      </c>
      <c r="O355" s="10">
        <v>286</v>
      </c>
      <c r="P355" s="10">
        <v>0</v>
      </c>
      <c r="Q355" s="10" t="str">
        <f>+IF(Tabla2[[#This Row],[Demand_Forecast]]&lt;= 125,"Low demand",IF(Tabla2[[#This Row],[Demand_Forecast]] &gt;=285,"High demand","Mid demand"))</f>
        <v>High demand</v>
      </c>
    </row>
    <row r="356" spans="1:17" x14ac:dyDescent="0.25">
      <c r="A356" s="11">
        <v>45309.717916666668</v>
      </c>
      <c r="B356" s="10" t="s">
        <v>95</v>
      </c>
      <c r="C356" s="10" t="s">
        <v>744</v>
      </c>
      <c r="D356" s="10" t="s">
        <v>745</v>
      </c>
      <c r="E356" s="10">
        <v>299</v>
      </c>
      <c r="F356" s="10" t="s">
        <v>34</v>
      </c>
      <c r="G356" s="10">
        <v>22.4</v>
      </c>
      <c r="H356" s="10">
        <v>64.2</v>
      </c>
      <c r="I356" s="10" t="s">
        <v>38</v>
      </c>
      <c r="J356" s="10">
        <v>54</v>
      </c>
      <c r="K356" s="10">
        <v>303</v>
      </c>
      <c r="L356" s="10">
        <v>1</v>
      </c>
      <c r="M356" s="10" t="s">
        <v>35</v>
      </c>
      <c r="N356" s="10">
        <v>88.1</v>
      </c>
      <c r="O356" s="10">
        <v>125</v>
      </c>
      <c r="P356" s="10">
        <v>0</v>
      </c>
      <c r="Q356" s="10" t="str">
        <f>+IF(Tabla2[[#This Row],[Demand_Forecast]]&lt;= 125,"Low demand",IF(Tabla2[[#This Row],[Demand_Forecast]] &gt;=285,"High demand","Mid demand"))</f>
        <v>Low demand</v>
      </c>
    </row>
    <row r="357" spans="1:17" x14ac:dyDescent="0.25">
      <c r="A357" s="11">
        <v>45422.251064814816</v>
      </c>
      <c r="B357" s="10" t="s">
        <v>64</v>
      </c>
      <c r="C357" s="10" t="s">
        <v>746</v>
      </c>
      <c r="D357" s="10" t="s">
        <v>747</v>
      </c>
      <c r="E357" s="10">
        <v>356</v>
      </c>
      <c r="F357" s="10" t="s">
        <v>34</v>
      </c>
      <c r="G357" s="10">
        <v>18.899999999999999</v>
      </c>
      <c r="H357" s="10">
        <v>71.7</v>
      </c>
      <c r="I357" s="10" t="s">
        <v>38</v>
      </c>
      <c r="J357" s="10">
        <v>25</v>
      </c>
      <c r="K357" s="10">
        <v>368</v>
      </c>
      <c r="L357" s="10">
        <v>1</v>
      </c>
      <c r="M357" s="10" t="s">
        <v>35</v>
      </c>
      <c r="N357" s="10">
        <v>66.099999999999994</v>
      </c>
      <c r="O357" s="10">
        <v>228</v>
      </c>
      <c r="P357" s="10">
        <v>0</v>
      </c>
      <c r="Q357" s="10" t="str">
        <f>+IF(Tabla2[[#This Row],[Demand_Forecast]]&lt;= 125,"Low demand",IF(Tabla2[[#This Row],[Demand_Forecast]] &gt;=285,"High demand","Mid demand"))</f>
        <v>Mid demand</v>
      </c>
    </row>
    <row r="358" spans="1:17" x14ac:dyDescent="0.25">
      <c r="A358" s="11">
        <v>45591.249930555554</v>
      </c>
      <c r="B358" s="10" t="s">
        <v>61</v>
      </c>
      <c r="C358" s="10" t="s">
        <v>748</v>
      </c>
      <c r="D358" s="10" t="s">
        <v>749</v>
      </c>
      <c r="E358" s="10">
        <v>137</v>
      </c>
      <c r="F358" s="10" t="s">
        <v>34</v>
      </c>
      <c r="G358" s="10">
        <v>22.8</v>
      </c>
      <c r="H358" s="10">
        <v>50.6</v>
      </c>
      <c r="I358" s="10" t="s">
        <v>20</v>
      </c>
      <c r="J358" s="10">
        <v>24</v>
      </c>
      <c r="K358" s="10">
        <v>465</v>
      </c>
      <c r="L358" s="10">
        <v>6</v>
      </c>
      <c r="M358" s="10" t="s">
        <v>27</v>
      </c>
      <c r="N358" s="10">
        <v>61.3</v>
      </c>
      <c r="O358" s="10">
        <v>226</v>
      </c>
      <c r="P358" s="10">
        <v>0</v>
      </c>
      <c r="Q358" s="10" t="str">
        <f>+IF(Tabla2[[#This Row],[Demand_Forecast]]&lt;= 125,"Low demand",IF(Tabla2[[#This Row],[Demand_Forecast]] &gt;=285,"High demand","Mid demand"))</f>
        <v>Mid demand</v>
      </c>
    </row>
    <row r="359" spans="1:17" x14ac:dyDescent="0.25">
      <c r="A359" s="11">
        <v>45403.676307870373</v>
      </c>
      <c r="B359" s="10" t="s">
        <v>56</v>
      </c>
      <c r="C359" s="10" t="s">
        <v>750</v>
      </c>
      <c r="D359" s="10" t="s">
        <v>751</v>
      </c>
      <c r="E359" s="10">
        <v>231</v>
      </c>
      <c r="F359" s="10" t="s">
        <v>34</v>
      </c>
      <c r="G359" s="10">
        <v>24.3</v>
      </c>
      <c r="H359" s="10">
        <v>57.8</v>
      </c>
      <c r="I359" s="10" t="s">
        <v>38</v>
      </c>
      <c r="J359" s="10">
        <v>56</v>
      </c>
      <c r="K359" s="10">
        <v>368</v>
      </c>
      <c r="L359" s="10">
        <v>7</v>
      </c>
      <c r="M359" s="10" t="s">
        <v>27</v>
      </c>
      <c r="N359" s="10">
        <v>87.2</v>
      </c>
      <c r="O359" s="10">
        <v>203</v>
      </c>
      <c r="P359" s="10">
        <v>0</v>
      </c>
      <c r="Q359" s="10" t="str">
        <f>+IF(Tabla2[[#This Row],[Demand_Forecast]]&lt;= 125,"Low demand",IF(Tabla2[[#This Row],[Demand_Forecast]] &gt;=285,"High demand","Mid demand"))</f>
        <v>Mid demand</v>
      </c>
    </row>
    <row r="360" spans="1:17" x14ac:dyDescent="0.25">
      <c r="A360" s="11">
        <v>45549.07739583333</v>
      </c>
      <c r="B360" s="10" t="s">
        <v>48</v>
      </c>
      <c r="C360" s="10" t="s">
        <v>752</v>
      </c>
      <c r="D360" s="10" t="s">
        <v>753</v>
      </c>
      <c r="E360" s="10">
        <v>336</v>
      </c>
      <c r="F360" s="10" t="s">
        <v>34</v>
      </c>
      <c r="G360" s="10">
        <v>19.7</v>
      </c>
      <c r="H360" s="10">
        <v>66.7</v>
      </c>
      <c r="I360" s="10" t="s">
        <v>38</v>
      </c>
      <c r="J360" s="10">
        <v>54</v>
      </c>
      <c r="K360" s="10">
        <v>163</v>
      </c>
      <c r="L360" s="10">
        <v>7</v>
      </c>
      <c r="M360" s="10" t="s">
        <v>51</v>
      </c>
      <c r="N360" s="10">
        <v>71.400000000000006</v>
      </c>
      <c r="O360" s="10">
        <v>122</v>
      </c>
      <c r="P360" s="10">
        <v>0</v>
      </c>
      <c r="Q360" s="10" t="str">
        <f>+IF(Tabla2[[#This Row],[Demand_Forecast]]&lt;= 125,"Low demand",IF(Tabla2[[#This Row],[Demand_Forecast]] &gt;=285,"High demand","Mid demand"))</f>
        <v>Low demand</v>
      </c>
    </row>
    <row r="361" spans="1:17" x14ac:dyDescent="0.25">
      <c r="A361" s="11">
        <v>45424.743761574071</v>
      </c>
      <c r="B361" s="10" t="s">
        <v>31</v>
      </c>
      <c r="C361" s="10" t="s">
        <v>754</v>
      </c>
      <c r="D361" s="10" t="s">
        <v>755</v>
      </c>
      <c r="E361" s="10">
        <v>290</v>
      </c>
      <c r="F361" s="10" t="s">
        <v>25</v>
      </c>
      <c r="G361" s="10">
        <v>27.6</v>
      </c>
      <c r="H361" s="10">
        <v>71.8</v>
      </c>
      <c r="I361" s="10" t="s">
        <v>26</v>
      </c>
      <c r="J361" s="10">
        <v>50</v>
      </c>
      <c r="K361" s="10">
        <v>460</v>
      </c>
      <c r="L361" s="10">
        <v>7</v>
      </c>
      <c r="M361" s="10" t="s">
        <v>51</v>
      </c>
      <c r="N361" s="10">
        <v>95.9</v>
      </c>
      <c r="O361" s="10">
        <v>118</v>
      </c>
      <c r="P361" s="10">
        <v>1</v>
      </c>
      <c r="Q361" s="10" t="str">
        <f>+IF(Tabla2[[#This Row],[Demand_Forecast]]&lt;= 125,"Low demand",IF(Tabla2[[#This Row],[Demand_Forecast]] &gt;=285,"High demand","Mid demand"))</f>
        <v>Low demand</v>
      </c>
    </row>
    <row r="362" spans="1:17" x14ac:dyDescent="0.25">
      <c r="A362" s="11">
        <v>45538.379837962966</v>
      </c>
      <c r="B362" s="10" t="s">
        <v>95</v>
      </c>
      <c r="C362" s="10" t="s">
        <v>756</v>
      </c>
      <c r="D362" s="10" t="s">
        <v>757</v>
      </c>
      <c r="E362" s="10">
        <v>427</v>
      </c>
      <c r="F362" s="10" t="s">
        <v>19</v>
      </c>
      <c r="G362" s="10">
        <v>23.2</v>
      </c>
      <c r="H362" s="10">
        <v>70.099999999999994</v>
      </c>
      <c r="I362" s="10" t="s">
        <v>26</v>
      </c>
      <c r="J362" s="10">
        <v>17</v>
      </c>
      <c r="K362" s="10">
        <v>320</v>
      </c>
      <c r="L362" s="10">
        <v>4</v>
      </c>
      <c r="M362" s="10" t="s">
        <v>27</v>
      </c>
      <c r="N362" s="10">
        <v>73</v>
      </c>
      <c r="O362" s="10">
        <v>162</v>
      </c>
      <c r="P362" s="10">
        <v>1</v>
      </c>
      <c r="Q362" s="10" t="str">
        <f>+IF(Tabla2[[#This Row],[Demand_Forecast]]&lt;= 125,"Low demand",IF(Tabla2[[#This Row],[Demand_Forecast]] &gt;=285,"High demand","Mid demand"))</f>
        <v>Mid demand</v>
      </c>
    </row>
    <row r="363" spans="1:17" x14ac:dyDescent="0.25">
      <c r="A363" s="11">
        <v>45418.386550925927</v>
      </c>
      <c r="B363" s="10" t="s">
        <v>31</v>
      </c>
      <c r="C363" s="10" t="s">
        <v>758</v>
      </c>
      <c r="D363" s="10" t="s">
        <v>759</v>
      </c>
      <c r="E363" s="10">
        <v>439</v>
      </c>
      <c r="F363" s="10" t="s">
        <v>34</v>
      </c>
      <c r="G363" s="10">
        <v>26.4</v>
      </c>
      <c r="H363" s="10">
        <v>71.3</v>
      </c>
      <c r="I363" s="10" t="s">
        <v>38</v>
      </c>
      <c r="J363" s="10">
        <v>41</v>
      </c>
      <c r="K363" s="10">
        <v>491</v>
      </c>
      <c r="L363" s="10">
        <v>7</v>
      </c>
      <c r="M363" s="10" t="s">
        <v>35</v>
      </c>
      <c r="N363" s="10">
        <v>67.400000000000006</v>
      </c>
      <c r="O363" s="10">
        <v>273</v>
      </c>
      <c r="P363" s="10">
        <v>0</v>
      </c>
      <c r="Q363" s="10" t="str">
        <f>+IF(Tabla2[[#This Row],[Demand_Forecast]]&lt;= 125,"Low demand",IF(Tabla2[[#This Row],[Demand_Forecast]] &gt;=285,"High demand","Mid demand"))</f>
        <v>Mid demand</v>
      </c>
    </row>
    <row r="364" spans="1:17" x14ac:dyDescent="0.25">
      <c r="A364" s="11">
        <v>45300.369953703703</v>
      </c>
      <c r="B364" s="10" t="s">
        <v>16</v>
      </c>
      <c r="C364" s="10" t="s">
        <v>760</v>
      </c>
      <c r="D364" s="10" t="s">
        <v>761</v>
      </c>
      <c r="E364" s="10">
        <v>461</v>
      </c>
      <c r="F364" s="10" t="s">
        <v>34</v>
      </c>
      <c r="G364" s="10">
        <v>18.600000000000001</v>
      </c>
      <c r="H364" s="10">
        <v>74.599999999999994</v>
      </c>
      <c r="I364" s="10" t="s">
        <v>26</v>
      </c>
      <c r="J364" s="10">
        <v>23</v>
      </c>
      <c r="K364" s="10">
        <v>185</v>
      </c>
      <c r="L364" s="10">
        <v>4</v>
      </c>
      <c r="M364" s="10" t="s">
        <v>35</v>
      </c>
      <c r="N364" s="10">
        <v>77.8</v>
      </c>
      <c r="O364" s="10">
        <v>215</v>
      </c>
      <c r="P364" s="10">
        <v>1</v>
      </c>
      <c r="Q364" s="10" t="str">
        <f>+IF(Tabla2[[#This Row],[Demand_Forecast]]&lt;= 125,"Low demand",IF(Tabla2[[#This Row],[Demand_Forecast]] &gt;=285,"High demand","Mid demand"))</f>
        <v>Mid demand</v>
      </c>
    </row>
    <row r="365" spans="1:17" x14ac:dyDescent="0.25">
      <c r="A365" s="11">
        <v>45541.126851851855</v>
      </c>
      <c r="B365" s="10" t="s">
        <v>31</v>
      </c>
      <c r="C365" s="10" t="s">
        <v>762</v>
      </c>
      <c r="D365" s="10" t="s">
        <v>763</v>
      </c>
      <c r="E365" s="10">
        <v>414</v>
      </c>
      <c r="F365" s="10" t="s">
        <v>34</v>
      </c>
      <c r="G365" s="10">
        <v>29</v>
      </c>
      <c r="H365" s="10">
        <v>70.599999999999994</v>
      </c>
      <c r="I365" s="10" t="s">
        <v>26</v>
      </c>
      <c r="J365" s="10">
        <v>25</v>
      </c>
      <c r="K365" s="10">
        <v>291</v>
      </c>
      <c r="L365" s="10">
        <v>4</v>
      </c>
      <c r="M365" s="10" t="s">
        <v>35</v>
      </c>
      <c r="N365" s="10">
        <v>92.9</v>
      </c>
      <c r="O365" s="10">
        <v>154</v>
      </c>
      <c r="P365" s="10">
        <v>1</v>
      </c>
      <c r="Q365" s="10" t="str">
        <f>+IF(Tabla2[[#This Row],[Demand_Forecast]]&lt;= 125,"Low demand",IF(Tabla2[[#This Row],[Demand_Forecast]] &gt;=285,"High demand","Mid demand"))</f>
        <v>Mid demand</v>
      </c>
    </row>
    <row r="366" spans="1:17" x14ac:dyDescent="0.25">
      <c r="A366" s="11">
        <v>45509.697754629633</v>
      </c>
      <c r="B366" s="10" t="s">
        <v>22</v>
      </c>
      <c r="C366" s="10" t="s">
        <v>764</v>
      </c>
      <c r="D366" s="10" t="s">
        <v>765</v>
      </c>
      <c r="E366" s="10">
        <v>498</v>
      </c>
      <c r="F366" s="10" t="s">
        <v>19</v>
      </c>
      <c r="G366" s="10">
        <v>23.8</v>
      </c>
      <c r="H366" s="10">
        <v>55.9</v>
      </c>
      <c r="I366" s="10" t="s">
        <v>20</v>
      </c>
      <c r="J366" s="10">
        <v>16</v>
      </c>
      <c r="K366" s="10">
        <v>381</v>
      </c>
      <c r="L366" s="10">
        <v>7</v>
      </c>
      <c r="M366" s="10" t="s">
        <v>21</v>
      </c>
      <c r="N366" s="10">
        <v>67.2</v>
      </c>
      <c r="O366" s="10">
        <v>131</v>
      </c>
      <c r="P366" s="10">
        <v>1</v>
      </c>
      <c r="Q366" s="10" t="str">
        <f>+IF(Tabla2[[#This Row],[Demand_Forecast]]&lt;= 125,"Low demand",IF(Tabla2[[#This Row],[Demand_Forecast]] &gt;=285,"High demand","Mid demand"))</f>
        <v>Mid demand</v>
      </c>
    </row>
    <row r="367" spans="1:17" x14ac:dyDescent="0.25">
      <c r="A367" s="11">
        <v>45520.448599537034</v>
      </c>
      <c r="B367" s="10" t="s">
        <v>41</v>
      </c>
      <c r="C367" s="10" t="s">
        <v>766</v>
      </c>
      <c r="D367" s="10" t="s">
        <v>767</v>
      </c>
      <c r="E367" s="10">
        <v>334</v>
      </c>
      <c r="F367" s="10" t="s">
        <v>34</v>
      </c>
      <c r="G367" s="10">
        <v>22.5</v>
      </c>
      <c r="H367" s="10">
        <v>57.1</v>
      </c>
      <c r="I367" s="10" t="s">
        <v>38</v>
      </c>
      <c r="J367" s="10">
        <v>43</v>
      </c>
      <c r="K367" s="10">
        <v>381</v>
      </c>
      <c r="L367" s="10">
        <v>6</v>
      </c>
      <c r="M367" s="10" t="s">
        <v>21</v>
      </c>
      <c r="N367" s="10">
        <v>73.8</v>
      </c>
      <c r="O367" s="10">
        <v>157</v>
      </c>
      <c r="P367" s="10">
        <v>0</v>
      </c>
      <c r="Q367" s="10" t="str">
        <f>+IF(Tabla2[[#This Row],[Demand_Forecast]]&lt;= 125,"Low demand",IF(Tabla2[[#This Row],[Demand_Forecast]] &gt;=285,"High demand","Mid demand"))</f>
        <v>Mid demand</v>
      </c>
    </row>
    <row r="368" spans="1:17" x14ac:dyDescent="0.25">
      <c r="A368" s="11">
        <v>45485.115937499999</v>
      </c>
      <c r="B368" s="10" t="s">
        <v>48</v>
      </c>
      <c r="C368" s="10" t="s">
        <v>768</v>
      </c>
      <c r="D368" s="10" t="s">
        <v>769</v>
      </c>
      <c r="E368" s="10">
        <v>144</v>
      </c>
      <c r="F368" s="10" t="s">
        <v>19</v>
      </c>
      <c r="G368" s="10">
        <v>23</v>
      </c>
      <c r="H368" s="10">
        <v>70.3</v>
      </c>
      <c r="I368" s="10" t="s">
        <v>26</v>
      </c>
      <c r="J368" s="10">
        <v>54</v>
      </c>
      <c r="K368" s="10">
        <v>152</v>
      </c>
      <c r="L368" s="10">
        <v>1</v>
      </c>
      <c r="M368" s="10" t="s">
        <v>51</v>
      </c>
      <c r="N368" s="10">
        <v>84.3</v>
      </c>
      <c r="O368" s="10">
        <v>242</v>
      </c>
      <c r="P368" s="10">
        <v>1</v>
      </c>
      <c r="Q368" s="10" t="str">
        <f>+IF(Tabla2[[#This Row],[Demand_Forecast]]&lt;= 125,"Low demand",IF(Tabla2[[#This Row],[Demand_Forecast]] &gt;=285,"High demand","Mid demand"))</f>
        <v>Mid demand</v>
      </c>
    </row>
    <row r="369" spans="1:17" x14ac:dyDescent="0.25">
      <c r="A369" s="11">
        <v>45315.364166666666</v>
      </c>
      <c r="B369" s="10" t="s">
        <v>61</v>
      </c>
      <c r="C369" s="10" t="s">
        <v>770</v>
      </c>
      <c r="D369" s="10" t="s">
        <v>771</v>
      </c>
      <c r="E369" s="10">
        <v>231</v>
      </c>
      <c r="F369" s="10" t="s">
        <v>34</v>
      </c>
      <c r="G369" s="10">
        <v>28.2</v>
      </c>
      <c r="H369" s="10">
        <v>67.2</v>
      </c>
      <c r="I369" s="10" t="s">
        <v>38</v>
      </c>
      <c r="J369" s="10">
        <v>50</v>
      </c>
      <c r="K369" s="10">
        <v>221</v>
      </c>
      <c r="L369" s="10">
        <v>1</v>
      </c>
      <c r="M369" s="10" t="s">
        <v>21</v>
      </c>
      <c r="N369" s="10">
        <v>84.8</v>
      </c>
      <c r="O369" s="10">
        <v>270</v>
      </c>
      <c r="P369" s="10">
        <v>0</v>
      </c>
      <c r="Q369" s="10" t="str">
        <f>+IF(Tabla2[[#This Row],[Demand_Forecast]]&lt;= 125,"Low demand",IF(Tabla2[[#This Row],[Demand_Forecast]] &gt;=285,"High demand","Mid demand"))</f>
        <v>Mid demand</v>
      </c>
    </row>
    <row r="370" spans="1:17" x14ac:dyDescent="0.25">
      <c r="A370" s="11">
        <v>45304.907997685186</v>
      </c>
      <c r="B370" s="10" t="s">
        <v>64</v>
      </c>
      <c r="C370" s="10" t="s">
        <v>772</v>
      </c>
      <c r="D370" s="10" t="s">
        <v>773</v>
      </c>
      <c r="E370" s="10">
        <v>324</v>
      </c>
      <c r="F370" s="10" t="s">
        <v>19</v>
      </c>
      <c r="G370" s="10">
        <v>25.5</v>
      </c>
      <c r="H370" s="10">
        <v>65.2</v>
      </c>
      <c r="I370" s="10" t="s">
        <v>38</v>
      </c>
      <c r="J370" s="10">
        <v>51</v>
      </c>
      <c r="K370" s="10">
        <v>233</v>
      </c>
      <c r="L370" s="10">
        <v>9</v>
      </c>
      <c r="M370" s="10" t="s">
        <v>35</v>
      </c>
      <c r="N370" s="10">
        <v>90.2</v>
      </c>
      <c r="O370" s="10">
        <v>145</v>
      </c>
      <c r="P370" s="10">
        <v>1</v>
      </c>
      <c r="Q370" s="10" t="str">
        <f>+IF(Tabla2[[#This Row],[Demand_Forecast]]&lt;= 125,"Low demand",IF(Tabla2[[#This Row],[Demand_Forecast]] &gt;=285,"High demand","Mid demand"))</f>
        <v>Mid demand</v>
      </c>
    </row>
    <row r="371" spans="1:17" x14ac:dyDescent="0.25">
      <c r="A371" s="11">
        <v>45398.335787037038</v>
      </c>
      <c r="B371" s="10" t="s">
        <v>22</v>
      </c>
      <c r="C371" s="10" t="s">
        <v>774</v>
      </c>
      <c r="D371" s="10" t="s">
        <v>775</v>
      </c>
      <c r="E371" s="10">
        <v>246</v>
      </c>
      <c r="F371" s="10" t="s">
        <v>34</v>
      </c>
      <c r="G371" s="10">
        <v>19.399999999999999</v>
      </c>
      <c r="H371" s="10">
        <v>56.3</v>
      </c>
      <c r="I371" s="10" t="s">
        <v>38</v>
      </c>
      <c r="J371" s="10">
        <v>16</v>
      </c>
      <c r="K371" s="10">
        <v>406</v>
      </c>
      <c r="L371" s="10">
        <v>9</v>
      </c>
      <c r="M371" s="10" t="s">
        <v>27</v>
      </c>
      <c r="N371" s="10">
        <v>65.7</v>
      </c>
      <c r="O371" s="10">
        <v>140</v>
      </c>
      <c r="P371" s="10">
        <v>0</v>
      </c>
      <c r="Q371" s="10" t="str">
        <f>+IF(Tabla2[[#This Row],[Demand_Forecast]]&lt;= 125,"Low demand",IF(Tabla2[[#This Row],[Demand_Forecast]] &gt;=285,"High demand","Mid demand"))</f>
        <v>Mid demand</v>
      </c>
    </row>
    <row r="372" spans="1:17" x14ac:dyDescent="0.25">
      <c r="A372" s="11">
        <v>45334.140324074076</v>
      </c>
      <c r="B372" s="10" t="s">
        <v>48</v>
      </c>
      <c r="C372" s="10" t="s">
        <v>776</v>
      </c>
      <c r="D372" s="10" t="s">
        <v>777</v>
      </c>
      <c r="E372" s="10">
        <v>283</v>
      </c>
      <c r="F372" s="10" t="s">
        <v>19</v>
      </c>
      <c r="G372" s="10">
        <v>27.7</v>
      </c>
      <c r="H372" s="10">
        <v>52.4</v>
      </c>
      <c r="I372" s="10" t="s">
        <v>26</v>
      </c>
      <c r="J372" s="10">
        <v>16</v>
      </c>
      <c r="K372" s="10">
        <v>280</v>
      </c>
      <c r="L372" s="10">
        <v>8</v>
      </c>
      <c r="M372" s="10" t="s">
        <v>35</v>
      </c>
      <c r="N372" s="10">
        <v>96</v>
      </c>
      <c r="O372" s="10">
        <v>297</v>
      </c>
      <c r="P372" s="10">
        <v>1</v>
      </c>
      <c r="Q372" s="10" t="str">
        <f>+IF(Tabla2[[#This Row],[Demand_Forecast]]&lt;= 125,"Low demand",IF(Tabla2[[#This Row],[Demand_Forecast]] &gt;=285,"High demand","Mid demand"))</f>
        <v>High demand</v>
      </c>
    </row>
    <row r="373" spans="1:17" x14ac:dyDescent="0.25">
      <c r="A373" s="11">
        <v>45420.162812499999</v>
      </c>
      <c r="B373" s="10" t="s">
        <v>28</v>
      </c>
      <c r="C373" s="10" t="s">
        <v>778</v>
      </c>
      <c r="D373" s="10" t="s">
        <v>779</v>
      </c>
      <c r="E373" s="10">
        <v>453</v>
      </c>
      <c r="F373" s="10" t="s">
        <v>19</v>
      </c>
      <c r="G373" s="10">
        <v>21.8</v>
      </c>
      <c r="H373" s="10">
        <v>66.400000000000006</v>
      </c>
      <c r="I373" s="10" t="s">
        <v>38</v>
      </c>
      <c r="J373" s="10">
        <v>48</v>
      </c>
      <c r="K373" s="10">
        <v>305</v>
      </c>
      <c r="L373" s="10">
        <v>2</v>
      </c>
      <c r="M373" s="10" t="s">
        <v>51</v>
      </c>
      <c r="N373" s="10">
        <v>68.900000000000006</v>
      </c>
      <c r="O373" s="10">
        <v>212</v>
      </c>
      <c r="P373" s="10">
        <v>1</v>
      </c>
      <c r="Q373" s="10" t="str">
        <f>+IF(Tabla2[[#This Row],[Demand_Forecast]]&lt;= 125,"Low demand",IF(Tabla2[[#This Row],[Demand_Forecast]] &gt;=285,"High demand","Mid demand"))</f>
        <v>Mid demand</v>
      </c>
    </row>
    <row r="374" spans="1:17" x14ac:dyDescent="0.25">
      <c r="A374" s="11">
        <v>45633.535370370373</v>
      </c>
      <c r="B374" s="10" t="s">
        <v>28</v>
      </c>
      <c r="C374" s="10" t="s">
        <v>780</v>
      </c>
      <c r="D374" s="10" t="s">
        <v>781</v>
      </c>
      <c r="E374" s="10">
        <v>392</v>
      </c>
      <c r="F374" s="10" t="s">
        <v>34</v>
      </c>
      <c r="G374" s="10">
        <v>30</v>
      </c>
      <c r="H374" s="10">
        <v>72.099999999999994</v>
      </c>
      <c r="I374" s="10" t="s">
        <v>20</v>
      </c>
      <c r="J374" s="10">
        <v>52</v>
      </c>
      <c r="K374" s="10">
        <v>329</v>
      </c>
      <c r="L374" s="10">
        <v>4</v>
      </c>
      <c r="M374" s="10" t="s">
        <v>35</v>
      </c>
      <c r="N374" s="10">
        <v>66.599999999999994</v>
      </c>
      <c r="O374" s="10">
        <v>174</v>
      </c>
      <c r="P374" s="10">
        <v>0</v>
      </c>
      <c r="Q374" s="10" t="str">
        <f>+IF(Tabla2[[#This Row],[Demand_Forecast]]&lt;= 125,"Low demand",IF(Tabla2[[#This Row],[Demand_Forecast]] &gt;=285,"High demand","Mid demand"))</f>
        <v>Mid demand</v>
      </c>
    </row>
    <row r="375" spans="1:17" x14ac:dyDescent="0.25">
      <c r="A375" s="11">
        <v>45622.025173611109</v>
      </c>
      <c r="B375" s="10" t="s">
        <v>22</v>
      </c>
      <c r="C375" s="10" t="s">
        <v>782</v>
      </c>
      <c r="D375" s="10" t="s">
        <v>783</v>
      </c>
      <c r="E375" s="10">
        <v>343</v>
      </c>
      <c r="F375" s="10" t="s">
        <v>25</v>
      </c>
      <c r="G375" s="10">
        <v>25.2</v>
      </c>
      <c r="H375" s="10">
        <v>72.599999999999994</v>
      </c>
      <c r="I375" s="10" t="s">
        <v>38</v>
      </c>
      <c r="J375" s="10">
        <v>21</v>
      </c>
      <c r="K375" s="10">
        <v>400</v>
      </c>
      <c r="L375" s="10">
        <v>9</v>
      </c>
      <c r="M375" s="10" t="s">
        <v>27</v>
      </c>
      <c r="N375" s="10">
        <v>87.7</v>
      </c>
      <c r="O375" s="10">
        <v>300</v>
      </c>
      <c r="P375" s="10">
        <v>0</v>
      </c>
      <c r="Q375" s="10" t="str">
        <f>+IF(Tabla2[[#This Row],[Demand_Forecast]]&lt;= 125,"Low demand",IF(Tabla2[[#This Row],[Demand_Forecast]] &gt;=285,"High demand","Mid demand"))</f>
        <v>High demand</v>
      </c>
    </row>
    <row r="376" spans="1:17" x14ac:dyDescent="0.25">
      <c r="A376" s="11">
        <v>45419.344027777777</v>
      </c>
      <c r="B376" s="10" t="s">
        <v>41</v>
      </c>
      <c r="C376" s="10" t="s">
        <v>784</v>
      </c>
      <c r="D376" s="10" t="s">
        <v>785</v>
      </c>
      <c r="E376" s="10">
        <v>144</v>
      </c>
      <c r="F376" s="10" t="s">
        <v>19</v>
      </c>
      <c r="G376" s="10">
        <v>25.8</v>
      </c>
      <c r="H376" s="10">
        <v>65.599999999999994</v>
      </c>
      <c r="I376" s="10" t="s">
        <v>20</v>
      </c>
      <c r="J376" s="10">
        <v>23</v>
      </c>
      <c r="K376" s="10">
        <v>362</v>
      </c>
      <c r="L376" s="10">
        <v>10</v>
      </c>
      <c r="M376" s="10" t="s">
        <v>35</v>
      </c>
      <c r="N376" s="10">
        <v>88.9</v>
      </c>
      <c r="O376" s="10">
        <v>199</v>
      </c>
      <c r="P376" s="10">
        <v>1</v>
      </c>
      <c r="Q376" s="10" t="str">
        <f>+IF(Tabla2[[#This Row],[Demand_Forecast]]&lt;= 125,"Low demand",IF(Tabla2[[#This Row],[Demand_Forecast]] &gt;=285,"High demand","Mid demand"))</f>
        <v>Mid demand</v>
      </c>
    </row>
    <row r="377" spans="1:17" x14ac:dyDescent="0.25">
      <c r="A377" s="11">
        <v>45601.915648148148</v>
      </c>
      <c r="B377" s="10" t="s">
        <v>31</v>
      </c>
      <c r="C377" s="10" t="s">
        <v>786</v>
      </c>
      <c r="D377" s="10" t="s">
        <v>787</v>
      </c>
      <c r="E377" s="10">
        <v>151</v>
      </c>
      <c r="F377" s="10" t="s">
        <v>19</v>
      </c>
      <c r="G377" s="10">
        <v>22.1</v>
      </c>
      <c r="H377" s="10">
        <v>59.7</v>
      </c>
      <c r="I377" s="10" t="s">
        <v>38</v>
      </c>
      <c r="J377" s="10">
        <v>58</v>
      </c>
      <c r="K377" s="10">
        <v>338</v>
      </c>
      <c r="L377" s="10">
        <v>1</v>
      </c>
      <c r="M377" s="10" t="s">
        <v>35</v>
      </c>
      <c r="N377" s="10">
        <v>81.5</v>
      </c>
      <c r="O377" s="10">
        <v>248</v>
      </c>
      <c r="P377" s="10">
        <v>1</v>
      </c>
      <c r="Q377" s="10" t="str">
        <f>+IF(Tabla2[[#This Row],[Demand_Forecast]]&lt;= 125,"Low demand",IF(Tabla2[[#This Row],[Demand_Forecast]] &gt;=285,"High demand","Mid demand"))</f>
        <v>Mid demand</v>
      </c>
    </row>
    <row r="378" spans="1:17" x14ac:dyDescent="0.25">
      <c r="A378" s="11">
        <v>45350.492222222223</v>
      </c>
      <c r="B378" s="10" t="s">
        <v>16</v>
      </c>
      <c r="C378" s="10" t="s">
        <v>788</v>
      </c>
      <c r="D378" s="10" t="s">
        <v>789</v>
      </c>
      <c r="E378" s="10">
        <v>389</v>
      </c>
      <c r="F378" s="10" t="s">
        <v>25</v>
      </c>
      <c r="G378" s="10">
        <v>27.2</v>
      </c>
      <c r="H378" s="10">
        <v>59.8</v>
      </c>
      <c r="I378" s="10" t="s">
        <v>26</v>
      </c>
      <c r="J378" s="10">
        <v>20</v>
      </c>
      <c r="K378" s="10">
        <v>129</v>
      </c>
      <c r="L378" s="10">
        <v>8</v>
      </c>
      <c r="M378" s="10" t="s">
        <v>35</v>
      </c>
      <c r="N378" s="10">
        <v>80.8</v>
      </c>
      <c r="O378" s="10">
        <v>164</v>
      </c>
      <c r="P378" s="10">
        <v>1</v>
      </c>
      <c r="Q378" s="10" t="str">
        <f>+IF(Tabla2[[#This Row],[Demand_Forecast]]&lt;= 125,"Low demand",IF(Tabla2[[#This Row],[Demand_Forecast]] &gt;=285,"High demand","Mid demand"))</f>
        <v>Mid demand</v>
      </c>
    </row>
    <row r="379" spans="1:17" x14ac:dyDescent="0.25">
      <c r="A379" s="11">
        <v>45398.961273148147</v>
      </c>
      <c r="B379" s="10" t="s">
        <v>48</v>
      </c>
      <c r="C379" s="10" t="s">
        <v>790</v>
      </c>
      <c r="D379" s="10" t="s">
        <v>791</v>
      </c>
      <c r="E379" s="10">
        <v>355</v>
      </c>
      <c r="F379" s="10" t="s">
        <v>19</v>
      </c>
      <c r="G379" s="10">
        <v>19.2</v>
      </c>
      <c r="H379" s="10">
        <v>62.2</v>
      </c>
      <c r="I379" s="10" t="s">
        <v>38</v>
      </c>
      <c r="J379" s="10">
        <v>10</v>
      </c>
      <c r="K379" s="10">
        <v>137</v>
      </c>
      <c r="L379" s="10">
        <v>2</v>
      </c>
      <c r="M379" s="10" t="s">
        <v>35</v>
      </c>
      <c r="N379" s="10">
        <v>67</v>
      </c>
      <c r="O379" s="10">
        <v>269</v>
      </c>
      <c r="P379" s="10">
        <v>1</v>
      </c>
      <c r="Q379" s="10" t="str">
        <f>+IF(Tabla2[[#This Row],[Demand_Forecast]]&lt;= 125,"Low demand",IF(Tabla2[[#This Row],[Demand_Forecast]] &gt;=285,"High demand","Mid demand"))</f>
        <v>Mid demand</v>
      </c>
    </row>
    <row r="380" spans="1:17" x14ac:dyDescent="0.25">
      <c r="A380" s="11">
        <v>45624.025393518517</v>
      </c>
      <c r="B380" s="10" t="s">
        <v>28</v>
      </c>
      <c r="C380" s="10" t="s">
        <v>792</v>
      </c>
      <c r="D380" s="10" t="s">
        <v>793</v>
      </c>
      <c r="E380" s="10">
        <v>493</v>
      </c>
      <c r="F380" s="10" t="s">
        <v>19</v>
      </c>
      <c r="G380" s="10">
        <v>20.7</v>
      </c>
      <c r="H380" s="10">
        <v>70.900000000000006</v>
      </c>
      <c r="I380" s="10" t="s">
        <v>38</v>
      </c>
      <c r="J380" s="10">
        <v>52</v>
      </c>
      <c r="K380" s="10">
        <v>478</v>
      </c>
      <c r="L380" s="10">
        <v>1</v>
      </c>
      <c r="M380" s="10" t="s">
        <v>35</v>
      </c>
      <c r="N380" s="10">
        <v>62.5</v>
      </c>
      <c r="O380" s="10">
        <v>103</v>
      </c>
      <c r="P380" s="10">
        <v>1</v>
      </c>
      <c r="Q380" s="10" t="str">
        <f>+IF(Tabla2[[#This Row],[Demand_Forecast]]&lt;= 125,"Low demand",IF(Tabla2[[#This Row],[Demand_Forecast]] &gt;=285,"High demand","Mid demand"))</f>
        <v>Low demand</v>
      </c>
    </row>
    <row r="381" spans="1:17" x14ac:dyDescent="0.25">
      <c r="A381" s="11">
        <v>45331.278252314813</v>
      </c>
      <c r="B381" s="10" t="s">
        <v>31</v>
      </c>
      <c r="C381" s="10" t="s">
        <v>794</v>
      </c>
      <c r="D381" s="10" t="s">
        <v>795</v>
      </c>
      <c r="E381" s="10">
        <v>181</v>
      </c>
      <c r="F381" s="10" t="s">
        <v>34</v>
      </c>
      <c r="G381" s="10">
        <v>22.9</v>
      </c>
      <c r="H381" s="10">
        <v>70.3</v>
      </c>
      <c r="I381" s="10" t="s">
        <v>20</v>
      </c>
      <c r="J381" s="10">
        <v>49</v>
      </c>
      <c r="K381" s="10">
        <v>441</v>
      </c>
      <c r="L381" s="10">
        <v>7</v>
      </c>
      <c r="M381" s="10" t="s">
        <v>21</v>
      </c>
      <c r="N381" s="10">
        <v>94.7</v>
      </c>
      <c r="O381" s="10">
        <v>168</v>
      </c>
      <c r="P381" s="10">
        <v>0</v>
      </c>
      <c r="Q381" s="10" t="str">
        <f>+IF(Tabla2[[#This Row],[Demand_Forecast]]&lt;= 125,"Low demand",IF(Tabla2[[#This Row],[Demand_Forecast]] &gt;=285,"High demand","Mid demand"))</f>
        <v>Mid demand</v>
      </c>
    </row>
    <row r="382" spans="1:17" x14ac:dyDescent="0.25">
      <c r="A382" s="11">
        <v>45426.559282407405</v>
      </c>
      <c r="B382" s="10" t="s">
        <v>22</v>
      </c>
      <c r="C382" s="10" t="s">
        <v>796</v>
      </c>
      <c r="D382" s="10" t="s">
        <v>797</v>
      </c>
      <c r="E382" s="10">
        <v>342</v>
      </c>
      <c r="F382" s="10" t="s">
        <v>25</v>
      </c>
      <c r="G382" s="10">
        <v>22.6</v>
      </c>
      <c r="H382" s="10">
        <v>55.5</v>
      </c>
      <c r="I382" s="10" t="s">
        <v>20</v>
      </c>
      <c r="J382" s="10">
        <v>35</v>
      </c>
      <c r="K382" s="10">
        <v>119</v>
      </c>
      <c r="L382" s="10">
        <v>3</v>
      </c>
      <c r="M382" s="10" t="s">
        <v>21</v>
      </c>
      <c r="N382" s="10">
        <v>73.900000000000006</v>
      </c>
      <c r="O382" s="10">
        <v>199</v>
      </c>
      <c r="P382" s="10">
        <v>0</v>
      </c>
      <c r="Q382" s="10" t="str">
        <f>+IF(Tabla2[[#This Row],[Demand_Forecast]]&lt;= 125,"Low demand",IF(Tabla2[[#This Row],[Demand_Forecast]] &gt;=285,"High demand","Mid demand"))</f>
        <v>Mid demand</v>
      </c>
    </row>
    <row r="383" spans="1:17" x14ac:dyDescent="0.25">
      <c r="A383" s="11">
        <v>45532.564837962964</v>
      </c>
      <c r="B383" s="10" t="s">
        <v>31</v>
      </c>
      <c r="C383" s="10" t="s">
        <v>798</v>
      </c>
      <c r="D383" s="10" t="s">
        <v>799</v>
      </c>
      <c r="E383" s="10">
        <v>376</v>
      </c>
      <c r="F383" s="10" t="s">
        <v>19</v>
      </c>
      <c r="G383" s="10">
        <v>20.5</v>
      </c>
      <c r="H383" s="10">
        <v>55.5</v>
      </c>
      <c r="I383" s="10" t="s">
        <v>38</v>
      </c>
      <c r="J383" s="10">
        <v>34</v>
      </c>
      <c r="K383" s="10">
        <v>315</v>
      </c>
      <c r="L383" s="10">
        <v>9</v>
      </c>
      <c r="M383" s="10" t="s">
        <v>21</v>
      </c>
      <c r="N383" s="10">
        <v>70.7</v>
      </c>
      <c r="O383" s="10">
        <v>297</v>
      </c>
      <c r="P383" s="10">
        <v>1</v>
      </c>
      <c r="Q383" s="10" t="str">
        <f>+IF(Tabla2[[#This Row],[Demand_Forecast]]&lt;= 125,"Low demand",IF(Tabla2[[#This Row],[Demand_Forecast]] &gt;=285,"High demand","Mid demand"))</f>
        <v>High demand</v>
      </c>
    </row>
    <row r="384" spans="1:17" x14ac:dyDescent="0.25">
      <c r="A384" s="11">
        <v>45343.118842592594</v>
      </c>
      <c r="B384" s="10" t="s">
        <v>41</v>
      </c>
      <c r="C384" s="10" t="s">
        <v>800</v>
      </c>
      <c r="D384" s="10" t="s">
        <v>801</v>
      </c>
      <c r="E384" s="10">
        <v>464</v>
      </c>
      <c r="F384" s="10" t="s">
        <v>25</v>
      </c>
      <c r="G384" s="10">
        <v>20.8</v>
      </c>
      <c r="H384" s="10">
        <v>50.1</v>
      </c>
      <c r="I384" s="10" t="s">
        <v>26</v>
      </c>
      <c r="J384" s="10">
        <v>16</v>
      </c>
      <c r="K384" s="10">
        <v>441</v>
      </c>
      <c r="L384" s="10">
        <v>7</v>
      </c>
      <c r="M384" s="10" t="s">
        <v>21</v>
      </c>
      <c r="N384" s="10">
        <v>91.1</v>
      </c>
      <c r="O384" s="10">
        <v>240</v>
      </c>
      <c r="P384" s="10">
        <v>1</v>
      </c>
      <c r="Q384" s="10" t="str">
        <f>+IF(Tabla2[[#This Row],[Demand_Forecast]]&lt;= 125,"Low demand",IF(Tabla2[[#This Row],[Demand_Forecast]] &gt;=285,"High demand","Mid demand"))</f>
        <v>Mid demand</v>
      </c>
    </row>
    <row r="385" spans="1:17" x14ac:dyDescent="0.25">
      <c r="A385" s="11">
        <v>45590.246261574073</v>
      </c>
      <c r="B385" s="10" t="s">
        <v>61</v>
      </c>
      <c r="C385" s="10" t="s">
        <v>802</v>
      </c>
      <c r="D385" s="10" t="s">
        <v>803</v>
      </c>
      <c r="E385" s="10">
        <v>452</v>
      </c>
      <c r="F385" s="10" t="s">
        <v>25</v>
      </c>
      <c r="G385" s="10">
        <v>26.7</v>
      </c>
      <c r="H385" s="10">
        <v>64.099999999999994</v>
      </c>
      <c r="I385" s="10" t="s">
        <v>38</v>
      </c>
      <c r="J385" s="10">
        <v>36</v>
      </c>
      <c r="K385" s="10">
        <v>152</v>
      </c>
      <c r="L385" s="10">
        <v>1</v>
      </c>
      <c r="M385" s="10" t="s">
        <v>21</v>
      </c>
      <c r="N385" s="10">
        <v>90.1</v>
      </c>
      <c r="O385" s="10">
        <v>231</v>
      </c>
      <c r="P385" s="10">
        <v>0</v>
      </c>
      <c r="Q385" s="10" t="str">
        <f>+IF(Tabla2[[#This Row],[Demand_Forecast]]&lt;= 125,"Low demand",IF(Tabla2[[#This Row],[Demand_Forecast]] &gt;=285,"High demand","Mid demand"))</f>
        <v>Mid demand</v>
      </c>
    </row>
    <row r="386" spans="1:17" x14ac:dyDescent="0.25">
      <c r="A386" s="11">
        <v>45491.979768518519</v>
      </c>
      <c r="B386" s="10" t="s">
        <v>31</v>
      </c>
      <c r="C386" s="10" t="s">
        <v>804</v>
      </c>
      <c r="D386" s="10" t="s">
        <v>805</v>
      </c>
      <c r="E386" s="10">
        <v>228</v>
      </c>
      <c r="F386" s="10" t="s">
        <v>34</v>
      </c>
      <c r="G386" s="10">
        <v>28.7</v>
      </c>
      <c r="H386" s="10">
        <v>65</v>
      </c>
      <c r="I386" s="10" t="s">
        <v>26</v>
      </c>
      <c r="J386" s="10">
        <v>26</v>
      </c>
      <c r="K386" s="10">
        <v>271</v>
      </c>
      <c r="L386" s="10">
        <v>3</v>
      </c>
      <c r="M386" s="10" t="s">
        <v>35</v>
      </c>
      <c r="N386" s="10">
        <v>66</v>
      </c>
      <c r="O386" s="10">
        <v>290</v>
      </c>
      <c r="P386" s="10">
        <v>1</v>
      </c>
      <c r="Q386" s="10" t="str">
        <f>+IF(Tabla2[[#This Row],[Demand_Forecast]]&lt;= 125,"Low demand",IF(Tabla2[[#This Row],[Demand_Forecast]] &gt;=285,"High demand","Mid demand"))</f>
        <v>High demand</v>
      </c>
    </row>
    <row r="387" spans="1:17" x14ac:dyDescent="0.25">
      <c r="A387" s="11">
        <v>45350.977696759262</v>
      </c>
      <c r="B387" s="10" t="s">
        <v>28</v>
      </c>
      <c r="C387" s="10" t="s">
        <v>806</v>
      </c>
      <c r="D387" s="10" t="s">
        <v>807</v>
      </c>
      <c r="E387" s="10">
        <v>288</v>
      </c>
      <c r="F387" s="10" t="s">
        <v>34</v>
      </c>
      <c r="G387" s="10">
        <v>27.1</v>
      </c>
      <c r="H387" s="10">
        <v>69.400000000000006</v>
      </c>
      <c r="I387" s="10" t="s">
        <v>26</v>
      </c>
      <c r="J387" s="10">
        <v>37</v>
      </c>
      <c r="K387" s="10">
        <v>144</v>
      </c>
      <c r="L387" s="10">
        <v>2</v>
      </c>
      <c r="M387" s="10" t="s">
        <v>21</v>
      </c>
      <c r="N387" s="10">
        <v>63.6</v>
      </c>
      <c r="O387" s="10">
        <v>126</v>
      </c>
      <c r="P387" s="10">
        <v>1</v>
      </c>
      <c r="Q387" s="10" t="str">
        <f>+IF(Tabla2[[#This Row],[Demand_Forecast]]&lt;= 125,"Low demand",IF(Tabla2[[#This Row],[Demand_Forecast]] &gt;=285,"High demand","Mid demand"))</f>
        <v>Mid demand</v>
      </c>
    </row>
    <row r="388" spans="1:17" x14ac:dyDescent="0.25">
      <c r="A388" s="11">
        <v>45486.65347222222</v>
      </c>
      <c r="B388" s="10" t="s">
        <v>28</v>
      </c>
      <c r="C388" s="10" t="s">
        <v>808</v>
      </c>
      <c r="D388" s="10" t="s">
        <v>809</v>
      </c>
      <c r="E388" s="10">
        <v>133</v>
      </c>
      <c r="F388" s="10" t="s">
        <v>19</v>
      </c>
      <c r="G388" s="10">
        <v>18.600000000000001</v>
      </c>
      <c r="H388" s="10">
        <v>79.400000000000006</v>
      </c>
      <c r="I388" s="10" t="s">
        <v>38</v>
      </c>
      <c r="J388" s="10">
        <v>14</v>
      </c>
      <c r="K388" s="10">
        <v>314</v>
      </c>
      <c r="L388" s="10">
        <v>10</v>
      </c>
      <c r="M388" s="10" t="s">
        <v>51</v>
      </c>
      <c r="N388" s="10">
        <v>98.8</v>
      </c>
      <c r="O388" s="10">
        <v>109</v>
      </c>
      <c r="P388" s="10">
        <v>1</v>
      </c>
      <c r="Q388" s="10" t="str">
        <f>+IF(Tabla2[[#This Row],[Demand_Forecast]]&lt;= 125,"Low demand",IF(Tabla2[[#This Row],[Demand_Forecast]] &gt;=285,"High demand","Mid demand"))</f>
        <v>Low demand</v>
      </c>
    </row>
    <row r="389" spans="1:17" x14ac:dyDescent="0.25">
      <c r="A389" s="11">
        <v>45464.175636574073</v>
      </c>
      <c r="B389" s="10" t="s">
        <v>22</v>
      </c>
      <c r="C389" s="10" t="s">
        <v>810</v>
      </c>
      <c r="D389" s="10" t="s">
        <v>811</v>
      </c>
      <c r="E389" s="10">
        <v>117</v>
      </c>
      <c r="F389" s="10" t="s">
        <v>25</v>
      </c>
      <c r="G389" s="10">
        <v>29.7</v>
      </c>
      <c r="H389" s="10">
        <v>63.7</v>
      </c>
      <c r="I389" s="10" t="s">
        <v>38</v>
      </c>
      <c r="J389" s="10">
        <v>17</v>
      </c>
      <c r="K389" s="10">
        <v>159</v>
      </c>
      <c r="L389" s="10">
        <v>8</v>
      </c>
      <c r="M389" s="10" t="s">
        <v>21</v>
      </c>
      <c r="N389" s="10">
        <v>77</v>
      </c>
      <c r="O389" s="10">
        <v>106</v>
      </c>
      <c r="P389" s="10">
        <v>0</v>
      </c>
      <c r="Q389" s="10" t="str">
        <f>+IF(Tabla2[[#This Row],[Demand_Forecast]]&lt;= 125,"Low demand",IF(Tabla2[[#This Row],[Demand_Forecast]] &gt;=285,"High demand","Mid demand"))</f>
        <v>Low demand</v>
      </c>
    </row>
    <row r="390" spans="1:17" x14ac:dyDescent="0.25">
      <c r="A390" s="11">
        <v>45564.74895833333</v>
      </c>
      <c r="B390" s="10" t="s">
        <v>48</v>
      </c>
      <c r="C390" s="10" t="s">
        <v>812</v>
      </c>
      <c r="D390" s="10" t="s">
        <v>813</v>
      </c>
      <c r="E390" s="10">
        <v>428</v>
      </c>
      <c r="F390" s="10" t="s">
        <v>19</v>
      </c>
      <c r="G390" s="10">
        <v>28.4</v>
      </c>
      <c r="H390" s="10">
        <v>74.2</v>
      </c>
      <c r="I390" s="10" t="s">
        <v>38</v>
      </c>
      <c r="J390" s="10">
        <v>54</v>
      </c>
      <c r="K390" s="10">
        <v>492</v>
      </c>
      <c r="L390" s="10">
        <v>1</v>
      </c>
      <c r="M390" s="10" t="s">
        <v>21</v>
      </c>
      <c r="N390" s="10">
        <v>86.2</v>
      </c>
      <c r="O390" s="10">
        <v>286</v>
      </c>
      <c r="P390" s="10">
        <v>1</v>
      </c>
      <c r="Q390" s="10" t="str">
        <f>+IF(Tabla2[[#This Row],[Demand_Forecast]]&lt;= 125,"Low demand",IF(Tabla2[[#This Row],[Demand_Forecast]] &gt;=285,"High demand","Mid demand"))</f>
        <v>High demand</v>
      </c>
    </row>
    <row r="391" spans="1:17" x14ac:dyDescent="0.25">
      <c r="A391" s="11">
        <v>45448.314363425925</v>
      </c>
      <c r="B391" s="10" t="s">
        <v>56</v>
      </c>
      <c r="C391" s="10" t="s">
        <v>814</v>
      </c>
      <c r="D391" s="10" t="s">
        <v>815</v>
      </c>
      <c r="E391" s="10">
        <v>381</v>
      </c>
      <c r="F391" s="10" t="s">
        <v>34</v>
      </c>
      <c r="G391" s="10">
        <v>18</v>
      </c>
      <c r="H391" s="10">
        <v>53</v>
      </c>
      <c r="I391" s="10" t="s">
        <v>38</v>
      </c>
      <c r="J391" s="10">
        <v>25</v>
      </c>
      <c r="K391" s="10">
        <v>398</v>
      </c>
      <c r="L391" s="10">
        <v>9</v>
      </c>
      <c r="M391" s="10" t="s">
        <v>27</v>
      </c>
      <c r="N391" s="10">
        <v>94.6</v>
      </c>
      <c r="O391" s="10">
        <v>100</v>
      </c>
      <c r="P391" s="10">
        <v>0</v>
      </c>
      <c r="Q391" s="10" t="str">
        <f>+IF(Tabla2[[#This Row],[Demand_Forecast]]&lt;= 125,"Low demand",IF(Tabla2[[#This Row],[Demand_Forecast]] &gt;=285,"High demand","Mid demand"))</f>
        <v>Low demand</v>
      </c>
    </row>
    <row r="392" spans="1:17" x14ac:dyDescent="0.25">
      <c r="A392" s="11">
        <v>45645.894803240742</v>
      </c>
      <c r="B392" s="10" t="s">
        <v>31</v>
      </c>
      <c r="C392" s="10" t="s">
        <v>816</v>
      </c>
      <c r="D392" s="10" t="s">
        <v>817</v>
      </c>
      <c r="E392" s="10">
        <v>166</v>
      </c>
      <c r="F392" s="10" t="s">
        <v>19</v>
      </c>
      <c r="G392" s="10">
        <v>22.5</v>
      </c>
      <c r="H392" s="10">
        <v>53.8</v>
      </c>
      <c r="I392" s="10" t="s">
        <v>38</v>
      </c>
      <c r="J392" s="10">
        <v>57</v>
      </c>
      <c r="K392" s="10">
        <v>442</v>
      </c>
      <c r="L392" s="10">
        <v>6</v>
      </c>
      <c r="M392" s="10" t="s">
        <v>27</v>
      </c>
      <c r="N392" s="10">
        <v>72.099999999999994</v>
      </c>
      <c r="O392" s="10">
        <v>284</v>
      </c>
      <c r="P392" s="10">
        <v>1</v>
      </c>
      <c r="Q392" s="10" t="str">
        <f>+IF(Tabla2[[#This Row],[Demand_Forecast]]&lt;= 125,"Low demand",IF(Tabla2[[#This Row],[Demand_Forecast]] &gt;=285,"High demand","Mid demand"))</f>
        <v>Mid demand</v>
      </c>
    </row>
    <row r="393" spans="1:17" x14ac:dyDescent="0.25">
      <c r="A393" s="11">
        <v>45405.785717592589</v>
      </c>
      <c r="B393" s="10" t="s">
        <v>48</v>
      </c>
      <c r="C393" s="10" t="s">
        <v>818</v>
      </c>
      <c r="D393" s="10" t="s">
        <v>819</v>
      </c>
      <c r="E393" s="10">
        <v>225</v>
      </c>
      <c r="F393" s="10" t="s">
        <v>25</v>
      </c>
      <c r="G393" s="10">
        <v>26.1</v>
      </c>
      <c r="H393" s="10">
        <v>75.8</v>
      </c>
      <c r="I393" s="10" t="s">
        <v>26</v>
      </c>
      <c r="J393" s="10">
        <v>41</v>
      </c>
      <c r="K393" s="10">
        <v>286</v>
      </c>
      <c r="L393" s="10">
        <v>3</v>
      </c>
      <c r="M393" s="10" t="s">
        <v>51</v>
      </c>
      <c r="N393" s="10">
        <v>72.900000000000006</v>
      </c>
      <c r="O393" s="10">
        <v>224</v>
      </c>
      <c r="P393" s="10">
        <v>1</v>
      </c>
      <c r="Q393" s="10" t="str">
        <f>+IF(Tabla2[[#This Row],[Demand_Forecast]]&lt;= 125,"Low demand",IF(Tabla2[[#This Row],[Demand_Forecast]] &gt;=285,"High demand","Mid demand"))</f>
        <v>Mid demand</v>
      </c>
    </row>
    <row r="394" spans="1:17" x14ac:dyDescent="0.25">
      <c r="A394" s="11">
        <v>45339.839872685188</v>
      </c>
      <c r="B394" s="10" t="s">
        <v>48</v>
      </c>
      <c r="C394" s="10" t="s">
        <v>820</v>
      </c>
      <c r="D394" s="10" t="s">
        <v>821</v>
      </c>
      <c r="E394" s="10">
        <v>364</v>
      </c>
      <c r="F394" s="10" t="s">
        <v>19</v>
      </c>
      <c r="G394" s="10">
        <v>18.8</v>
      </c>
      <c r="H394" s="10">
        <v>68.2</v>
      </c>
      <c r="I394" s="10" t="s">
        <v>20</v>
      </c>
      <c r="J394" s="10">
        <v>41</v>
      </c>
      <c r="K394" s="10">
        <v>373</v>
      </c>
      <c r="L394" s="10">
        <v>1</v>
      </c>
      <c r="M394" s="10" t="s">
        <v>27</v>
      </c>
      <c r="N394" s="10">
        <v>88.7</v>
      </c>
      <c r="O394" s="10">
        <v>215</v>
      </c>
      <c r="P394" s="10">
        <v>1</v>
      </c>
      <c r="Q394" s="10" t="str">
        <f>+IF(Tabla2[[#This Row],[Demand_Forecast]]&lt;= 125,"Low demand",IF(Tabla2[[#This Row],[Demand_Forecast]] &gt;=285,"High demand","Mid demand"))</f>
        <v>Mid demand</v>
      </c>
    </row>
    <row r="395" spans="1:17" x14ac:dyDescent="0.25">
      <c r="A395" s="11">
        <v>45494.259074074071</v>
      </c>
      <c r="B395" s="10" t="s">
        <v>16</v>
      </c>
      <c r="C395" s="10" t="s">
        <v>822</v>
      </c>
      <c r="D395" s="10" t="s">
        <v>823</v>
      </c>
      <c r="E395" s="10">
        <v>318</v>
      </c>
      <c r="F395" s="10" t="s">
        <v>25</v>
      </c>
      <c r="G395" s="10">
        <v>25.3</v>
      </c>
      <c r="H395" s="10">
        <v>74.599999999999994</v>
      </c>
      <c r="I395" s="10" t="s">
        <v>38</v>
      </c>
      <c r="J395" s="10">
        <v>32</v>
      </c>
      <c r="K395" s="10">
        <v>486</v>
      </c>
      <c r="L395" s="10">
        <v>9</v>
      </c>
      <c r="M395" s="10" t="s">
        <v>27</v>
      </c>
      <c r="N395" s="10">
        <v>68.099999999999994</v>
      </c>
      <c r="O395" s="10">
        <v>277</v>
      </c>
      <c r="P395" s="10">
        <v>0</v>
      </c>
      <c r="Q395" s="10" t="str">
        <f>+IF(Tabla2[[#This Row],[Demand_Forecast]]&lt;= 125,"Low demand",IF(Tabla2[[#This Row],[Demand_Forecast]] &gt;=285,"High demand","Mid demand"))</f>
        <v>Mid demand</v>
      </c>
    </row>
    <row r="396" spans="1:17" x14ac:dyDescent="0.25">
      <c r="A396" s="11">
        <v>45385.225162037037</v>
      </c>
      <c r="B396" s="10" t="s">
        <v>48</v>
      </c>
      <c r="C396" s="10" t="s">
        <v>824</v>
      </c>
      <c r="D396" s="10" t="s">
        <v>825</v>
      </c>
      <c r="E396" s="10">
        <v>417</v>
      </c>
      <c r="F396" s="10" t="s">
        <v>25</v>
      </c>
      <c r="G396" s="10">
        <v>20</v>
      </c>
      <c r="H396" s="10">
        <v>61</v>
      </c>
      <c r="I396" s="10" t="s">
        <v>26</v>
      </c>
      <c r="J396" s="10">
        <v>54</v>
      </c>
      <c r="K396" s="10">
        <v>300</v>
      </c>
      <c r="L396" s="10">
        <v>4</v>
      </c>
      <c r="M396" s="10" t="s">
        <v>35</v>
      </c>
      <c r="N396" s="10">
        <v>74.5</v>
      </c>
      <c r="O396" s="10">
        <v>156</v>
      </c>
      <c r="P396" s="10">
        <v>1</v>
      </c>
      <c r="Q396" s="10" t="str">
        <f>+IF(Tabla2[[#This Row],[Demand_Forecast]]&lt;= 125,"Low demand",IF(Tabla2[[#This Row],[Demand_Forecast]] &gt;=285,"High demand","Mid demand"))</f>
        <v>Mid demand</v>
      </c>
    </row>
    <row r="397" spans="1:17" x14ac:dyDescent="0.25">
      <c r="A397" s="11">
        <v>45587.44703703704</v>
      </c>
      <c r="B397" s="10" t="s">
        <v>16</v>
      </c>
      <c r="C397" s="10" t="s">
        <v>826</v>
      </c>
      <c r="D397" s="10" t="s">
        <v>827</v>
      </c>
      <c r="E397" s="10">
        <v>180</v>
      </c>
      <c r="F397" s="10" t="s">
        <v>19</v>
      </c>
      <c r="G397" s="10">
        <v>18.5</v>
      </c>
      <c r="H397" s="10">
        <v>52.1</v>
      </c>
      <c r="I397" s="10" t="s">
        <v>38</v>
      </c>
      <c r="J397" s="10">
        <v>10</v>
      </c>
      <c r="K397" s="10">
        <v>182</v>
      </c>
      <c r="L397" s="10">
        <v>5</v>
      </c>
      <c r="M397" s="10" t="s">
        <v>51</v>
      </c>
      <c r="N397" s="10">
        <v>99</v>
      </c>
      <c r="O397" s="10">
        <v>279</v>
      </c>
      <c r="P397" s="10">
        <v>1</v>
      </c>
      <c r="Q397" s="10" t="str">
        <f>+IF(Tabla2[[#This Row],[Demand_Forecast]]&lt;= 125,"Low demand",IF(Tabla2[[#This Row],[Demand_Forecast]] &gt;=285,"High demand","Mid demand"))</f>
        <v>Mid demand</v>
      </c>
    </row>
    <row r="398" spans="1:17" x14ac:dyDescent="0.25">
      <c r="A398" s="11">
        <v>45410.527025462965</v>
      </c>
      <c r="B398" s="10" t="s">
        <v>56</v>
      </c>
      <c r="C398" s="10" t="s">
        <v>828</v>
      </c>
      <c r="D398" s="10" t="s">
        <v>829</v>
      </c>
      <c r="E398" s="10">
        <v>134</v>
      </c>
      <c r="F398" s="10" t="s">
        <v>19</v>
      </c>
      <c r="G398" s="10">
        <v>24.1</v>
      </c>
      <c r="H398" s="10">
        <v>68.2</v>
      </c>
      <c r="I398" s="10" t="s">
        <v>26</v>
      </c>
      <c r="J398" s="10">
        <v>35</v>
      </c>
      <c r="K398" s="10">
        <v>187</v>
      </c>
      <c r="L398" s="10">
        <v>6</v>
      </c>
      <c r="M398" s="10" t="s">
        <v>51</v>
      </c>
      <c r="N398" s="10">
        <v>99.9</v>
      </c>
      <c r="O398" s="10">
        <v>102</v>
      </c>
      <c r="P398" s="10">
        <v>1</v>
      </c>
      <c r="Q398" s="10" t="str">
        <f>+IF(Tabla2[[#This Row],[Demand_Forecast]]&lt;= 125,"Low demand",IF(Tabla2[[#This Row],[Demand_Forecast]] &gt;=285,"High demand","Mid demand"))</f>
        <v>Low demand</v>
      </c>
    </row>
    <row r="399" spans="1:17" x14ac:dyDescent="0.25">
      <c r="A399" s="11">
        <v>45563.507835648146</v>
      </c>
      <c r="B399" s="10" t="s">
        <v>56</v>
      </c>
      <c r="C399" s="10" t="s">
        <v>830</v>
      </c>
      <c r="D399" s="10" t="s">
        <v>831</v>
      </c>
      <c r="E399" s="10">
        <v>237</v>
      </c>
      <c r="F399" s="10" t="s">
        <v>25</v>
      </c>
      <c r="G399" s="10">
        <v>28.1</v>
      </c>
      <c r="H399" s="10">
        <v>75.5</v>
      </c>
      <c r="I399" s="10" t="s">
        <v>20</v>
      </c>
      <c r="J399" s="10">
        <v>18</v>
      </c>
      <c r="K399" s="10">
        <v>349</v>
      </c>
      <c r="L399" s="10">
        <v>2</v>
      </c>
      <c r="M399" s="10" t="s">
        <v>27</v>
      </c>
      <c r="N399" s="10">
        <v>90.5</v>
      </c>
      <c r="O399" s="10">
        <v>189</v>
      </c>
      <c r="P399" s="10">
        <v>0</v>
      </c>
      <c r="Q399" s="10" t="str">
        <f>+IF(Tabla2[[#This Row],[Demand_Forecast]]&lt;= 125,"Low demand",IF(Tabla2[[#This Row],[Demand_Forecast]] &gt;=285,"High demand","Mid demand"))</f>
        <v>Mid demand</v>
      </c>
    </row>
    <row r="400" spans="1:17" x14ac:dyDescent="0.25">
      <c r="A400" s="11">
        <v>45544.493923611109</v>
      </c>
      <c r="B400" s="10" t="s">
        <v>64</v>
      </c>
      <c r="C400" s="10" t="s">
        <v>832</v>
      </c>
      <c r="D400" s="10" t="s">
        <v>833</v>
      </c>
      <c r="E400" s="10">
        <v>259</v>
      </c>
      <c r="F400" s="10" t="s">
        <v>19</v>
      </c>
      <c r="G400" s="10">
        <v>26.6</v>
      </c>
      <c r="H400" s="10">
        <v>53</v>
      </c>
      <c r="I400" s="10" t="s">
        <v>38</v>
      </c>
      <c r="J400" s="10">
        <v>28</v>
      </c>
      <c r="K400" s="10">
        <v>118</v>
      </c>
      <c r="L400" s="10">
        <v>4</v>
      </c>
      <c r="M400" s="10" t="s">
        <v>35</v>
      </c>
      <c r="N400" s="10">
        <v>60.2</v>
      </c>
      <c r="O400" s="10">
        <v>249</v>
      </c>
      <c r="P400" s="10">
        <v>1</v>
      </c>
      <c r="Q400" s="10" t="str">
        <f>+IF(Tabla2[[#This Row],[Demand_Forecast]]&lt;= 125,"Low demand",IF(Tabla2[[#This Row],[Demand_Forecast]] &gt;=285,"High demand","Mid demand"))</f>
        <v>Mid demand</v>
      </c>
    </row>
    <row r="401" spans="1:17" x14ac:dyDescent="0.25">
      <c r="A401" s="11">
        <v>45567.909201388888</v>
      </c>
      <c r="B401" s="10" t="s">
        <v>61</v>
      </c>
      <c r="C401" s="10" t="s">
        <v>834</v>
      </c>
      <c r="D401" s="10" t="s">
        <v>835</v>
      </c>
      <c r="E401" s="10">
        <v>463</v>
      </c>
      <c r="F401" s="10" t="s">
        <v>25</v>
      </c>
      <c r="G401" s="10">
        <v>19.8</v>
      </c>
      <c r="H401" s="10">
        <v>54.5</v>
      </c>
      <c r="I401" s="10" t="s">
        <v>26</v>
      </c>
      <c r="J401" s="10">
        <v>12</v>
      </c>
      <c r="K401" s="10">
        <v>408</v>
      </c>
      <c r="L401" s="10">
        <v>8</v>
      </c>
      <c r="M401" s="10" t="s">
        <v>35</v>
      </c>
      <c r="N401" s="10">
        <v>71.2</v>
      </c>
      <c r="O401" s="10">
        <v>229</v>
      </c>
      <c r="P401" s="10">
        <v>1</v>
      </c>
      <c r="Q401" s="10" t="str">
        <f>+IF(Tabla2[[#This Row],[Demand_Forecast]]&lt;= 125,"Low demand",IF(Tabla2[[#This Row],[Demand_Forecast]] &gt;=285,"High demand","Mid demand"))</f>
        <v>Mid demand</v>
      </c>
    </row>
    <row r="402" spans="1:17" x14ac:dyDescent="0.25">
      <c r="A402" s="11">
        <v>45417.237615740742</v>
      </c>
      <c r="B402" s="10" t="s">
        <v>28</v>
      </c>
      <c r="C402" s="10" t="s">
        <v>836</v>
      </c>
      <c r="D402" s="10" t="s">
        <v>837</v>
      </c>
      <c r="E402" s="10">
        <v>290</v>
      </c>
      <c r="F402" s="10" t="s">
        <v>34</v>
      </c>
      <c r="G402" s="10">
        <v>23.7</v>
      </c>
      <c r="H402" s="10">
        <v>53.5</v>
      </c>
      <c r="I402" s="10" t="s">
        <v>20</v>
      </c>
      <c r="J402" s="10">
        <v>44</v>
      </c>
      <c r="K402" s="10">
        <v>237</v>
      </c>
      <c r="L402" s="10">
        <v>5</v>
      </c>
      <c r="M402" s="10" t="s">
        <v>51</v>
      </c>
      <c r="N402" s="10">
        <v>85.8</v>
      </c>
      <c r="O402" s="10">
        <v>270</v>
      </c>
      <c r="P402" s="10">
        <v>0</v>
      </c>
      <c r="Q402" s="10" t="str">
        <f>+IF(Tabla2[[#This Row],[Demand_Forecast]]&lt;= 125,"Low demand",IF(Tabla2[[#This Row],[Demand_Forecast]] &gt;=285,"High demand","Mid demand"))</f>
        <v>Mid demand</v>
      </c>
    </row>
    <row r="403" spans="1:17" x14ac:dyDescent="0.25">
      <c r="A403" s="11">
        <v>45433.106585648151</v>
      </c>
      <c r="B403" s="10" t="s">
        <v>56</v>
      </c>
      <c r="C403" s="10" t="s">
        <v>838</v>
      </c>
      <c r="D403" s="10" t="s">
        <v>839</v>
      </c>
      <c r="E403" s="10">
        <v>345</v>
      </c>
      <c r="F403" s="10" t="s">
        <v>19</v>
      </c>
      <c r="G403" s="10">
        <v>21.3</v>
      </c>
      <c r="H403" s="10">
        <v>53.6</v>
      </c>
      <c r="I403" s="10" t="s">
        <v>38</v>
      </c>
      <c r="J403" s="10">
        <v>35</v>
      </c>
      <c r="K403" s="10">
        <v>388</v>
      </c>
      <c r="L403" s="10">
        <v>4</v>
      </c>
      <c r="M403" s="10" t="s">
        <v>27</v>
      </c>
      <c r="N403" s="10">
        <v>83.5</v>
      </c>
      <c r="O403" s="10">
        <v>159</v>
      </c>
      <c r="P403" s="10">
        <v>1</v>
      </c>
      <c r="Q403" s="10" t="str">
        <f>+IF(Tabla2[[#This Row],[Demand_Forecast]]&lt;= 125,"Low demand",IF(Tabla2[[#This Row],[Demand_Forecast]] &gt;=285,"High demand","Mid demand"))</f>
        <v>Mid demand</v>
      </c>
    </row>
    <row r="404" spans="1:17" x14ac:dyDescent="0.25">
      <c r="A404" s="11">
        <v>45366.930104166669</v>
      </c>
      <c r="B404" s="10" t="s">
        <v>22</v>
      </c>
      <c r="C404" s="10" t="s">
        <v>840</v>
      </c>
      <c r="D404" s="10" t="s">
        <v>841</v>
      </c>
      <c r="E404" s="10">
        <v>165</v>
      </c>
      <c r="F404" s="10" t="s">
        <v>19</v>
      </c>
      <c r="G404" s="10">
        <v>25.6</v>
      </c>
      <c r="H404" s="10">
        <v>61.7</v>
      </c>
      <c r="I404" s="10" t="s">
        <v>20</v>
      </c>
      <c r="J404" s="10">
        <v>50</v>
      </c>
      <c r="K404" s="10">
        <v>149</v>
      </c>
      <c r="L404" s="10">
        <v>10</v>
      </c>
      <c r="M404" s="10" t="s">
        <v>35</v>
      </c>
      <c r="N404" s="10">
        <v>62.6</v>
      </c>
      <c r="O404" s="10">
        <v>252</v>
      </c>
      <c r="P404" s="10">
        <v>1</v>
      </c>
      <c r="Q404" s="10" t="str">
        <f>+IF(Tabla2[[#This Row],[Demand_Forecast]]&lt;= 125,"Low demand",IF(Tabla2[[#This Row],[Demand_Forecast]] &gt;=285,"High demand","Mid demand"))</f>
        <v>Mid demand</v>
      </c>
    </row>
    <row r="405" spans="1:17" x14ac:dyDescent="0.25">
      <c r="A405" s="11">
        <v>45329.823495370372</v>
      </c>
      <c r="B405" s="10" t="s">
        <v>61</v>
      </c>
      <c r="C405" s="10" t="s">
        <v>842</v>
      </c>
      <c r="D405" s="10" t="s">
        <v>843</v>
      </c>
      <c r="E405" s="10">
        <v>259</v>
      </c>
      <c r="F405" s="10" t="s">
        <v>25</v>
      </c>
      <c r="G405" s="10">
        <v>27</v>
      </c>
      <c r="H405" s="10">
        <v>79.7</v>
      </c>
      <c r="I405" s="10" t="s">
        <v>26</v>
      </c>
      <c r="J405" s="10">
        <v>15</v>
      </c>
      <c r="K405" s="10">
        <v>167</v>
      </c>
      <c r="L405" s="10">
        <v>9</v>
      </c>
      <c r="M405" s="10" t="s">
        <v>35</v>
      </c>
      <c r="N405" s="10">
        <v>88.6</v>
      </c>
      <c r="O405" s="10">
        <v>147</v>
      </c>
      <c r="P405" s="10">
        <v>1</v>
      </c>
      <c r="Q405" s="10" t="str">
        <f>+IF(Tabla2[[#This Row],[Demand_Forecast]]&lt;= 125,"Low demand",IF(Tabla2[[#This Row],[Demand_Forecast]] &gt;=285,"High demand","Mid demand"))</f>
        <v>Mid demand</v>
      </c>
    </row>
    <row r="406" spans="1:17" x14ac:dyDescent="0.25">
      <c r="A406" s="11">
        <v>45423.221365740741</v>
      </c>
      <c r="B406" s="10" t="s">
        <v>16</v>
      </c>
      <c r="C406" s="10" t="s">
        <v>844</v>
      </c>
      <c r="D406" s="10" t="s">
        <v>845</v>
      </c>
      <c r="E406" s="10">
        <v>330</v>
      </c>
      <c r="F406" s="10" t="s">
        <v>34</v>
      </c>
      <c r="G406" s="10">
        <v>26.9</v>
      </c>
      <c r="H406" s="10">
        <v>62.9</v>
      </c>
      <c r="I406" s="10" t="s">
        <v>20</v>
      </c>
      <c r="J406" s="10">
        <v>47</v>
      </c>
      <c r="K406" s="10">
        <v>382</v>
      </c>
      <c r="L406" s="10">
        <v>6</v>
      </c>
      <c r="M406" s="10" t="s">
        <v>27</v>
      </c>
      <c r="N406" s="10">
        <v>90.3</v>
      </c>
      <c r="O406" s="10">
        <v>115</v>
      </c>
      <c r="P406" s="10">
        <v>0</v>
      </c>
      <c r="Q406" s="10" t="str">
        <f>+IF(Tabla2[[#This Row],[Demand_Forecast]]&lt;= 125,"Low demand",IF(Tabla2[[#This Row],[Demand_Forecast]] &gt;=285,"High demand","Mid demand"))</f>
        <v>Low demand</v>
      </c>
    </row>
    <row r="407" spans="1:17" x14ac:dyDescent="0.25">
      <c r="A407" s="11">
        <v>45322.23028935185</v>
      </c>
      <c r="B407" s="10" t="s">
        <v>64</v>
      </c>
      <c r="C407" s="10" t="s">
        <v>846</v>
      </c>
      <c r="D407" s="10" t="s">
        <v>847</v>
      </c>
      <c r="E407" s="10">
        <v>467</v>
      </c>
      <c r="F407" s="10" t="s">
        <v>34</v>
      </c>
      <c r="G407" s="10">
        <v>19.3</v>
      </c>
      <c r="H407" s="10">
        <v>62.1</v>
      </c>
      <c r="I407" s="10" t="s">
        <v>20</v>
      </c>
      <c r="J407" s="10">
        <v>39</v>
      </c>
      <c r="K407" s="10">
        <v>180</v>
      </c>
      <c r="L407" s="10">
        <v>8</v>
      </c>
      <c r="M407" s="10" t="s">
        <v>51</v>
      </c>
      <c r="N407" s="10">
        <v>63.8</v>
      </c>
      <c r="O407" s="10">
        <v>145</v>
      </c>
      <c r="P407" s="10">
        <v>0</v>
      </c>
      <c r="Q407" s="10" t="str">
        <f>+IF(Tabla2[[#This Row],[Demand_Forecast]]&lt;= 125,"Low demand",IF(Tabla2[[#This Row],[Demand_Forecast]] &gt;=285,"High demand","Mid demand"))</f>
        <v>Mid demand</v>
      </c>
    </row>
    <row r="408" spans="1:17" x14ac:dyDescent="0.25">
      <c r="A408" s="11">
        <v>45597.061203703706</v>
      </c>
      <c r="B408" s="10" t="s">
        <v>61</v>
      </c>
      <c r="C408" s="10" t="s">
        <v>848</v>
      </c>
      <c r="D408" s="10" t="s">
        <v>849</v>
      </c>
      <c r="E408" s="10">
        <v>329</v>
      </c>
      <c r="F408" s="10" t="s">
        <v>25</v>
      </c>
      <c r="G408" s="10">
        <v>26.7</v>
      </c>
      <c r="H408" s="10">
        <v>56.2</v>
      </c>
      <c r="I408" s="10" t="s">
        <v>20</v>
      </c>
      <c r="J408" s="10">
        <v>16</v>
      </c>
      <c r="K408" s="10">
        <v>261</v>
      </c>
      <c r="L408" s="10">
        <v>9</v>
      </c>
      <c r="M408" s="10" t="s">
        <v>35</v>
      </c>
      <c r="N408" s="10">
        <v>90.7</v>
      </c>
      <c r="O408" s="10">
        <v>104</v>
      </c>
      <c r="P408" s="10">
        <v>0</v>
      </c>
      <c r="Q408" s="10" t="str">
        <f>+IF(Tabla2[[#This Row],[Demand_Forecast]]&lt;= 125,"Low demand",IF(Tabla2[[#This Row],[Demand_Forecast]] &gt;=285,"High demand","Mid demand"))</f>
        <v>Low demand</v>
      </c>
    </row>
    <row r="409" spans="1:17" x14ac:dyDescent="0.25">
      <c r="A409" s="11">
        <v>45354.178483796299</v>
      </c>
      <c r="B409" s="10" t="s">
        <v>31</v>
      </c>
      <c r="C409" s="10" t="s">
        <v>850</v>
      </c>
      <c r="D409" s="10" t="s">
        <v>851</v>
      </c>
      <c r="E409" s="10">
        <v>122</v>
      </c>
      <c r="F409" s="10" t="s">
        <v>34</v>
      </c>
      <c r="G409" s="10">
        <v>22.9</v>
      </c>
      <c r="H409" s="10">
        <v>64</v>
      </c>
      <c r="I409" s="10" t="s">
        <v>26</v>
      </c>
      <c r="J409" s="10">
        <v>24</v>
      </c>
      <c r="K409" s="10">
        <v>409</v>
      </c>
      <c r="L409" s="10">
        <v>5</v>
      </c>
      <c r="M409" s="10" t="s">
        <v>51</v>
      </c>
      <c r="N409" s="10">
        <v>99.7</v>
      </c>
      <c r="O409" s="10">
        <v>184</v>
      </c>
      <c r="P409" s="10">
        <v>1</v>
      </c>
      <c r="Q409" s="10" t="str">
        <f>+IF(Tabla2[[#This Row],[Demand_Forecast]]&lt;= 125,"Low demand",IF(Tabla2[[#This Row],[Demand_Forecast]] &gt;=285,"High demand","Mid demand"))</f>
        <v>Mid demand</v>
      </c>
    </row>
    <row r="410" spans="1:17" x14ac:dyDescent="0.25">
      <c r="A410" s="11">
        <v>45360.007337962961</v>
      </c>
      <c r="B410" s="10" t="s">
        <v>61</v>
      </c>
      <c r="C410" s="10" t="s">
        <v>852</v>
      </c>
      <c r="D410" s="10" t="s">
        <v>853</v>
      </c>
      <c r="E410" s="10">
        <v>146</v>
      </c>
      <c r="F410" s="10" t="s">
        <v>25</v>
      </c>
      <c r="G410" s="10">
        <v>24.2</v>
      </c>
      <c r="H410" s="10">
        <v>69.099999999999994</v>
      </c>
      <c r="I410" s="10" t="s">
        <v>38</v>
      </c>
      <c r="J410" s="10">
        <v>58</v>
      </c>
      <c r="K410" s="10">
        <v>301</v>
      </c>
      <c r="L410" s="10">
        <v>2</v>
      </c>
      <c r="M410" s="10" t="s">
        <v>21</v>
      </c>
      <c r="N410" s="10">
        <v>82</v>
      </c>
      <c r="O410" s="10">
        <v>238</v>
      </c>
      <c r="P410" s="10">
        <v>0</v>
      </c>
      <c r="Q410" s="10" t="str">
        <f>+IF(Tabla2[[#This Row],[Demand_Forecast]]&lt;= 125,"Low demand",IF(Tabla2[[#This Row],[Demand_Forecast]] &gt;=285,"High demand","Mid demand"))</f>
        <v>Mid demand</v>
      </c>
    </row>
    <row r="411" spans="1:17" x14ac:dyDescent="0.25">
      <c r="A411" s="11">
        <v>45399.728148148148</v>
      </c>
      <c r="B411" s="10" t="s">
        <v>28</v>
      </c>
      <c r="C411" s="10" t="s">
        <v>854</v>
      </c>
      <c r="D411" s="10" t="s">
        <v>855</v>
      </c>
      <c r="E411" s="10">
        <v>419</v>
      </c>
      <c r="F411" s="10" t="s">
        <v>34</v>
      </c>
      <c r="G411" s="10">
        <v>26.1</v>
      </c>
      <c r="H411" s="10">
        <v>62</v>
      </c>
      <c r="I411" s="10" t="s">
        <v>26</v>
      </c>
      <c r="J411" s="10">
        <v>19</v>
      </c>
      <c r="K411" s="10">
        <v>484</v>
      </c>
      <c r="L411" s="10">
        <v>8</v>
      </c>
      <c r="M411" s="10" t="s">
        <v>21</v>
      </c>
      <c r="N411" s="10">
        <v>96.4</v>
      </c>
      <c r="O411" s="10">
        <v>262</v>
      </c>
      <c r="P411" s="10">
        <v>1</v>
      </c>
      <c r="Q411" s="10" t="str">
        <f>+IF(Tabla2[[#This Row],[Demand_Forecast]]&lt;= 125,"Low demand",IF(Tabla2[[#This Row],[Demand_Forecast]] &gt;=285,"High demand","Mid demand"))</f>
        <v>Mid demand</v>
      </c>
    </row>
    <row r="412" spans="1:17" x14ac:dyDescent="0.25">
      <c r="A412" s="11">
        <v>45556.439641203702</v>
      </c>
      <c r="B412" s="10" t="s">
        <v>16</v>
      </c>
      <c r="C412" s="10" t="s">
        <v>856</v>
      </c>
      <c r="D412" s="10" t="s">
        <v>857</v>
      </c>
      <c r="E412" s="10">
        <v>143</v>
      </c>
      <c r="F412" s="10" t="s">
        <v>25</v>
      </c>
      <c r="G412" s="10">
        <v>20.100000000000001</v>
      </c>
      <c r="H412" s="10">
        <v>57</v>
      </c>
      <c r="I412" s="10" t="s">
        <v>20</v>
      </c>
      <c r="J412" s="10">
        <v>41</v>
      </c>
      <c r="K412" s="10">
        <v>143</v>
      </c>
      <c r="L412" s="10">
        <v>9</v>
      </c>
      <c r="M412" s="10" t="s">
        <v>21</v>
      </c>
      <c r="N412" s="10">
        <v>62.1</v>
      </c>
      <c r="O412" s="10">
        <v>106</v>
      </c>
      <c r="P412" s="10">
        <v>0</v>
      </c>
      <c r="Q412" s="10" t="str">
        <f>+IF(Tabla2[[#This Row],[Demand_Forecast]]&lt;= 125,"Low demand",IF(Tabla2[[#This Row],[Demand_Forecast]] &gt;=285,"High demand","Mid demand"))</f>
        <v>Low demand</v>
      </c>
    </row>
    <row r="413" spans="1:17" x14ac:dyDescent="0.25">
      <c r="A413" s="11">
        <v>45333.438773148147</v>
      </c>
      <c r="B413" s="10" t="s">
        <v>28</v>
      </c>
      <c r="C413" s="10" t="s">
        <v>858</v>
      </c>
      <c r="D413" s="10" t="s">
        <v>859</v>
      </c>
      <c r="E413" s="10">
        <v>445</v>
      </c>
      <c r="F413" s="10" t="s">
        <v>34</v>
      </c>
      <c r="G413" s="10">
        <v>19.8</v>
      </c>
      <c r="H413" s="10">
        <v>54.1</v>
      </c>
      <c r="I413" s="10" t="s">
        <v>38</v>
      </c>
      <c r="J413" s="10">
        <v>39</v>
      </c>
      <c r="K413" s="10">
        <v>375</v>
      </c>
      <c r="L413" s="10">
        <v>2</v>
      </c>
      <c r="M413" s="10" t="s">
        <v>27</v>
      </c>
      <c r="N413" s="10">
        <v>88.3</v>
      </c>
      <c r="O413" s="10">
        <v>247</v>
      </c>
      <c r="P413" s="10">
        <v>0</v>
      </c>
      <c r="Q413" s="10" t="str">
        <f>+IF(Tabla2[[#This Row],[Demand_Forecast]]&lt;= 125,"Low demand",IF(Tabla2[[#This Row],[Demand_Forecast]] &gt;=285,"High demand","Mid demand"))</f>
        <v>Mid demand</v>
      </c>
    </row>
    <row r="414" spans="1:17" x14ac:dyDescent="0.25">
      <c r="A414" s="11">
        <v>45458.499756944446</v>
      </c>
      <c r="B414" s="10" t="s">
        <v>64</v>
      </c>
      <c r="C414" s="10" t="s">
        <v>860</v>
      </c>
      <c r="D414" s="10" t="s">
        <v>861</v>
      </c>
      <c r="E414" s="10">
        <v>450</v>
      </c>
      <c r="F414" s="10" t="s">
        <v>19</v>
      </c>
      <c r="G414" s="10">
        <v>18.7</v>
      </c>
      <c r="H414" s="10">
        <v>56.4</v>
      </c>
      <c r="I414" s="10" t="s">
        <v>20</v>
      </c>
      <c r="J414" s="10">
        <v>12</v>
      </c>
      <c r="K414" s="10">
        <v>140</v>
      </c>
      <c r="L414" s="10">
        <v>8</v>
      </c>
      <c r="M414" s="10" t="s">
        <v>51</v>
      </c>
      <c r="N414" s="10">
        <v>61.9</v>
      </c>
      <c r="O414" s="10">
        <v>160</v>
      </c>
      <c r="P414" s="10">
        <v>1</v>
      </c>
      <c r="Q414" s="10" t="str">
        <f>+IF(Tabla2[[#This Row],[Demand_Forecast]]&lt;= 125,"Low demand",IF(Tabla2[[#This Row],[Demand_Forecast]] &gt;=285,"High demand","Mid demand"))</f>
        <v>Mid demand</v>
      </c>
    </row>
    <row r="415" spans="1:17" x14ac:dyDescent="0.25">
      <c r="A415" s="11">
        <v>45513.125393518516</v>
      </c>
      <c r="B415" s="10" t="s">
        <v>48</v>
      </c>
      <c r="C415" s="10" t="s">
        <v>862</v>
      </c>
      <c r="D415" s="10" t="s">
        <v>863</v>
      </c>
      <c r="E415" s="10">
        <v>451</v>
      </c>
      <c r="F415" s="10" t="s">
        <v>34</v>
      </c>
      <c r="G415" s="10">
        <v>22.5</v>
      </c>
      <c r="H415" s="10">
        <v>51.6</v>
      </c>
      <c r="I415" s="10" t="s">
        <v>20</v>
      </c>
      <c r="J415" s="10">
        <v>28</v>
      </c>
      <c r="K415" s="10">
        <v>421</v>
      </c>
      <c r="L415" s="10">
        <v>6</v>
      </c>
      <c r="M415" s="10" t="s">
        <v>21</v>
      </c>
      <c r="N415" s="10">
        <v>68.8</v>
      </c>
      <c r="O415" s="10">
        <v>107</v>
      </c>
      <c r="P415" s="10">
        <v>0</v>
      </c>
      <c r="Q415" s="10" t="str">
        <f>+IF(Tabla2[[#This Row],[Demand_Forecast]]&lt;= 125,"Low demand",IF(Tabla2[[#This Row],[Demand_Forecast]] &gt;=285,"High demand","Mid demand"))</f>
        <v>Low demand</v>
      </c>
    </row>
    <row r="416" spans="1:17" x14ac:dyDescent="0.25">
      <c r="A416" s="11">
        <v>45495.039120370369</v>
      </c>
      <c r="B416" s="10" t="s">
        <v>41</v>
      </c>
      <c r="C416" s="10" t="s">
        <v>864</v>
      </c>
      <c r="D416" s="10" t="s">
        <v>865</v>
      </c>
      <c r="E416" s="10">
        <v>425</v>
      </c>
      <c r="F416" s="10" t="s">
        <v>19</v>
      </c>
      <c r="G416" s="10">
        <v>22.4</v>
      </c>
      <c r="H416" s="10">
        <v>65.900000000000006</v>
      </c>
      <c r="I416" s="10" t="s">
        <v>38</v>
      </c>
      <c r="J416" s="10">
        <v>30</v>
      </c>
      <c r="K416" s="10">
        <v>452</v>
      </c>
      <c r="L416" s="10">
        <v>10</v>
      </c>
      <c r="M416" s="10" t="s">
        <v>35</v>
      </c>
      <c r="N416" s="10">
        <v>91.4</v>
      </c>
      <c r="O416" s="10">
        <v>163</v>
      </c>
      <c r="P416" s="10">
        <v>1</v>
      </c>
      <c r="Q416" s="10" t="str">
        <f>+IF(Tabla2[[#This Row],[Demand_Forecast]]&lt;= 125,"Low demand",IF(Tabla2[[#This Row],[Demand_Forecast]] &gt;=285,"High demand","Mid demand"))</f>
        <v>Mid demand</v>
      </c>
    </row>
    <row r="417" spans="1:17" x14ac:dyDescent="0.25">
      <c r="A417" s="11">
        <v>45521.317384259259</v>
      </c>
      <c r="B417" s="10" t="s">
        <v>56</v>
      </c>
      <c r="C417" s="10" t="s">
        <v>866</v>
      </c>
      <c r="D417" s="10" t="s">
        <v>867</v>
      </c>
      <c r="E417" s="10">
        <v>235</v>
      </c>
      <c r="F417" s="10" t="s">
        <v>34</v>
      </c>
      <c r="G417" s="10">
        <v>25.8</v>
      </c>
      <c r="H417" s="10">
        <v>62.6</v>
      </c>
      <c r="I417" s="10" t="s">
        <v>26</v>
      </c>
      <c r="J417" s="10">
        <v>51</v>
      </c>
      <c r="K417" s="10">
        <v>171</v>
      </c>
      <c r="L417" s="10">
        <v>6</v>
      </c>
      <c r="M417" s="10" t="s">
        <v>51</v>
      </c>
      <c r="N417" s="10">
        <v>87.5</v>
      </c>
      <c r="O417" s="10">
        <v>207</v>
      </c>
      <c r="P417" s="10">
        <v>1</v>
      </c>
      <c r="Q417" s="10" t="str">
        <f>+IF(Tabla2[[#This Row],[Demand_Forecast]]&lt;= 125,"Low demand",IF(Tabla2[[#This Row],[Demand_Forecast]] &gt;=285,"High demand","Mid demand"))</f>
        <v>Mid demand</v>
      </c>
    </row>
    <row r="418" spans="1:17" x14ac:dyDescent="0.25">
      <c r="A418" s="11">
        <v>45637.991319444445</v>
      </c>
      <c r="B418" s="10" t="s">
        <v>16</v>
      </c>
      <c r="C418" s="10" t="s">
        <v>868</v>
      </c>
      <c r="D418" s="10" t="s">
        <v>869</v>
      </c>
      <c r="E418" s="10">
        <v>181</v>
      </c>
      <c r="F418" s="10" t="s">
        <v>25</v>
      </c>
      <c r="G418" s="10">
        <v>29.7</v>
      </c>
      <c r="H418" s="10">
        <v>51.8</v>
      </c>
      <c r="I418" s="10" t="s">
        <v>38</v>
      </c>
      <c r="J418" s="10">
        <v>38</v>
      </c>
      <c r="K418" s="10">
        <v>388</v>
      </c>
      <c r="L418" s="10">
        <v>10</v>
      </c>
      <c r="M418" s="10" t="s">
        <v>21</v>
      </c>
      <c r="N418" s="10">
        <v>92.4</v>
      </c>
      <c r="O418" s="10">
        <v>292</v>
      </c>
      <c r="P418" s="10">
        <v>0</v>
      </c>
      <c r="Q418" s="10" t="str">
        <f>+IF(Tabla2[[#This Row],[Demand_Forecast]]&lt;= 125,"Low demand",IF(Tabla2[[#This Row],[Demand_Forecast]] &gt;=285,"High demand","Mid demand"))</f>
        <v>High demand</v>
      </c>
    </row>
    <row r="419" spans="1:17" x14ac:dyDescent="0.25">
      <c r="A419" s="11">
        <v>45547.004618055558</v>
      </c>
      <c r="B419" s="10" t="s">
        <v>61</v>
      </c>
      <c r="C419" s="10" t="s">
        <v>870</v>
      </c>
      <c r="D419" s="10" t="s">
        <v>871</v>
      </c>
      <c r="E419" s="10">
        <v>370</v>
      </c>
      <c r="F419" s="10" t="s">
        <v>34</v>
      </c>
      <c r="G419" s="10">
        <v>23.5</v>
      </c>
      <c r="H419" s="10">
        <v>74.400000000000006</v>
      </c>
      <c r="I419" s="10" t="s">
        <v>26</v>
      </c>
      <c r="J419" s="10">
        <v>60</v>
      </c>
      <c r="K419" s="10">
        <v>105</v>
      </c>
      <c r="L419" s="10">
        <v>1</v>
      </c>
      <c r="M419" s="10" t="s">
        <v>21</v>
      </c>
      <c r="N419" s="10">
        <v>99.5</v>
      </c>
      <c r="O419" s="10">
        <v>128</v>
      </c>
      <c r="P419" s="10">
        <v>1</v>
      </c>
      <c r="Q419" s="10" t="str">
        <f>+IF(Tabla2[[#This Row],[Demand_Forecast]]&lt;= 125,"Low demand",IF(Tabla2[[#This Row],[Demand_Forecast]] &gt;=285,"High demand","Mid demand"))</f>
        <v>Mid demand</v>
      </c>
    </row>
    <row r="420" spans="1:17" x14ac:dyDescent="0.25">
      <c r="A420" s="11">
        <v>45481.588530092595</v>
      </c>
      <c r="B420" s="10" t="s">
        <v>61</v>
      </c>
      <c r="C420" s="10" t="s">
        <v>872</v>
      </c>
      <c r="D420" s="10" t="s">
        <v>873</v>
      </c>
      <c r="E420" s="10">
        <v>102</v>
      </c>
      <c r="F420" s="10" t="s">
        <v>19</v>
      </c>
      <c r="G420" s="10">
        <v>25.6</v>
      </c>
      <c r="H420" s="10">
        <v>76</v>
      </c>
      <c r="I420" s="10" t="s">
        <v>26</v>
      </c>
      <c r="J420" s="10">
        <v>50</v>
      </c>
      <c r="K420" s="10">
        <v>444</v>
      </c>
      <c r="L420" s="10">
        <v>9</v>
      </c>
      <c r="M420" s="10" t="s">
        <v>35</v>
      </c>
      <c r="N420" s="10">
        <v>88.3</v>
      </c>
      <c r="O420" s="10">
        <v>105</v>
      </c>
      <c r="P420" s="10">
        <v>1</v>
      </c>
      <c r="Q420" s="10" t="str">
        <f>+IF(Tabla2[[#This Row],[Demand_Forecast]]&lt;= 125,"Low demand",IF(Tabla2[[#This Row],[Demand_Forecast]] &gt;=285,"High demand","Mid demand"))</f>
        <v>Low demand</v>
      </c>
    </row>
    <row r="421" spans="1:17" x14ac:dyDescent="0.25">
      <c r="A421" s="11">
        <v>45357.551793981482</v>
      </c>
      <c r="B421" s="10" t="s">
        <v>61</v>
      </c>
      <c r="C421" s="10" t="s">
        <v>874</v>
      </c>
      <c r="D421" s="10" t="s">
        <v>875</v>
      </c>
      <c r="E421" s="10">
        <v>200</v>
      </c>
      <c r="F421" s="10" t="s">
        <v>34</v>
      </c>
      <c r="G421" s="10">
        <v>18.5</v>
      </c>
      <c r="H421" s="10">
        <v>77.7</v>
      </c>
      <c r="I421" s="10" t="s">
        <v>20</v>
      </c>
      <c r="J421" s="10">
        <v>24</v>
      </c>
      <c r="K421" s="10">
        <v>158</v>
      </c>
      <c r="L421" s="10">
        <v>4</v>
      </c>
      <c r="M421" s="10" t="s">
        <v>21</v>
      </c>
      <c r="N421" s="10">
        <v>82.5</v>
      </c>
      <c r="O421" s="10">
        <v>234</v>
      </c>
      <c r="P421" s="10">
        <v>0</v>
      </c>
      <c r="Q421" s="10" t="str">
        <f>+IF(Tabla2[[#This Row],[Demand_Forecast]]&lt;= 125,"Low demand",IF(Tabla2[[#This Row],[Demand_Forecast]] &gt;=285,"High demand","Mid demand"))</f>
        <v>Mid demand</v>
      </c>
    </row>
    <row r="422" spans="1:17" x14ac:dyDescent="0.25">
      <c r="A422" s="11">
        <v>45595.20517361111</v>
      </c>
      <c r="B422" s="10" t="s">
        <v>22</v>
      </c>
      <c r="C422" s="10" t="s">
        <v>876</v>
      </c>
      <c r="D422" s="10" t="s">
        <v>877</v>
      </c>
      <c r="E422" s="10">
        <v>292</v>
      </c>
      <c r="F422" s="10" t="s">
        <v>25</v>
      </c>
      <c r="G422" s="10">
        <v>23.2</v>
      </c>
      <c r="H422" s="10">
        <v>68.099999999999994</v>
      </c>
      <c r="I422" s="10" t="s">
        <v>26</v>
      </c>
      <c r="J422" s="10">
        <v>41</v>
      </c>
      <c r="K422" s="10">
        <v>440</v>
      </c>
      <c r="L422" s="10">
        <v>10</v>
      </c>
      <c r="M422" s="10" t="s">
        <v>51</v>
      </c>
      <c r="N422" s="10">
        <v>88.9</v>
      </c>
      <c r="O422" s="10">
        <v>160</v>
      </c>
      <c r="P422" s="10">
        <v>1</v>
      </c>
      <c r="Q422" s="10" t="str">
        <f>+IF(Tabla2[[#This Row],[Demand_Forecast]]&lt;= 125,"Low demand",IF(Tabla2[[#This Row],[Demand_Forecast]] &gt;=285,"High demand","Mid demand"))</f>
        <v>Mid demand</v>
      </c>
    </row>
    <row r="423" spans="1:17" x14ac:dyDescent="0.25">
      <c r="A423" s="11">
        <v>45572.454629629632</v>
      </c>
      <c r="B423" s="10" t="s">
        <v>64</v>
      </c>
      <c r="C423" s="10" t="s">
        <v>878</v>
      </c>
      <c r="D423" s="10" t="s">
        <v>879</v>
      </c>
      <c r="E423" s="10">
        <v>401</v>
      </c>
      <c r="F423" s="10" t="s">
        <v>25</v>
      </c>
      <c r="G423" s="10">
        <v>28.2</v>
      </c>
      <c r="H423" s="10">
        <v>51</v>
      </c>
      <c r="I423" s="10" t="s">
        <v>38</v>
      </c>
      <c r="J423" s="10">
        <v>51</v>
      </c>
      <c r="K423" s="10">
        <v>327</v>
      </c>
      <c r="L423" s="10">
        <v>3</v>
      </c>
      <c r="M423" s="10" t="s">
        <v>21</v>
      </c>
      <c r="N423" s="10">
        <v>85.6</v>
      </c>
      <c r="O423" s="10">
        <v>138</v>
      </c>
      <c r="P423" s="10">
        <v>0</v>
      </c>
      <c r="Q423" s="10" t="str">
        <f>+IF(Tabla2[[#This Row],[Demand_Forecast]]&lt;= 125,"Low demand",IF(Tabla2[[#This Row],[Demand_Forecast]] &gt;=285,"High demand","Mid demand"))</f>
        <v>Mid demand</v>
      </c>
    </row>
    <row r="424" spans="1:17" x14ac:dyDescent="0.25">
      <c r="A424" s="11">
        <v>45449.953252314815</v>
      </c>
      <c r="B424" s="10" t="s">
        <v>61</v>
      </c>
      <c r="C424" s="10" t="s">
        <v>880</v>
      </c>
      <c r="D424" s="10" t="s">
        <v>881</v>
      </c>
      <c r="E424" s="10">
        <v>305</v>
      </c>
      <c r="F424" s="10" t="s">
        <v>19</v>
      </c>
      <c r="G424" s="10">
        <v>27.4</v>
      </c>
      <c r="H424" s="10">
        <v>50.8</v>
      </c>
      <c r="I424" s="10" t="s">
        <v>38</v>
      </c>
      <c r="J424" s="10">
        <v>34</v>
      </c>
      <c r="K424" s="10">
        <v>474</v>
      </c>
      <c r="L424" s="10">
        <v>1</v>
      </c>
      <c r="M424" s="10" t="s">
        <v>51</v>
      </c>
      <c r="N424" s="10">
        <v>82</v>
      </c>
      <c r="O424" s="10">
        <v>226</v>
      </c>
      <c r="P424" s="10">
        <v>1</v>
      </c>
      <c r="Q424" s="10" t="str">
        <f>+IF(Tabla2[[#This Row],[Demand_Forecast]]&lt;= 125,"Low demand",IF(Tabla2[[#This Row],[Demand_Forecast]] &gt;=285,"High demand","Mid demand"))</f>
        <v>Mid demand</v>
      </c>
    </row>
    <row r="425" spans="1:17" x14ac:dyDescent="0.25">
      <c r="A425" s="11">
        <v>45402.010115740741</v>
      </c>
      <c r="B425" s="10" t="s">
        <v>61</v>
      </c>
      <c r="C425" s="10" t="s">
        <v>882</v>
      </c>
      <c r="D425" s="10" t="s">
        <v>883</v>
      </c>
      <c r="E425" s="10">
        <v>441</v>
      </c>
      <c r="F425" s="10" t="s">
        <v>25</v>
      </c>
      <c r="G425" s="10">
        <v>25</v>
      </c>
      <c r="H425" s="10">
        <v>75.400000000000006</v>
      </c>
      <c r="I425" s="10" t="s">
        <v>26</v>
      </c>
      <c r="J425" s="10">
        <v>58</v>
      </c>
      <c r="K425" s="10">
        <v>149</v>
      </c>
      <c r="L425" s="10">
        <v>10</v>
      </c>
      <c r="M425" s="10" t="s">
        <v>35</v>
      </c>
      <c r="N425" s="10">
        <v>61.3</v>
      </c>
      <c r="O425" s="10">
        <v>247</v>
      </c>
      <c r="P425" s="10">
        <v>1</v>
      </c>
      <c r="Q425" s="10" t="str">
        <f>+IF(Tabla2[[#This Row],[Demand_Forecast]]&lt;= 125,"Low demand",IF(Tabla2[[#This Row],[Demand_Forecast]] &gt;=285,"High demand","Mid demand"))</f>
        <v>Mid demand</v>
      </c>
    </row>
    <row r="426" spans="1:17" x14ac:dyDescent="0.25">
      <c r="A426" s="11">
        <v>45506.007569444446</v>
      </c>
      <c r="B426" s="10" t="s">
        <v>48</v>
      </c>
      <c r="C426" s="10" t="s">
        <v>884</v>
      </c>
      <c r="D426" s="10" t="s">
        <v>885</v>
      </c>
      <c r="E426" s="10">
        <v>130</v>
      </c>
      <c r="F426" s="10" t="s">
        <v>19</v>
      </c>
      <c r="G426" s="10">
        <v>18.7</v>
      </c>
      <c r="H426" s="10">
        <v>67.2</v>
      </c>
      <c r="I426" s="10" t="s">
        <v>38</v>
      </c>
      <c r="J426" s="10">
        <v>47</v>
      </c>
      <c r="K426" s="10">
        <v>367</v>
      </c>
      <c r="L426" s="10">
        <v>1</v>
      </c>
      <c r="M426" s="10" t="s">
        <v>35</v>
      </c>
      <c r="N426" s="10">
        <v>81.7</v>
      </c>
      <c r="O426" s="10">
        <v>131</v>
      </c>
      <c r="P426" s="10">
        <v>1</v>
      </c>
      <c r="Q426" s="10" t="str">
        <f>+IF(Tabla2[[#This Row],[Demand_Forecast]]&lt;= 125,"Low demand",IF(Tabla2[[#This Row],[Demand_Forecast]] &gt;=285,"High demand","Mid demand"))</f>
        <v>Mid demand</v>
      </c>
    </row>
    <row r="427" spans="1:17" x14ac:dyDescent="0.25">
      <c r="A427" s="11">
        <v>45568.120868055557</v>
      </c>
      <c r="B427" s="10" t="s">
        <v>22</v>
      </c>
      <c r="C427" s="10" t="s">
        <v>886</v>
      </c>
      <c r="D427" s="10" t="s">
        <v>887</v>
      </c>
      <c r="E427" s="10">
        <v>265</v>
      </c>
      <c r="F427" s="10" t="s">
        <v>25</v>
      </c>
      <c r="G427" s="10">
        <v>23.4</v>
      </c>
      <c r="H427" s="10">
        <v>56.1</v>
      </c>
      <c r="I427" s="10" t="s">
        <v>20</v>
      </c>
      <c r="J427" s="10">
        <v>34</v>
      </c>
      <c r="K427" s="10">
        <v>406</v>
      </c>
      <c r="L427" s="10">
        <v>6</v>
      </c>
      <c r="M427" s="10" t="s">
        <v>51</v>
      </c>
      <c r="N427" s="10">
        <v>95</v>
      </c>
      <c r="O427" s="10">
        <v>133</v>
      </c>
      <c r="P427" s="10">
        <v>0</v>
      </c>
      <c r="Q427" s="10" t="str">
        <f>+IF(Tabla2[[#This Row],[Demand_Forecast]]&lt;= 125,"Low demand",IF(Tabla2[[#This Row],[Demand_Forecast]] &gt;=285,"High demand","Mid demand"))</f>
        <v>Mid demand</v>
      </c>
    </row>
    <row r="428" spans="1:17" x14ac:dyDescent="0.25">
      <c r="A428" s="11">
        <v>45558.942928240744</v>
      </c>
      <c r="B428" s="10" t="s">
        <v>95</v>
      </c>
      <c r="C428" s="10" t="s">
        <v>888</v>
      </c>
      <c r="D428" s="10" t="s">
        <v>889</v>
      </c>
      <c r="E428" s="10">
        <v>426</v>
      </c>
      <c r="F428" s="10" t="s">
        <v>34</v>
      </c>
      <c r="G428" s="10">
        <v>26.3</v>
      </c>
      <c r="H428" s="10">
        <v>77.7</v>
      </c>
      <c r="I428" s="10" t="s">
        <v>20</v>
      </c>
      <c r="J428" s="10">
        <v>58</v>
      </c>
      <c r="K428" s="10">
        <v>373</v>
      </c>
      <c r="L428" s="10">
        <v>6</v>
      </c>
      <c r="M428" s="10" t="s">
        <v>35</v>
      </c>
      <c r="N428" s="10">
        <v>93</v>
      </c>
      <c r="O428" s="10">
        <v>125</v>
      </c>
      <c r="P428" s="10">
        <v>0</v>
      </c>
      <c r="Q428" s="10" t="str">
        <f>+IF(Tabla2[[#This Row],[Demand_Forecast]]&lt;= 125,"Low demand",IF(Tabla2[[#This Row],[Demand_Forecast]] &gt;=285,"High demand","Mid demand"))</f>
        <v>Low demand</v>
      </c>
    </row>
    <row r="429" spans="1:17" x14ac:dyDescent="0.25">
      <c r="A429" s="11">
        <v>45339.674560185187</v>
      </c>
      <c r="B429" s="10" t="s">
        <v>22</v>
      </c>
      <c r="C429" s="10" t="s">
        <v>890</v>
      </c>
      <c r="D429" s="10" t="s">
        <v>891</v>
      </c>
      <c r="E429" s="10">
        <v>432</v>
      </c>
      <c r="F429" s="10" t="s">
        <v>25</v>
      </c>
      <c r="G429" s="10">
        <v>28</v>
      </c>
      <c r="H429" s="10">
        <v>65.2</v>
      </c>
      <c r="I429" s="10" t="s">
        <v>26</v>
      </c>
      <c r="J429" s="10">
        <v>35</v>
      </c>
      <c r="K429" s="10">
        <v>499</v>
      </c>
      <c r="L429" s="10">
        <v>8</v>
      </c>
      <c r="M429" s="10" t="s">
        <v>27</v>
      </c>
      <c r="N429" s="10">
        <v>97.4</v>
      </c>
      <c r="O429" s="10">
        <v>110</v>
      </c>
      <c r="P429" s="10">
        <v>1</v>
      </c>
      <c r="Q429" s="10" t="str">
        <f>+IF(Tabla2[[#This Row],[Demand_Forecast]]&lt;= 125,"Low demand",IF(Tabla2[[#This Row],[Demand_Forecast]] &gt;=285,"High demand","Mid demand"))</f>
        <v>Low demand</v>
      </c>
    </row>
    <row r="430" spans="1:17" x14ac:dyDescent="0.25">
      <c r="A430" s="11">
        <v>45619.194745370369</v>
      </c>
      <c r="B430" s="10" t="s">
        <v>48</v>
      </c>
      <c r="C430" s="10" t="s">
        <v>892</v>
      </c>
      <c r="D430" s="10" t="s">
        <v>893</v>
      </c>
      <c r="E430" s="10">
        <v>406</v>
      </c>
      <c r="F430" s="10" t="s">
        <v>19</v>
      </c>
      <c r="G430" s="10">
        <v>20.9</v>
      </c>
      <c r="H430" s="10">
        <v>76.400000000000006</v>
      </c>
      <c r="I430" s="10" t="s">
        <v>20</v>
      </c>
      <c r="J430" s="10">
        <v>57</v>
      </c>
      <c r="K430" s="10">
        <v>160</v>
      </c>
      <c r="L430" s="10">
        <v>9</v>
      </c>
      <c r="M430" s="10" t="s">
        <v>21</v>
      </c>
      <c r="N430" s="10">
        <v>73.3</v>
      </c>
      <c r="O430" s="10">
        <v>120</v>
      </c>
      <c r="P430" s="10">
        <v>1</v>
      </c>
      <c r="Q430" s="10" t="str">
        <f>+IF(Tabla2[[#This Row],[Demand_Forecast]]&lt;= 125,"Low demand",IF(Tabla2[[#This Row],[Demand_Forecast]] &gt;=285,"High demand","Mid demand"))</f>
        <v>Low demand</v>
      </c>
    </row>
    <row r="431" spans="1:17" x14ac:dyDescent="0.25">
      <c r="A431" s="11">
        <v>45302.846689814818</v>
      </c>
      <c r="B431" s="10" t="s">
        <v>28</v>
      </c>
      <c r="C431" s="10" t="s">
        <v>894</v>
      </c>
      <c r="D431" s="10" t="s">
        <v>895</v>
      </c>
      <c r="E431" s="10">
        <v>410</v>
      </c>
      <c r="F431" s="10" t="s">
        <v>25</v>
      </c>
      <c r="G431" s="10">
        <v>24.5</v>
      </c>
      <c r="H431" s="10">
        <v>62.4</v>
      </c>
      <c r="I431" s="10" t="s">
        <v>38</v>
      </c>
      <c r="J431" s="10">
        <v>40</v>
      </c>
      <c r="K431" s="10">
        <v>172</v>
      </c>
      <c r="L431" s="10">
        <v>5</v>
      </c>
      <c r="M431" s="10" t="s">
        <v>21</v>
      </c>
      <c r="N431" s="10">
        <v>86.2</v>
      </c>
      <c r="O431" s="10">
        <v>225</v>
      </c>
      <c r="P431" s="10">
        <v>0</v>
      </c>
      <c r="Q431" s="10" t="str">
        <f>+IF(Tabla2[[#This Row],[Demand_Forecast]]&lt;= 125,"Low demand",IF(Tabla2[[#This Row],[Demand_Forecast]] &gt;=285,"High demand","Mid demand"))</f>
        <v>Mid demand</v>
      </c>
    </row>
    <row r="432" spans="1:17" x14ac:dyDescent="0.25">
      <c r="A432" s="11">
        <v>45593.095393518517</v>
      </c>
      <c r="B432" s="10" t="s">
        <v>64</v>
      </c>
      <c r="C432" s="10" t="s">
        <v>896</v>
      </c>
      <c r="D432" s="10" t="s">
        <v>897</v>
      </c>
      <c r="E432" s="10">
        <v>155</v>
      </c>
      <c r="F432" s="10" t="s">
        <v>25</v>
      </c>
      <c r="G432" s="10">
        <v>22.6</v>
      </c>
      <c r="H432" s="10">
        <v>77.099999999999994</v>
      </c>
      <c r="I432" s="10" t="s">
        <v>20</v>
      </c>
      <c r="J432" s="10">
        <v>13</v>
      </c>
      <c r="K432" s="10">
        <v>196</v>
      </c>
      <c r="L432" s="10">
        <v>7</v>
      </c>
      <c r="M432" s="10" t="s">
        <v>21</v>
      </c>
      <c r="N432" s="10">
        <v>83.2</v>
      </c>
      <c r="O432" s="10">
        <v>168</v>
      </c>
      <c r="P432" s="10">
        <v>0</v>
      </c>
      <c r="Q432" s="10" t="str">
        <f>+IF(Tabla2[[#This Row],[Demand_Forecast]]&lt;= 125,"Low demand",IF(Tabla2[[#This Row],[Demand_Forecast]] &gt;=285,"High demand","Mid demand"))</f>
        <v>Mid demand</v>
      </c>
    </row>
    <row r="433" spans="1:17" x14ac:dyDescent="0.25">
      <c r="A433" s="11">
        <v>45652.211944444447</v>
      </c>
      <c r="B433" s="10" t="s">
        <v>61</v>
      </c>
      <c r="C433" s="10" t="s">
        <v>898</v>
      </c>
      <c r="D433" s="10" t="s">
        <v>899</v>
      </c>
      <c r="E433" s="10">
        <v>397</v>
      </c>
      <c r="F433" s="10" t="s">
        <v>34</v>
      </c>
      <c r="G433" s="10">
        <v>23.7</v>
      </c>
      <c r="H433" s="10">
        <v>73.5</v>
      </c>
      <c r="I433" s="10" t="s">
        <v>20</v>
      </c>
      <c r="J433" s="10">
        <v>31</v>
      </c>
      <c r="K433" s="10">
        <v>266</v>
      </c>
      <c r="L433" s="10">
        <v>1</v>
      </c>
      <c r="M433" s="10" t="s">
        <v>51</v>
      </c>
      <c r="N433" s="10">
        <v>92.8</v>
      </c>
      <c r="O433" s="10">
        <v>265</v>
      </c>
      <c r="P433" s="10">
        <v>0</v>
      </c>
      <c r="Q433" s="10" t="str">
        <f>+IF(Tabla2[[#This Row],[Demand_Forecast]]&lt;= 125,"Low demand",IF(Tabla2[[#This Row],[Demand_Forecast]] &gt;=285,"High demand","Mid demand"))</f>
        <v>Mid demand</v>
      </c>
    </row>
    <row r="434" spans="1:17" x14ac:dyDescent="0.25">
      <c r="A434" s="11">
        <v>45379.433703703704</v>
      </c>
      <c r="B434" s="10" t="s">
        <v>64</v>
      </c>
      <c r="C434" s="10" t="s">
        <v>900</v>
      </c>
      <c r="D434" s="10" t="s">
        <v>901</v>
      </c>
      <c r="E434" s="10">
        <v>305</v>
      </c>
      <c r="F434" s="10" t="s">
        <v>34</v>
      </c>
      <c r="G434" s="10">
        <v>28</v>
      </c>
      <c r="H434" s="10">
        <v>67.8</v>
      </c>
      <c r="I434" s="10" t="s">
        <v>20</v>
      </c>
      <c r="J434" s="10">
        <v>13</v>
      </c>
      <c r="K434" s="10">
        <v>455</v>
      </c>
      <c r="L434" s="10">
        <v>2</v>
      </c>
      <c r="M434" s="10" t="s">
        <v>27</v>
      </c>
      <c r="N434" s="10">
        <v>80.8</v>
      </c>
      <c r="O434" s="10">
        <v>147</v>
      </c>
      <c r="P434" s="10">
        <v>0</v>
      </c>
      <c r="Q434" s="10" t="str">
        <f>+IF(Tabla2[[#This Row],[Demand_Forecast]]&lt;= 125,"Low demand",IF(Tabla2[[#This Row],[Demand_Forecast]] &gt;=285,"High demand","Mid demand"))</f>
        <v>Mid demand</v>
      </c>
    </row>
    <row r="435" spans="1:17" x14ac:dyDescent="0.25">
      <c r="A435" s="11">
        <v>45398.114386574074</v>
      </c>
      <c r="B435" s="10" t="s">
        <v>48</v>
      </c>
      <c r="C435" s="10" t="s">
        <v>902</v>
      </c>
      <c r="D435" s="10" t="s">
        <v>903</v>
      </c>
      <c r="E435" s="10">
        <v>343</v>
      </c>
      <c r="F435" s="10" t="s">
        <v>19</v>
      </c>
      <c r="G435" s="10">
        <v>26.2</v>
      </c>
      <c r="H435" s="10">
        <v>62.4</v>
      </c>
      <c r="I435" s="10" t="s">
        <v>20</v>
      </c>
      <c r="J435" s="10">
        <v>18</v>
      </c>
      <c r="K435" s="10">
        <v>166</v>
      </c>
      <c r="L435" s="10">
        <v>7</v>
      </c>
      <c r="M435" s="10" t="s">
        <v>27</v>
      </c>
      <c r="N435" s="10">
        <v>62.3</v>
      </c>
      <c r="O435" s="10">
        <v>168</v>
      </c>
      <c r="P435" s="10">
        <v>1</v>
      </c>
      <c r="Q435" s="10" t="str">
        <f>+IF(Tabla2[[#This Row],[Demand_Forecast]]&lt;= 125,"Low demand",IF(Tabla2[[#This Row],[Demand_Forecast]] &gt;=285,"High demand","Mid demand"))</f>
        <v>Mid demand</v>
      </c>
    </row>
    <row r="436" spans="1:17" x14ac:dyDescent="0.25">
      <c r="A436" s="11">
        <v>45634.260740740741</v>
      </c>
      <c r="B436" s="10" t="s">
        <v>22</v>
      </c>
      <c r="C436" s="10" t="s">
        <v>904</v>
      </c>
      <c r="D436" s="10" t="s">
        <v>905</v>
      </c>
      <c r="E436" s="10">
        <v>342</v>
      </c>
      <c r="F436" s="10" t="s">
        <v>25</v>
      </c>
      <c r="G436" s="10">
        <v>27.6</v>
      </c>
      <c r="H436" s="10">
        <v>71.900000000000006</v>
      </c>
      <c r="I436" s="10" t="s">
        <v>20</v>
      </c>
      <c r="J436" s="10">
        <v>24</v>
      </c>
      <c r="K436" s="10">
        <v>216</v>
      </c>
      <c r="L436" s="10">
        <v>2</v>
      </c>
      <c r="M436" s="10" t="s">
        <v>35</v>
      </c>
      <c r="N436" s="10">
        <v>67.5</v>
      </c>
      <c r="O436" s="10">
        <v>225</v>
      </c>
      <c r="P436" s="10">
        <v>0</v>
      </c>
      <c r="Q436" s="10" t="str">
        <f>+IF(Tabla2[[#This Row],[Demand_Forecast]]&lt;= 125,"Low demand",IF(Tabla2[[#This Row],[Demand_Forecast]] &gt;=285,"High demand","Mid demand"))</f>
        <v>Mid demand</v>
      </c>
    </row>
    <row r="437" spans="1:17" x14ac:dyDescent="0.25">
      <c r="A437" s="11">
        <v>45540.738842592589</v>
      </c>
      <c r="B437" s="10" t="s">
        <v>61</v>
      </c>
      <c r="C437" s="10" t="s">
        <v>906</v>
      </c>
      <c r="D437" s="10" t="s">
        <v>907</v>
      </c>
      <c r="E437" s="10">
        <v>347</v>
      </c>
      <c r="F437" s="10" t="s">
        <v>25</v>
      </c>
      <c r="G437" s="10">
        <v>29.1</v>
      </c>
      <c r="H437" s="10">
        <v>80</v>
      </c>
      <c r="I437" s="10" t="s">
        <v>26</v>
      </c>
      <c r="J437" s="10">
        <v>25</v>
      </c>
      <c r="K437" s="10">
        <v>256</v>
      </c>
      <c r="L437" s="10">
        <v>3</v>
      </c>
      <c r="M437" s="10" t="s">
        <v>51</v>
      </c>
      <c r="N437" s="10">
        <v>69.599999999999994</v>
      </c>
      <c r="O437" s="10">
        <v>274</v>
      </c>
      <c r="P437" s="10">
        <v>1</v>
      </c>
      <c r="Q437" s="10" t="str">
        <f>+IF(Tabla2[[#This Row],[Demand_Forecast]]&lt;= 125,"Low demand",IF(Tabla2[[#This Row],[Demand_Forecast]] &gt;=285,"High demand","Mid demand"))</f>
        <v>Mid demand</v>
      </c>
    </row>
    <row r="438" spans="1:17" x14ac:dyDescent="0.25">
      <c r="A438" s="11">
        <v>45324.933541666665</v>
      </c>
      <c r="B438" s="10" t="s">
        <v>61</v>
      </c>
      <c r="C438" s="10" t="s">
        <v>908</v>
      </c>
      <c r="D438" s="10" t="s">
        <v>909</v>
      </c>
      <c r="E438" s="10">
        <v>403</v>
      </c>
      <c r="F438" s="10" t="s">
        <v>34</v>
      </c>
      <c r="G438" s="10">
        <v>29.5</v>
      </c>
      <c r="H438" s="10">
        <v>76.599999999999994</v>
      </c>
      <c r="I438" s="10" t="s">
        <v>26</v>
      </c>
      <c r="J438" s="10">
        <v>36</v>
      </c>
      <c r="K438" s="10">
        <v>379</v>
      </c>
      <c r="L438" s="10">
        <v>2</v>
      </c>
      <c r="M438" s="10" t="s">
        <v>51</v>
      </c>
      <c r="N438" s="10">
        <v>66.7</v>
      </c>
      <c r="O438" s="10">
        <v>242</v>
      </c>
      <c r="P438" s="10">
        <v>1</v>
      </c>
      <c r="Q438" s="10" t="str">
        <f>+IF(Tabla2[[#This Row],[Demand_Forecast]]&lt;= 125,"Low demand",IF(Tabla2[[#This Row],[Demand_Forecast]] &gt;=285,"High demand","Mid demand"))</f>
        <v>Mid demand</v>
      </c>
    </row>
    <row r="439" spans="1:17" x14ac:dyDescent="0.25">
      <c r="A439" s="11">
        <v>45412.780694444446</v>
      </c>
      <c r="B439" s="10" t="s">
        <v>31</v>
      </c>
      <c r="C439" s="10" t="s">
        <v>910</v>
      </c>
      <c r="D439" s="10" t="s">
        <v>911</v>
      </c>
      <c r="E439" s="10">
        <v>482</v>
      </c>
      <c r="F439" s="10" t="s">
        <v>19</v>
      </c>
      <c r="G439" s="10">
        <v>18.100000000000001</v>
      </c>
      <c r="H439" s="10">
        <v>76.099999999999994</v>
      </c>
      <c r="I439" s="10" t="s">
        <v>26</v>
      </c>
      <c r="J439" s="10">
        <v>54</v>
      </c>
      <c r="K439" s="10">
        <v>203</v>
      </c>
      <c r="L439" s="10">
        <v>10</v>
      </c>
      <c r="M439" s="10" t="s">
        <v>35</v>
      </c>
      <c r="N439" s="10">
        <v>74.099999999999994</v>
      </c>
      <c r="O439" s="10">
        <v>112</v>
      </c>
      <c r="P439" s="10">
        <v>1</v>
      </c>
      <c r="Q439" s="10" t="str">
        <f>+IF(Tabla2[[#This Row],[Demand_Forecast]]&lt;= 125,"Low demand",IF(Tabla2[[#This Row],[Demand_Forecast]] &gt;=285,"High demand","Mid demand"))</f>
        <v>Low demand</v>
      </c>
    </row>
    <row r="440" spans="1:17" x14ac:dyDescent="0.25">
      <c r="A440" s="11">
        <v>45413.13422453704</v>
      </c>
      <c r="B440" s="10" t="s">
        <v>61</v>
      </c>
      <c r="C440" s="10" t="s">
        <v>912</v>
      </c>
      <c r="D440" s="10" t="s">
        <v>913</v>
      </c>
      <c r="E440" s="10">
        <v>130</v>
      </c>
      <c r="F440" s="10" t="s">
        <v>34</v>
      </c>
      <c r="G440" s="10">
        <v>21.6</v>
      </c>
      <c r="H440" s="10">
        <v>60.9</v>
      </c>
      <c r="I440" s="10" t="s">
        <v>38</v>
      </c>
      <c r="J440" s="10">
        <v>48</v>
      </c>
      <c r="K440" s="10">
        <v>479</v>
      </c>
      <c r="L440" s="10">
        <v>8</v>
      </c>
      <c r="M440" s="10" t="s">
        <v>35</v>
      </c>
      <c r="N440" s="10">
        <v>83.3</v>
      </c>
      <c r="O440" s="10">
        <v>173</v>
      </c>
      <c r="P440" s="10">
        <v>0</v>
      </c>
      <c r="Q440" s="10" t="str">
        <f>+IF(Tabla2[[#This Row],[Demand_Forecast]]&lt;= 125,"Low demand",IF(Tabla2[[#This Row],[Demand_Forecast]] &gt;=285,"High demand","Mid demand"))</f>
        <v>Mid demand</v>
      </c>
    </row>
    <row r="441" spans="1:17" x14ac:dyDescent="0.25">
      <c r="A441" s="11">
        <v>45301.835046296299</v>
      </c>
      <c r="B441" s="10" t="s">
        <v>95</v>
      </c>
      <c r="C441" s="10" t="s">
        <v>914</v>
      </c>
      <c r="D441" s="10" t="s">
        <v>915</v>
      </c>
      <c r="E441" s="10">
        <v>465</v>
      </c>
      <c r="F441" s="10" t="s">
        <v>19</v>
      </c>
      <c r="G441" s="10">
        <v>24</v>
      </c>
      <c r="H441" s="10">
        <v>72.400000000000006</v>
      </c>
      <c r="I441" s="10" t="s">
        <v>26</v>
      </c>
      <c r="J441" s="10">
        <v>48</v>
      </c>
      <c r="K441" s="10">
        <v>112</v>
      </c>
      <c r="L441" s="10">
        <v>8</v>
      </c>
      <c r="M441" s="10" t="s">
        <v>21</v>
      </c>
      <c r="N441" s="10">
        <v>97.1</v>
      </c>
      <c r="O441" s="10">
        <v>212</v>
      </c>
      <c r="P441" s="10">
        <v>1</v>
      </c>
      <c r="Q441" s="10" t="str">
        <f>+IF(Tabla2[[#This Row],[Demand_Forecast]]&lt;= 125,"Low demand",IF(Tabla2[[#This Row],[Demand_Forecast]] &gt;=285,"High demand","Mid demand"))</f>
        <v>Mid demand</v>
      </c>
    </row>
    <row r="442" spans="1:17" x14ac:dyDescent="0.25">
      <c r="A442" s="11">
        <v>45586.46912037037</v>
      </c>
      <c r="B442" s="10" t="s">
        <v>48</v>
      </c>
      <c r="C442" s="10" t="s">
        <v>916</v>
      </c>
      <c r="D442" s="10" t="s">
        <v>917</v>
      </c>
      <c r="E442" s="10">
        <v>322</v>
      </c>
      <c r="F442" s="10" t="s">
        <v>19</v>
      </c>
      <c r="G442" s="10">
        <v>26.1</v>
      </c>
      <c r="H442" s="10">
        <v>71.900000000000006</v>
      </c>
      <c r="I442" s="10" t="s">
        <v>20</v>
      </c>
      <c r="J442" s="10">
        <v>45</v>
      </c>
      <c r="K442" s="10">
        <v>339</v>
      </c>
      <c r="L442" s="10">
        <v>8</v>
      </c>
      <c r="M442" s="10" t="s">
        <v>27</v>
      </c>
      <c r="N442" s="10">
        <v>97.6</v>
      </c>
      <c r="O442" s="10">
        <v>145</v>
      </c>
      <c r="P442" s="10">
        <v>1</v>
      </c>
      <c r="Q442" s="10" t="str">
        <f>+IF(Tabla2[[#This Row],[Demand_Forecast]]&lt;= 125,"Low demand",IF(Tabla2[[#This Row],[Demand_Forecast]] &gt;=285,"High demand","Mid demand"))</f>
        <v>Mid demand</v>
      </c>
    </row>
    <row r="443" spans="1:17" x14ac:dyDescent="0.25">
      <c r="A443" s="11">
        <v>45621.12427083333</v>
      </c>
      <c r="B443" s="10" t="s">
        <v>95</v>
      </c>
      <c r="C443" s="10" t="s">
        <v>918</v>
      </c>
      <c r="D443" s="10" t="s">
        <v>919</v>
      </c>
      <c r="E443" s="10">
        <v>126</v>
      </c>
      <c r="F443" s="10" t="s">
        <v>34</v>
      </c>
      <c r="G443" s="10">
        <v>20.3</v>
      </c>
      <c r="H443" s="10">
        <v>51.2</v>
      </c>
      <c r="I443" s="10" t="s">
        <v>20</v>
      </c>
      <c r="J443" s="10">
        <v>53</v>
      </c>
      <c r="K443" s="10">
        <v>486</v>
      </c>
      <c r="L443" s="10">
        <v>7</v>
      </c>
      <c r="M443" s="10" t="s">
        <v>51</v>
      </c>
      <c r="N443" s="10">
        <v>97.5</v>
      </c>
      <c r="O443" s="10">
        <v>129</v>
      </c>
      <c r="P443" s="10">
        <v>0</v>
      </c>
      <c r="Q443" s="10" t="str">
        <f>+IF(Tabla2[[#This Row],[Demand_Forecast]]&lt;= 125,"Low demand",IF(Tabla2[[#This Row],[Demand_Forecast]] &gt;=285,"High demand","Mid demand"))</f>
        <v>Mid demand</v>
      </c>
    </row>
    <row r="444" spans="1:17" x14ac:dyDescent="0.25">
      <c r="A444" s="11">
        <v>45646.334293981483</v>
      </c>
      <c r="B444" s="10" t="s">
        <v>61</v>
      </c>
      <c r="C444" s="10" t="s">
        <v>920</v>
      </c>
      <c r="D444" s="10" t="s">
        <v>921</v>
      </c>
      <c r="E444" s="10">
        <v>142</v>
      </c>
      <c r="F444" s="10" t="s">
        <v>25</v>
      </c>
      <c r="G444" s="10">
        <v>22.7</v>
      </c>
      <c r="H444" s="10">
        <v>66.099999999999994</v>
      </c>
      <c r="I444" s="10" t="s">
        <v>20</v>
      </c>
      <c r="J444" s="10">
        <v>59</v>
      </c>
      <c r="K444" s="10">
        <v>343</v>
      </c>
      <c r="L444" s="10">
        <v>6</v>
      </c>
      <c r="M444" s="10" t="s">
        <v>51</v>
      </c>
      <c r="N444" s="10">
        <v>86.7</v>
      </c>
      <c r="O444" s="10">
        <v>256</v>
      </c>
      <c r="P444" s="10">
        <v>0</v>
      </c>
      <c r="Q444" s="10" t="str">
        <f>+IF(Tabla2[[#This Row],[Demand_Forecast]]&lt;= 125,"Low demand",IF(Tabla2[[#This Row],[Demand_Forecast]] &gt;=285,"High demand","Mid demand"))</f>
        <v>Mid demand</v>
      </c>
    </row>
    <row r="445" spans="1:17" x14ac:dyDescent="0.25">
      <c r="A445" s="11">
        <v>45472.796724537038</v>
      </c>
      <c r="B445" s="10" t="s">
        <v>31</v>
      </c>
      <c r="C445" s="10" t="s">
        <v>922</v>
      </c>
      <c r="D445" s="10" t="s">
        <v>923</v>
      </c>
      <c r="E445" s="10">
        <v>444</v>
      </c>
      <c r="F445" s="10" t="s">
        <v>34</v>
      </c>
      <c r="G445" s="10">
        <v>21.6</v>
      </c>
      <c r="H445" s="10">
        <v>53.2</v>
      </c>
      <c r="I445" s="10" t="s">
        <v>20</v>
      </c>
      <c r="J445" s="10">
        <v>16</v>
      </c>
      <c r="K445" s="10">
        <v>113</v>
      </c>
      <c r="L445" s="10">
        <v>2</v>
      </c>
      <c r="M445" s="10" t="s">
        <v>35</v>
      </c>
      <c r="N445" s="10">
        <v>96.1</v>
      </c>
      <c r="O445" s="10">
        <v>181</v>
      </c>
      <c r="P445" s="10">
        <v>0</v>
      </c>
      <c r="Q445" s="10" t="str">
        <f>+IF(Tabla2[[#This Row],[Demand_Forecast]]&lt;= 125,"Low demand",IF(Tabla2[[#This Row],[Demand_Forecast]] &gt;=285,"High demand","Mid demand"))</f>
        <v>Mid demand</v>
      </c>
    </row>
    <row r="446" spans="1:17" x14ac:dyDescent="0.25">
      <c r="A446" s="11">
        <v>45639.790219907409</v>
      </c>
      <c r="B446" s="10" t="s">
        <v>48</v>
      </c>
      <c r="C446" s="10" t="s">
        <v>924</v>
      </c>
      <c r="D446" s="10" t="s">
        <v>925</v>
      </c>
      <c r="E446" s="10">
        <v>100</v>
      </c>
      <c r="F446" s="10" t="s">
        <v>34</v>
      </c>
      <c r="G446" s="10">
        <v>22.4</v>
      </c>
      <c r="H446" s="10">
        <v>71.599999999999994</v>
      </c>
      <c r="I446" s="10" t="s">
        <v>20</v>
      </c>
      <c r="J446" s="10">
        <v>22</v>
      </c>
      <c r="K446" s="10">
        <v>389</v>
      </c>
      <c r="L446" s="10">
        <v>4</v>
      </c>
      <c r="M446" s="10" t="s">
        <v>35</v>
      </c>
      <c r="N446" s="10">
        <v>73.400000000000006</v>
      </c>
      <c r="O446" s="10">
        <v>159</v>
      </c>
      <c r="P446" s="10">
        <v>0</v>
      </c>
      <c r="Q446" s="10" t="str">
        <f>+IF(Tabla2[[#This Row],[Demand_Forecast]]&lt;= 125,"Low demand",IF(Tabla2[[#This Row],[Demand_Forecast]] &gt;=285,"High demand","Mid demand"))</f>
        <v>Mid demand</v>
      </c>
    </row>
    <row r="447" spans="1:17" x14ac:dyDescent="0.25">
      <c r="A447" s="11">
        <v>45616.225914351853</v>
      </c>
      <c r="B447" s="10" t="s">
        <v>61</v>
      </c>
      <c r="C447" s="10" t="s">
        <v>926</v>
      </c>
      <c r="D447" s="10" t="s">
        <v>927</v>
      </c>
      <c r="E447" s="10">
        <v>227</v>
      </c>
      <c r="F447" s="10" t="s">
        <v>25</v>
      </c>
      <c r="G447" s="10">
        <v>22.6</v>
      </c>
      <c r="H447" s="10">
        <v>58.5</v>
      </c>
      <c r="I447" s="10" t="s">
        <v>20</v>
      </c>
      <c r="J447" s="10">
        <v>24</v>
      </c>
      <c r="K447" s="10">
        <v>477</v>
      </c>
      <c r="L447" s="10">
        <v>10</v>
      </c>
      <c r="M447" s="10" t="s">
        <v>27</v>
      </c>
      <c r="N447" s="10">
        <v>89</v>
      </c>
      <c r="O447" s="10">
        <v>139</v>
      </c>
      <c r="P447" s="10">
        <v>0</v>
      </c>
      <c r="Q447" s="10" t="str">
        <f>+IF(Tabla2[[#This Row],[Demand_Forecast]]&lt;= 125,"Low demand",IF(Tabla2[[#This Row],[Demand_Forecast]] &gt;=285,"High demand","Mid demand"))</f>
        <v>Mid demand</v>
      </c>
    </row>
    <row r="448" spans="1:17" x14ac:dyDescent="0.25">
      <c r="A448" s="11">
        <v>45472.410578703704</v>
      </c>
      <c r="B448" s="10" t="s">
        <v>61</v>
      </c>
      <c r="C448" s="10" t="s">
        <v>928</v>
      </c>
      <c r="D448" s="10" t="s">
        <v>929</v>
      </c>
      <c r="E448" s="10">
        <v>416</v>
      </c>
      <c r="F448" s="10" t="s">
        <v>34</v>
      </c>
      <c r="G448" s="10">
        <v>20.7</v>
      </c>
      <c r="H448" s="10">
        <v>69.099999999999994</v>
      </c>
      <c r="I448" s="10" t="s">
        <v>20</v>
      </c>
      <c r="J448" s="10">
        <v>32</v>
      </c>
      <c r="K448" s="10">
        <v>139</v>
      </c>
      <c r="L448" s="10">
        <v>6</v>
      </c>
      <c r="M448" s="10" t="s">
        <v>51</v>
      </c>
      <c r="N448" s="10">
        <v>91.7</v>
      </c>
      <c r="O448" s="10">
        <v>221</v>
      </c>
      <c r="P448" s="10">
        <v>0</v>
      </c>
      <c r="Q448" s="10" t="str">
        <f>+IF(Tabla2[[#This Row],[Demand_Forecast]]&lt;= 125,"Low demand",IF(Tabla2[[#This Row],[Demand_Forecast]] &gt;=285,"High demand","Mid demand"))</f>
        <v>Mid demand</v>
      </c>
    </row>
    <row r="449" spans="1:17" x14ac:dyDescent="0.25">
      <c r="A449" s="11">
        <v>45648.981909722221</v>
      </c>
      <c r="B449" s="10" t="s">
        <v>61</v>
      </c>
      <c r="C449" s="10" t="s">
        <v>930</v>
      </c>
      <c r="D449" s="10" t="s">
        <v>931</v>
      </c>
      <c r="E449" s="10">
        <v>499</v>
      </c>
      <c r="F449" s="10" t="s">
        <v>19</v>
      </c>
      <c r="G449" s="10">
        <v>25.8</v>
      </c>
      <c r="H449" s="10">
        <v>64</v>
      </c>
      <c r="I449" s="10" t="s">
        <v>20</v>
      </c>
      <c r="J449" s="10">
        <v>46</v>
      </c>
      <c r="K449" s="10">
        <v>295</v>
      </c>
      <c r="L449" s="10">
        <v>6</v>
      </c>
      <c r="M449" s="10" t="s">
        <v>35</v>
      </c>
      <c r="N449" s="10">
        <v>87.6</v>
      </c>
      <c r="O449" s="10">
        <v>160</v>
      </c>
      <c r="P449" s="10">
        <v>1</v>
      </c>
      <c r="Q449" s="10" t="str">
        <f>+IF(Tabla2[[#This Row],[Demand_Forecast]]&lt;= 125,"Low demand",IF(Tabla2[[#This Row],[Demand_Forecast]] &gt;=285,"High demand","Mid demand"))</f>
        <v>Mid demand</v>
      </c>
    </row>
    <row r="450" spans="1:17" x14ac:dyDescent="0.25">
      <c r="A450" s="11">
        <v>45466.922581018516</v>
      </c>
      <c r="B450" s="10" t="s">
        <v>22</v>
      </c>
      <c r="C450" s="10" t="s">
        <v>932</v>
      </c>
      <c r="D450" s="10" t="s">
        <v>933</v>
      </c>
      <c r="E450" s="10">
        <v>328</v>
      </c>
      <c r="F450" s="10" t="s">
        <v>34</v>
      </c>
      <c r="G450" s="10">
        <v>29.8</v>
      </c>
      <c r="H450" s="10">
        <v>53.5</v>
      </c>
      <c r="I450" s="10" t="s">
        <v>38</v>
      </c>
      <c r="J450" s="10">
        <v>54</v>
      </c>
      <c r="K450" s="10">
        <v>144</v>
      </c>
      <c r="L450" s="10">
        <v>6</v>
      </c>
      <c r="M450" s="10" t="s">
        <v>27</v>
      </c>
      <c r="N450" s="10">
        <v>78</v>
      </c>
      <c r="O450" s="10">
        <v>158</v>
      </c>
      <c r="P450" s="10">
        <v>0</v>
      </c>
      <c r="Q450" s="10" t="str">
        <f>+IF(Tabla2[[#This Row],[Demand_Forecast]]&lt;= 125,"Low demand",IF(Tabla2[[#This Row],[Demand_Forecast]] &gt;=285,"High demand","Mid demand"))</f>
        <v>Mid demand</v>
      </c>
    </row>
    <row r="451" spans="1:17" x14ac:dyDescent="0.25">
      <c r="A451" s="11">
        <v>45380.218356481484</v>
      </c>
      <c r="B451" s="10" t="s">
        <v>95</v>
      </c>
      <c r="C451" s="10" t="s">
        <v>934</v>
      </c>
      <c r="D451" s="10" t="s">
        <v>935</v>
      </c>
      <c r="E451" s="10">
        <v>324</v>
      </c>
      <c r="F451" s="10" t="s">
        <v>34</v>
      </c>
      <c r="G451" s="10">
        <v>28.2</v>
      </c>
      <c r="H451" s="10">
        <v>56.8</v>
      </c>
      <c r="I451" s="10" t="s">
        <v>26</v>
      </c>
      <c r="J451" s="10">
        <v>10</v>
      </c>
      <c r="K451" s="10">
        <v>249</v>
      </c>
      <c r="L451" s="10">
        <v>7</v>
      </c>
      <c r="M451" s="10" t="s">
        <v>21</v>
      </c>
      <c r="N451" s="10">
        <v>76.7</v>
      </c>
      <c r="O451" s="10">
        <v>298</v>
      </c>
      <c r="P451" s="10">
        <v>1</v>
      </c>
      <c r="Q451" s="10" t="str">
        <f>+IF(Tabla2[[#This Row],[Demand_Forecast]]&lt;= 125,"Low demand",IF(Tabla2[[#This Row],[Demand_Forecast]] &gt;=285,"High demand","Mid demand"))</f>
        <v>High demand</v>
      </c>
    </row>
    <row r="452" spans="1:17" x14ac:dyDescent="0.25">
      <c r="A452" s="11">
        <v>45385.591157407405</v>
      </c>
      <c r="B452" s="10" t="s">
        <v>64</v>
      </c>
      <c r="C452" s="10" t="s">
        <v>936</v>
      </c>
      <c r="D452" s="10" t="s">
        <v>937</v>
      </c>
      <c r="E452" s="10">
        <v>401</v>
      </c>
      <c r="F452" s="10" t="s">
        <v>25</v>
      </c>
      <c r="G452" s="10">
        <v>26.3</v>
      </c>
      <c r="H452" s="10">
        <v>59.4</v>
      </c>
      <c r="I452" s="10" t="s">
        <v>26</v>
      </c>
      <c r="J452" s="10">
        <v>30</v>
      </c>
      <c r="K452" s="10">
        <v>268</v>
      </c>
      <c r="L452" s="10">
        <v>7</v>
      </c>
      <c r="M452" s="10" t="s">
        <v>21</v>
      </c>
      <c r="N452" s="10">
        <v>67.599999999999994</v>
      </c>
      <c r="O452" s="10">
        <v>225</v>
      </c>
      <c r="P452" s="10">
        <v>1</v>
      </c>
      <c r="Q452" s="10" t="str">
        <f>+IF(Tabla2[[#This Row],[Demand_Forecast]]&lt;= 125,"Low demand",IF(Tabla2[[#This Row],[Demand_Forecast]] &gt;=285,"High demand","Mid demand"))</f>
        <v>Mid demand</v>
      </c>
    </row>
    <row r="453" spans="1:17" x14ac:dyDescent="0.25">
      <c r="A453" s="11">
        <v>45641.585046296299</v>
      </c>
      <c r="B453" s="10" t="s">
        <v>95</v>
      </c>
      <c r="C453" s="10" t="s">
        <v>938</v>
      </c>
      <c r="D453" s="10" t="s">
        <v>939</v>
      </c>
      <c r="E453" s="10">
        <v>182</v>
      </c>
      <c r="F453" s="10" t="s">
        <v>19</v>
      </c>
      <c r="G453" s="10">
        <v>22.9</v>
      </c>
      <c r="H453" s="10">
        <v>54.4</v>
      </c>
      <c r="I453" s="10" t="s">
        <v>20</v>
      </c>
      <c r="J453" s="10">
        <v>50</v>
      </c>
      <c r="K453" s="10">
        <v>135</v>
      </c>
      <c r="L453" s="10">
        <v>3</v>
      </c>
      <c r="M453" s="10" t="s">
        <v>21</v>
      </c>
      <c r="N453" s="10">
        <v>98.4</v>
      </c>
      <c r="O453" s="10">
        <v>268</v>
      </c>
      <c r="P453" s="10">
        <v>1</v>
      </c>
      <c r="Q453" s="10" t="str">
        <f>+IF(Tabla2[[#This Row],[Demand_Forecast]]&lt;= 125,"Low demand",IF(Tabla2[[#This Row],[Demand_Forecast]] &gt;=285,"High demand","Mid demand"))</f>
        <v>Mid demand</v>
      </c>
    </row>
    <row r="454" spans="1:17" x14ac:dyDescent="0.25">
      <c r="A454" s="11">
        <v>45510.557847222219</v>
      </c>
      <c r="B454" s="10" t="s">
        <v>22</v>
      </c>
      <c r="C454" s="10" t="s">
        <v>940</v>
      </c>
      <c r="D454" s="10" t="s">
        <v>941</v>
      </c>
      <c r="E454" s="10">
        <v>264</v>
      </c>
      <c r="F454" s="10" t="s">
        <v>34</v>
      </c>
      <c r="G454" s="10">
        <v>29.5</v>
      </c>
      <c r="H454" s="10">
        <v>67.3</v>
      </c>
      <c r="I454" s="10" t="s">
        <v>26</v>
      </c>
      <c r="J454" s="10">
        <v>32</v>
      </c>
      <c r="K454" s="10">
        <v>314</v>
      </c>
      <c r="L454" s="10">
        <v>8</v>
      </c>
      <c r="M454" s="10" t="s">
        <v>35</v>
      </c>
      <c r="N454" s="10">
        <v>65.900000000000006</v>
      </c>
      <c r="O454" s="10">
        <v>202</v>
      </c>
      <c r="P454" s="10">
        <v>1</v>
      </c>
      <c r="Q454" s="10" t="str">
        <f>+IF(Tabla2[[#This Row],[Demand_Forecast]]&lt;= 125,"Low demand",IF(Tabla2[[#This Row],[Demand_Forecast]] &gt;=285,"High demand","Mid demand"))</f>
        <v>Mid demand</v>
      </c>
    </row>
    <row r="455" spans="1:17" x14ac:dyDescent="0.25">
      <c r="A455" s="11">
        <v>45365.108020833337</v>
      </c>
      <c r="B455" s="10" t="s">
        <v>56</v>
      </c>
      <c r="C455" s="10" t="s">
        <v>942</v>
      </c>
      <c r="D455" s="10" t="s">
        <v>943</v>
      </c>
      <c r="E455" s="10">
        <v>293</v>
      </c>
      <c r="F455" s="10" t="s">
        <v>34</v>
      </c>
      <c r="G455" s="10">
        <v>23.8</v>
      </c>
      <c r="H455" s="10">
        <v>62.8</v>
      </c>
      <c r="I455" s="10" t="s">
        <v>20</v>
      </c>
      <c r="J455" s="10">
        <v>19</v>
      </c>
      <c r="K455" s="10">
        <v>135</v>
      </c>
      <c r="L455" s="10">
        <v>1</v>
      </c>
      <c r="M455" s="10" t="s">
        <v>51</v>
      </c>
      <c r="N455" s="10">
        <v>98.8</v>
      </c>
      <c r="O455" s="10">
        <v>291</v>
      </c>
      <c r="P455" s="10">
        <v>0</v>
      </c>
      <c r="Q455" s="10" t="str">
        <f>+IF(Tabla2[[#This Row],[Demand_Forecast]]&lt;= 125,"Low demand",IF(Tabla2[[#This Row],[Demand_Forecast]] &gt;=285,"High demand","Mid demand"))</f>
        <v>High demand</v>
      </c>
    </row>
    <row r="456" spans="1:17" x14ac:dyDescent="0.25">
      <c r="A456" s="11">
        <v>45531.024143518516</v>
      </c>
      <c r="B456" s="10" t="s">
        <v>28</v>
      </c>
      <c r="C456" s="10" t="s">
        <v>944</v>
      </c>
      <c r="D456" s="10" t="s">
        <v>945</v>
      </c>
      <c r="E456" s="10">
        <v>343</v>
      </c>
      <c r="F456" s="10" t="s">
        <v>25</v>
      </c>
      <c r="G456" s="10">
        <v>29.5</v>
      </c>
      <c r="H456" s="10">
        <v>59.8</v>
      </c>
      <c r="I456" s="10" t="s">
        <v>20</v>
      </c>
      <c r="J456" s="10">
        <v>35</v>
      </c>
      <c r="K456" s="10">
        <v>294</v>
      </c>
      <c r="L456" s="10">
        <v>8</v>
      </c>
      <c r="M456" s="10" t="s">
        <v>21</v>
      </c>
      <c r="N456" s="10">
        <v>73.7</v>
      </c>
      <c r="O456" s="10">
        <v>256</v>
      </c>
      <c r="P456" s="10">
        <v>0</v>
      </c>
      <c r="Q456" s="10" t="str">
        <f>+IF(Tabla2[[#This Row],[Demand_Forecast]]&lt;= 125,"Low demand",IF(Tabla2[[#This Row],[Demand_Forecast]] &gt;=285,"High demand","Mid demand"))</f>
        <v>Mid demand</v>
      </c>
    </row>
    <row r="457" spans="1:17" x14ac:dyDescent="0.25">
      <c r="A457" s="11">
        <v>45406.86859953704</v>
      </c>
      <c r="B457" s="10" t="s">
        <v>41</v>
      </c>
      <c r="C457" s="10" t="s">
        <v>946</v>
      </c>
      <c r="D457" s="10" t="s">
        <v>947</v>
      </c>
      <c r="E457" s="10">
        <v>103</v>
      </c>
      <c r="F457" s="10" t="s">
        <v>25</v>
      </c>
      <c r="G457" s="10">
        <v>24.8</v>
      </c>
      <c r="H457" s="10">
        <v>79.3</v>
      </c>
      <c r="I457" s="10" t="s">
        <v>26</v>
      </c>
      <c r="J457" s="10">
        <v>22</v>
      </c>
      <c r="K457" s="10">
        <v>393</v>
      </c>
      <c r="L457" s="10">
        <v>9</v>
      </c>
      <c r="M457" s="10" t="s">
        <v>27</v>
      </c>
      <c r="N457" s="10">
        <v>88.6</v>
      </c>
      <c r="O457" s="10">
        <v>108</v>
      </c>
      <c r="P457" s="10">
        <v>1</v>
      </c>
      <c r="Q457" s="10" t="str">
        <f>+IF(Tabla2[[#This Row],[Demand_Forecast]]&lt;= 125,"Low demand",IF(Tabla2[[#This Row],[Demand_Forecast]] &gt;=285,"High demand","Mid demand"))</f>
        <v>Low demand</v>
      </c>
    </row>
    <row r="458" spans="1:17" x14ac:dyDescent="0.25">
      <c r="A458" s="11">
        <v>45544.903854166667</v>
      </c>
      <c r="B458" s="10" t="s">
        <v>31</v>
      </c>
      <c r="C458" s="10" t="s">
        <v>948</v>
      </c>
      <c r="D458" s="10" t="s">
        <v>949</v>
      </c>
      <c r="E458" s="10">
        <v>295</v>
      </c>
      <c r="F458" s="10" t="s">
        <v>34</v>
      </c>
      <c r="G458" s="10">
        <v>23.6</v>
      </c>
      <c r="H458" s="10">
        <v>72.8</v>
      </c>
      <c r="I458" s="10" t="s">
        <v>20</v>
      </c>
      <c r="J458" s="10">
        <v>18</v>
      </c>
      <c r="K458" s="10">
        <v>327</v>
      </c>
      <c r="L458" s="10">
        <v>5</v>
      </c>
      <c r="M458" s="10" t="s">
        <v>21</v>
      </c>
      <c r="N458" s="10">
        <v>92.1</v>
      </c>
      <c r="O458" s="10">
        <v>283</v>
      </c>
      <c r="P458" s="10">
        <v>0</v>
      </c>
      <c r="Q458" s="10" t="str">
        <f>+IF(Tabla2[[#This Row],[Demand_Forecast]]&lt;= 125,"Low demand",IF(Tabla2[[#This Row],[Demand_Forecast]] &gt;=285,"High demand","Mid demand"))</f>
        <v>Mid demand</v>
      </c>
    </row>
    <row r="459" spans="1:17" x14ac:dyDescent="0.25">
      <c r="A459" s="11">
        <v>45463.581909722219</v>
      </c>
      <c r="B459" s="10" t="s">
        <v>28</v>
      </c>
      <c r="C459" s="10" t="s">
        <v>950</v>
      </c>
      <c r="D459" s="10" t="s">
        <v>951</v>
      </c>
      <c r="E459" s="10">
        <v>300</v>
      </c>
      <c r="F459" s="10" t="s">
        <v>34</v>
      </c>
      <c r="G459" s="10">
        <v>27.4</v>
      </c>
      <c r="H459" s="10">
        <v>52.8</v>
      </c>
      <c r="I459" s="10" t="s">
        <v>20</v>
      </c>
      <c r="J459" s="10">
        <v>35</v>
      </c>
      <c r="K459" s="10">
        <v>431</v>
      </c>
      <c r="L459" s="10">
        <v>10</v>
      </c>
      <c r="M459" s="10" t="s">
        <v>21</v>
      </c>
      <c r="N459" s="10">
        <v>81.2</v>
      </c>
      <c r="O459" s="10">
        <v>120</v>
      </c>
      <c r="P459" s="10">
        <v>0</v>
      </c>
      <c r="Q459" s="10" t="str">
        <f>+IF(Tabla2[[#This Row],[Demand_Forecast]]&lt;= 125,"Low demand",IF(Tabla2[[#This Row],[Demand_Forecast]] &gt;=285,"High demand","Mid demand"))</f>
        <v>Low demand</v>
      </c>
    </row>
    <row r="460" spans="1:17" x14ac:dyDescent="0.25">
      <c r="A460" s="11">
        <v>45445.454548611109</v>
      </c>
      <c r="B460" s="10" t="s">
        <v>16</v>
      </c>
      <c r="C460" s="10" t="s">
        <v>952</v>
      </c>
      <c r="D460" s="10" t="s">
        <v>953</v>
      </c>
      <c r="E460" s="10">
        <v>108</v>
      </c>
      <c r="F460" s="10" t="s">
        <v>34</v>
      </c>
      <c r="G460" s="10">
        <v>27.9</v>
      </c>
      <c r="H460" s="10">
        <v>65.599999999999994</v>
      </c>
      <c r="I460" s="10" t="s">
        <v>26</v>
      </c>
      <c r="J460" s="10">
        <v>46</v>
      </c>
      <c r="K460" s="10">
        <v>138</v>
      </c>
      <c r="L460" s="10">
        <v>4</v>
      </c>
      <c r="M460" s="10" t="s">
        <v>35</v>
      </c>
      <c r="N460" s="10">
        <v>82.7</v>
      </c>
      <c r="O460" s="10">
        <v>173</v>
      </c>
      <c r="P460" s="10">
        <v>1</v>
      </c>
      <c r="Q460" s="10" t="str">
        <f>+IF(Tabla2[[#This Row],[Demand_Forecast]]&lt;= 125,"Low demand",IF(Tabla2[[#This Row],[Demand_Forecast]] &gt;=285,"High demand","Mid demand"))</f>
        <v>Mid demand</v>
      </c>
    </row>
    <row r="461" spans="1:17" x14ac:dyDescent="0.25">
      <c r="A461" s="11">
        <v>45482.973460648151</v>
      </c>
      <c r="B461" s="10" t="s">
        <v>56</v>
      </c>
      <c r="C461" s="10" t="s">
        <v>954</v>
      </c>
      <c r="D461" s="10" t="s">
        <v>955</v>
      </c>
      <c r="E461" s="10">
        <v>153</v>
      </c>
      <c r="F461" s="10" t="s">
        <v>19</v>
      </c>
      <c r="G461" s="10">
        <v>27.5</v>
      </c>
      <c r="H461" s="10">
        <v>69.900000000000006</v>
      </c>
      <c r="I461" s="10" t="s">
        <v>20</v>
      </c>
      <c r="J461" s="10">
        <v>24</v>
      </c>
      <c r="K461" s="10">
        <v>118</v>
      </c>
      <c r="L461" s="10">
        <v>7</v>
      </c>
      <c r="M461" s="10" t="s">
        <v>27</v>
      </c>
      <c r="N461" s="10">
        <v>62.5</v>
      </c>
      <c r="O461" s="10">
        <v>237</v>
      </c>
      <c r="P461" s="10">
        <v>1</v>
      </c>
      <c r="Q461" s="10" t="str">
        <f>+IF(Tabla2[[#This Row],[Demand_Forecast]]&lt;= 125,"Low demand",IF(Tabla2[[#This Row],[Demand_Forecast]] &gt;=285,"High demand","Mid demand"))</f>
        <v>Mid demand</v>
      </c>
    </row>
    <row r="462" spans="1:17" x14ac:dyDescent="0.25">
      <c r="A462" s="11">
        <v>45476.411747685182</v>
      </c>
      <c r="B462" s="10" t="s">
        <v>56</v>
      </c>
      <c r="C462" s="10" t="s">
        <v>956</v>
      </c>
      <c r="D462" s="10" t="s">
        <v>957</v>
      </c>
      <c r="E462" s="10">
        <v>336</v>
      </c>
      <c r="F462" s="10" t="s">
        <v>25</v>
      </c>
      <c r="G462" s="10">
        <v>22.5</v>
      </c>
      <c r="H462" s="10">
        <v>51.6</v>
      </c>
      <c r="I462" s="10" t="s">
        <v>20</v>
      </c>
      <c r="J462" s="10">
        <v>11</v>
      </c>
      <c r="K462" s="10">
        <v>446</v>
      </c>
      <c r="L462" s="10">
        <v>6</v>
      </c>
      <c r="M462" s="10" t="s">
        <v>21</v>
      </c>
      <c r="N462" s="10">
        <v>70.2</v>
      </c>
      <c r="O462" s="10">
        <v>275</v>
      </c>
      <c r="P462" s="10">
        <v>0</v>
      </c>
      <c r="Q462" s="10" t="str">
        <f>+IF(Tabla2[[#This Row],[Demand_Forecast]]&lt;= 125,"Low demand",IF(Tabla2[[#This Row],[Demand_Forecast]] &gt;=285,"High demand","Mid demand"))</f>
        <v>Mid demand</v>
      </c>
    </row>
    <row r="463" spans="1:17" x14ac:dyDescent="0.25">
      <c r="A463" s="11">
        <v>45635.857662037037</v>
      </c>
      <c r="B463" s="10" t="s">
        <v>31</v>
      </c>
      <c r="C463" s="10" t="s">
        <v>958</v>
      </c>
      <c r="D463" s="10" t="s">
        <v>959</v>
      </c>
      <c r="E463" s="10">
        <v>211</v>
      </c>
      <c r="F463" s="10" t="s">
        <v>19</v>
      </c>
      <c r="G463" s="10">
        <v>21.7</v>
      </c>
      <c r="H463" s="10">
        <v>52.3</v>
      </c>
      <c r="I463" s="10" t="s">
        <v>20</v>
      </c>
      <c r="J463" s="10">
        <v>11</v>
      </c>
      <c r="K463" s="10">
        <v>401</v>
      </c>
      <c r="L463" s="10">
        <v>9</v>
      </c>
      <c r="M463" s="10" t="s">
        <v>21</v>
      </c>
      <c r="N463" s="10">
        <v>66.2</v>
      </c>
      <c r="O463" s="10">
        <v>241</v>
      </c>
      <c r="P463" s="10">
        <v>1</v>
      </c>
      <c r="Q463" s="10" t="str">
        <f>+IF(Tabla2[[#This Row],[Demand_Forecast]]&lt;= 125,"Low demand",IF(Tabla2[[#This Row],[Demand_Forecast]] &gt;=285,"High demand","Mid demand"))</f>
        <v>Mid demand</v>
      </c>
    </row>
    <row r="464" spans="1:17" x14ac:dyDescent="0.25">
      <c r="A464" s="11">
        <v>45365.038587962961</v>
      </c>
      <c r="B464" s="10" t="s">
        <v>41</v>
      </c>
      <c r="C464" s="10" t="s">
        <v>960</v>
      </c>
      <c r="D464" s="10" t="s">
        <v>961</v>
      </c>
      <c r="E464" s="10">
        <v>144</v>
      </c>
      <c r="F464" s="10" t="s">
        <v>34</v>
      </c>
      <c r="G464" s="10">
        <v>21.1</v>
      </c>
      <c r="H464" s="10">
        <v>58.8</v>
      </c>
      <c r="I464" s="10" t="s">
        <v>38</v>
      </c>
      <c r="J464" s="10">
        <v>35</v>
      </c>
      <c r="K464" s="10">
        <v>443</v>
      </c>
      <c r="L464" s="10">
        <v>10</v>
      </c>
      <c r="M464" s="10" t="s">
        <v>51</v>
      </c>
      <c r="N464" s="10">
        <v>89</v>
      </c>
      <c r="O464" s="10">
        <v>141</v>
      </c>
      <c r="P464" s="10">
        <v>0</v>
      </c>
      <c r="Q464" s="10" t="str">
        <f>+IF(Tabla2[[#This Row],[Demand_Forecast]]&lt;= 125,"Low demand",IF(Tabla2[[#This Row],[Demand_Forecast]] &gt;=285,"High demand","Mid demand"))</f>
        <v>Mid demand</v>
      </c>
    </row>
    <row r="465" spans="1:17" x14ac:dyDescent="0.25">
      <c r="A465" s="11">
        <v>45440.270729166667</v>
      </c>
      <c r="B465" s="10" t="s">
        <v>28</v>
      </c>
      <c r="C465" s="10" t="s">
        <v>962</v>
      </c>
      <c r="D465" s="10" t="s">
        <v>963</v>
      </c>
      <c r="E465" s="10">
        <v>224</v>
      </c>
      <c r="F465" s="10" t="s">
        <v>19</v>
      </c>
      <c r="G465" s="10">
        <v>21.7</v>
      </c>
      <c r="H465" s="10">
        <v>78.5</v>
      </c>
      <c r="I465" s="10" t="s">
        <v>38</v>
      </c>
      <c r="J465" s="10">
        <v>20</v>
      </c>
      <c r="K465" s="10">
        <v>428</v>
      </c>
      <c r="L465" s="10">
        <v>7</v>
      </c>
      <c r="M465" s="10" t="s">
        <v>21</v>
      </c>
      <c r="N465" s="10">
        <v>72.400000000000006</v>
      </c>
      <c r="O465" s="10">
        <v>287</v>
      </c>
      <c r="P465" s="10">
        <v>1</v>
      </c>
      <c r="Q465" s="10" t="str">
        <f>+IF(Tabla2[[#This Row],[Demand_Forecast]]&lt;= 125,"Low demand",IF(Tabla2[[#This Row],[Demand_Forecast]] &gt;=285,"High demand","Mid demand"))</f>
        <v>High demand</v>
      </c>
    </row>
    <row r="466" spans="1:17" x14ac:dyDescent="0.25">
      <c r="A466" s="11">
        <v>45618.992569444446</v>
      </c>
      <c r="B466" s="10" t="s">
        <v>31</v>
      </c>
      <c r="C466" s="10" t="s">
        <v>964</v>
      </c>
      <c r="D466" s="10" t="s">
        <v>965</v>
      </c>
      <c r="E466" s="10">
        <v>185</v>
      </c>
      <c r="F466" s="10" t="s">
        <v>25</v>
      </c>
      <c r="G466" s="10">
        <v>19.899999999999999</v>
      </c>
      <c r="H466" s="10">
        <v>66.3</v>
      </c>
      <c r="I466" s="10" t="s">
        <v>20</v>
      </c>
      <c r="J466" s="10">
        <v>59</v>
      </c>
      <c r="K466" s="10">
        <v>264</v>
      </c>
      <c r="L466" s="10">
        <v>4</v>
      </c>
      <c r="M466" s="10" t="s">
        <v>21</v>
      </c>
      <c r="N466" s="10">
        <v>65.2</v>
      </c>
      <c r="O466" s="10">
        <v>177</v>
      </c>
      <c r="P466" s="10">
        <v>0</v>
      </c>
      <c r="Q466" s="10" t="str">
        <f>+IF(Tabla2[[#This Row],[Demand_Forecast]]&lt;= 125,"Low demand",IF(Tabla2[[#This Row],[Demand_Forecast]] &gt;=285,"High demand","Mid demand"))</f>
        <v>Mid demand</v>
      </c>
    </row>
    <row r="467" spans="1:17" x14ac:dyDescent="0.25">
      <c r="A467" s="11">
        <v>45403.15824074074</v>
      </c>
      <c r="B467" s="10" t="s">
        <v>41</v>
      </c>
      <c r="C467" s="10" t="s">
        <v>966</v>
      </c>
      <c r="D467" s="10" t="s">
        <v>967</v>
      </c>
      <c r="E467" s="10">
        <v>220</v>
      </c>
      <c r="F467" s="10" t="s">
        <v>25</v>
      </c>
      <c r="G467" s="10">
        <v>28.2</v>
      </c>
      <c r="H467" s="10">
        <v>55.4</v>
      </c>
      <c r="I467" s="10" t="s">
        <v>38</v>
      </c>
      <c r="J467" s="10">
        <v>10</v>
      </c>
      <c r="K467" s="10">
        <v>203</v>
      </c>
      <c r="L467" s="10">
        <v>8</v>
      </c>
      <c r="M467" s="10" t="s">
        <v>27</v>
      </c>
      <c r="N467" s="10">
        <v>81.099999999999994</v>
      </c>
      <c r="O467" s="10">
        <v>281</v>
      </c>
      <c r="P467" s="10">
        <v>0</v>
      </c>
      <c r="Q467" s="10" t="str">
        <f>+IF(Tabla2[[#This Row],[Demand_Forecast]]&lt;= 125,"Low demand",IF(Tabla2[[#This Row],[Demand_Forecast]] &gt;=285,"High demand","Mid demand"))</f>
        <v>Mid demand</v>
      </c>
    </row>
    <row r="468" spans="1:17" x14ac:dyDescent="0.25">
      <c r="A468" s="11">
        <v>45366.293171296296</v>
      </c>
      <c r="B468" s="10" t="s">
        <v>64</v>
      </c>
      <c r="C468" s="10" t="s">
        <v>968</v>
      </c>
      <c r="D468" s="10" t="s">
        <v>969</v>
      </c>
      <c r="E468" s="10">
        <v>236</v>
      </c>
      <c r="F468" s="10" t="s">
        <v>25</v>
      </c>
      <c r="G468" s="10">
        <v>18.3</v>
      </c>
      <c r="H468" s="10">
        <v>69</v>
      </c>
      <c r="I468" s="10" t="s">
        <v>38</v>
      </c>
      <c r="J468" s="10">
        <v>34</v>
      </c>
      <c r="K468" s="10">
        <v>303</v>
      </c>
      <c r="L468" s="10">
        <v>2</v>
      </c>
      <c r="M468" s="10" t="s">
        <v>51</v>
      </c>
      <c r="N468" s="10">
        <v>62.6</v>
      </c>
      <c r="O468" s="10">
        <v>270</v>
      </c>
      <c r="P468" s="10">
        <v>0</v>
      </c>
      <c r="Q468" s="10" t="str">
        <f>+IF(Tabla2[[#This Row],[Demand_Forecast]]&lt;= 125,"Low demand",IF(Tabla2[[#This Row],[Demand_Forecast]] &gt;=285,"High demand","Mid demand"))</f>
        <v>Mid demand</v>
      </c>
    </row>
    <row r="469" spans="1:17" x14ac:dyDescent="0.25">
      <c r="A469" s="11">
        <v>45373.592083333337</v>
      </c>
      <c r="B469" s="10" t="s">
        <v>28</v>
      </c>
      <c r="C469" s="10" t="s">
        <v>970</v>
      </c>
      <c r="D469" s="10" t="s">
        <v>971</v>
      </c>
      <c r="E469" s="10">
        <v>159</v>
      </c>
      <c r="F469" s="10" t="s">
        <v>19</v>
      </c>
      <c r="G469" s="10">
        <v>29.7</v>
      </c>
      <c r="H469" s="10">
        <v>69.599999999999994</v>
      </c>
      <c r="I469" s="10" t="s">
        <v>38</v>
      </c>
      <c r="J469" s="10">
        <v>49</v>
      </c>
      <c r="K469" s="10">
        <v>227</v>
      </c>
      <c r="L469" s="10">
        <v>1</v>
      </c>
      <c r="M469" s="10" t="s">
        <v>21</v>
      </c>
      <c r="N469" s="10">
        <v>62</v>
      </c>
      <c r="O469" s="10">
        <v>232</v>
      </c>
      <c r="P469" s="10">
        <v>1</v>
      </c>
      <c r="Q469" s="10" t="str">
        <f>+IF(Tabla2[[#This Row],[Demand_Forecast]]&lt;= 125,"Low demand",IF(Tabla2[[#This Row],[Demand_Forecast]] &gt;=285,"High demand","Mid demand"))</f>
        <v>Mid demand</v>
      </c>
    </row>
    <row r="470" spans="1:17" x14ac:dyDescent="0.25">
      <c r="A470" s="11">
        <v>45553.691631944443</v>
      </c>
      <c r="B470" s="10" t="s">
        <v>22</v>
      </c>
      <c r="C470" s="10" t="s">
        <v>972</v>
      </c>
      <c r="D470" s="10" t="s">
        <v>973</v>
      </c>
      <c r="E470" s="10">
        <v>433</v>
      </c>
      <c r="F470" s="10" t="s">
        <v>19</v>
      </c>
      <c r="G470" s="10">
        <v>26.4</v>
      </c>
      <c r="H470" s="10">
        <v>69.3</v>
      </c>
      <c r="I470" s="10" t="s">
        <v>20</v>
      </c>
      <c r="J470" s="10">
        <v>25</v>
      </c>
      <c r="K470" s="10">
        <v>127</v>
      </c>
      <c r="L470" s="10">
        <v>8</v>
      </c>
      <c r="M470" s="10" t="s">
        <v>21</v>
      </c>
      <c r="N470" s="10">
        <v>84.5</v>
      </c>
      <c r="O470" s="10">
        <v>125</v>
      </c>
      <c r="P470" s="10">
        <v>1</v>
      </c>
      <c r="Q470" s="10" t="str">
        <f>+IF(Tabla2[[#This Row],[Demand_Forecast]]&lt;= 125,"Low demand",IF(Tabla2[[#This Row],[Demand_Forecast]] &gt;=285,"High demand","Mid demand"))</f>
        <v>Low demand</v>
      </c>
    </row>
    <row r="471" spans="1:17" x14ac:dyDescent="0.25">
      <c r="A471" s="11">
        <v>45616.800023148149</v>
      </c>
      <c r="B471" s="10" t="s">
        <v>16</v>
      </c>
      <c r="C471" s="10" t="s">
        <v>974</v>
      </c>
      <c r="D471" s="10" t="s">
        <v>975</v>
      </c>
      <c r="E471" s="10">
        <v>109</v>
      </c>
      <c r="F471" s="10" t="s">
        <v>25</v>
      </c>
      <c r="G471" s="10">
        <v>25.1</v>
      </c>
      <c r="H471" s="10">
        <v>76.5</v>
      </c>
      <c r="I471" s="10" t="s">
        <v>26</v>
      </c>
      <c r="J471" s="10">
        <v>16</v>
      </c>
      <c r="K471" s="10">
        <v>356</v>
      </c>
      <c r="L471" s="10">
        <v>5</v>
      </c>
      <c r="M471" s="10" t="s">
        <v>21</v>
      </c>
      <c r="N471" s="10">
        <v>64.900000000000006</v>
      </c>
      <c r="O471" s="10">
        <v>127</v>
      </c>
      <c r="P471" s="10">
        <v>1</v>
      </c>
      <c r="Q471" s="10" t="str">
        <f>+IF(Tabla2[[#This Row],[Demand_Forecast]]&lt;= 125,"Low demand",IF(Tabla2[[#This Row],[Demand_Forecast]] &gt;=285,"High demand","Mid demand"))</f>
        <v>Mid demand</v>
      </c>
    </row>
    <row r="472" spans="1:17" x14ac:dyDescent="0.25">
      <c r="A472" s="11">
        <v>45390.759618055556</v>
      </c>
      <c r="B472" s="10" t="s">
        <v>22</v>
      </c>
      <c r="C472" s="10" t="s">
        <v>976</v>
      </c>
      <c r="D472" s="10" t="s">
        <v>977</v>
      </c>
      <c r="E472" s="10">
        <v>453</v>
      </c>
      <c r="F472" s="10" t="s">
        <v>25</v>
      </c>
      <c r="G472" s="10">
        <v>25.8</v>
      </c>
      <c r="H472" s="10">
        <v>78.599999999999994</v>
      </c>
      <c r="I472" s="10" t="s">
        <v>20</v>
      </c>
      <c r="J472" s="10">
        <v>21</v>
      </c>
      <c r="K472" s="10">
        <v>142</v>
      </c>
      <c r="L472" s="10">
        <v>10</v>
      </c>
      <c r="M472" s="10" t="s">
        <v>51</v>
      </c>
      <c r="N472" s="10">
        <v>85.7</v>
      </c>
      <c r="O472" s="10">
        <v>180</v>
      </c>
      <c r="P472" s="10">
        <v>0</v>
      </c>
      <c r="Q472" s="10" t="str">
        <f>+IF(Tabla2[[#This Row],[Demand_Forecast]]&lt;= 125,"Low demand",IF(Tabla2[[#This Row],[Demand_Forecast]] &gt;=285,"High demand","Mid demand"))</f>
        <v>Mid demand</v>
      </c>
    </row>
    <row r="473" spans="1:17" x14ac:dyDescent="0.25">
      <c r="A473" s="11">
        <v>45304.691516203704</v>
      </c>
      <c r="B473" s="10" t="s">
        <v>31</v>
      </c>
      <c r="C473" s="10" t="s">
        <v>978</v>
      </c>
      <c r="D473" s="10" t="s">
        <v>979</v>
      </c>
      <c r="E473" s="10">
        <v>169</v>
      </c>
      <c r="F473" s="10" t="s">
        <v>25</v>
      </c>
      <c r="G473" s="10">
        <v>28.6</v>
      </c>
      <c r="H473" s="10">
        <v>78.8</v>
      </c>
      <c r="I473" s="10" t="s">
        <v>26</v>
      </c>
      <c r="J473" s="10">
        <v>27</v>
      </c>
      <c r="K473" s="10">
        <v>482</v>
      </c>
      <c r="L473" s="10">
        <v>4</v>
      </c>
      <c r="M473" s="10" t="s">
        <v>35</v>
      </c>
      <c r="N473" s="10">
        <v>80.5</v>
      </c>
      <c r="O473" s="10">
        <v>122</v>
      </c>
      <c r="P473" s="10">
        <v>1</v>
      </c>
      <c r="Q473" s="10" t="str">
        <f>+IF(Tabla2[[#This Row],[Demand_Forecast]]&lt;= 125,"Low demand",IF(Tabla2[[#This Row],[Demand_Forecast]] &gt;=285,"High demand","Mid demand"))</f>
        <v>Low demand</v>
      </c>
    </row>
    <row r="474" spans="1:17" x14ac:dyDescent="0.25">
      <c r="A474" s="11">
        <v>45607.191400462965</v>
      </c>
      <c r="B474" s="10" t="s">
        <v>16</v>
      </c>
      <c r="C474" s="10" t="s">
        <v>980</v>
      </c>
      <c r="D474" s="10" t="s">
        <v>981</v>
      </c>
      <c r="E474" s="10">
        <v>105</v>
      </c>
      <c r="F474" s="10" t="s">
        <v>19</v>
      </c>
      <c r="G474" s="10">
        <v>23.6</v>
      </c>
      <c r="H474" s="10">
        <v>54.4</v>
      </c>
      <c r="I474" s="10" t="s">
        <v>20</v>
      </c>
      <c r="J474" s="10">
        <v>18</v>
      </c>
      <c r="K474" s="10">
        <v>364</v>
      </c>
      <c r="L474" s="10">
        <v>10</v>
      </c>
      <c r="M474" s="10" t="s">
        <v>35</v>
      </c>
      <c r="N474" s="10">
        <v>76</v>
      </c>
      <c r="O474" s="10">
        <v>158</v>
      </c>
      <c r="P474" s="10">
        <v>1</v>
      </c>
      <c r="Q474" s="10" t="str">
        <f>+IF(Tabla2[[#This Row],[Demand_Forecast]]&lt;= 125,"Low demand",IF(Tabla2[[#This Row],[Demand_Forecast]] &gt;=285,"High demand","Mid demand"))</f>
        <v>Mid demand</v>
      </c>
    </row>
    <row r="475" spans="1:17" x14ac:dyDescent="0.25">
      <c r="A475" s="11">
        <v>45569.670567129629</v>
      </c>
      <c r="B475" s="10" t="s">
        <v>31</v>
      </c>
      <c r="C475" s="10" t="s">
        <v>982</v>
      </c>
      <c r="D475" s="10" t="s">
        <v>983</v>
      </c>
      <c r="E475" s="10">
        <v>256</v>
      </c>
      <c r="F475" s="10" t="s">
        <v>34</v>
      </c>
      <c r="G475" s="10">
        <v>29.6</v>
      </c>
      <c r="H475" s="10">
        <v>73.7</v>
      </c>
      <c r="I475" s="10" t="s">
        <v>26</v>
      </c>
      <c r="J475" s="10">
        <v>20</v>
      </c>
      <c r="K475" s="10">
        <v>309</v>
      </c>
      <c r="L475" s="10">
        <v>8</v>
      </c>
      <c r="M475" s="10" t="s">
        <v>27</v>
      </c>
      <c r="N475" s="10">
        <v>83.4</v>
      </c>
      <c r="O475" s="10">
        <v>142</v>
      </c>
      <c r="P475" s="10">
        <v>1</v>
      </c>
      <c r="Q475" s="10" t="str">
        <f>+IF(Tabla2[[#This Row],[Demand_Forecast]]&lt;= 125,"Low demand",IF(Tabla2[[#This Row],[Demand_Forecast]] &gt;=285,"High demand","Mid demand"))</f>
        <v>Mid demand</v>
      </c>
    </row>
    <row r="476" spans="1:17" x14ac:dyDescent="0.25">
      <c r="A476" s="11">
        <v>45424.895590277774</v>
      </c>
      <c r="B476" s="10" t="s">
        <v>56</v>
      </c>
      <c r="C476" s="10" t="s">
        <v>984</v>
      </c>
      <c r="D476" s="10" t="s">
        <v>985</v>
      </c>
      <c r="E476" s="10">
        <v>309</v>
      </c>
      <c r="F476" s="10" t="s">
        <v>34</v>
      </c>
      <c r="G476" s="10">
        <v>22.8</v>
      </c>
      <c r="H476" s="10">
        <v>52.8</v>
      </c>
      <c r="I476" s="10" t="s">
        <v>38</v>
      </c>
      <c r="J476" s="10">
        <v>19</v>
      </c>
      <c r="K476" s="10">
        <v>101</v>
      </c>
      <c r="L476" s="10">
        <v>2</v>
      </c>
      <c r="M476" s="10" t="s">
        <v>51</v>
      </c>
      <c r="N476" s="10">
        <v>85.5</v>
      </c>
      <c r="O476" s="10">
        <v>242</v>
      </c>
      <c r="P476" s="10">
        <v>0</v>
      </c>
      <c r="Q476" s="10" t="str">
        <f>+IF(Tabla2[[#This Row],[Demand_Forecast]]&lt;= 125,"Low demand",IF(Tabla2[[#This Row],[Demand_Forecast]] &gt;=285,"High demand","Mid demand"))</f>
        <v>Mid demand</v>
      </c>
    </row>
    <row r="477" spans="1:17" x14ac:dyDescent="0.25">
      <c r="A477" s="11">
        <v>45649.208055555559</v>
      </c>
      <c r="B477" s="10" t="s">
        <v>31</v>
      </c>
      <c r="C477" s="10" t="s">
        <v>986</v>
      </c>
      <c r="D477" s="10" t="s">
        <v>987</v>
      </c>
      <c r="E477" s="10">
        <v>346</v>
      </c>
      <c r="F477" s="10" t="s">
        <v>34</v>
      </c>
      <c r="G477" s="10">
        <v>26.9</v>
      </c>
      <c r="H477" s="10">
        <v>70.599999999999994</v>
      </c>
      <c r="I477" s="10" t="s">
        <v>20</v>
      </c>
      <c r="J477" s="10">
        <v>44</v>
      </c>
      <c r="K477" s="10">
        <v>192</v>
      </c>
      <c r="L477" s="10">
        <v>9</v>
      </c>
      <c r="M477" s="10" t="s">
        <v>35</v>
      </c>
      <c r="N477" s="10">
        <v>76.2</v>
      </c>
      <c r="O477" s="10">
        <v>239</v>
      </c>
      <c r="P477" s="10">
        <v>0</v>
      </c>
      <c r="Q477" s="10" t="str">
        <f>+IF(Tabla2[[#This Row],[Demand_Forecast]]&lt;= 125,"Low demand",IF(Tabla2[[#This Row],[Demand_Forecast]] &gt;=285,"High demand","Mid demand"))</f>
        <v>Mid demand</v>
      </c>
    </row>
    <row r="478" spans="1:17" x14ac:dyDescent="0.25">
      <c r="A478" s="11">
        <v>45458.032453703701</v>
      </c>
      <c r="B478" s="10" t="s">
        <v>41</v>
      </c>
      <c r="C478" s="10" t="s">
        <v>988</v>
      </c>
      <c r="D478" s="10" t="s">
        <v>989</v>
      </c>
      <c r="E478" s="10">
        <v>302</v>
      </c>
      <c r="F478" s="10" t="s">
        <v>19</v>
      </c>
      <c r="G478" s="10">
        <v>24.6</v>
      </c>
      <c r="H478" s="10">
        <v>60.6</v>
      </c>
      <c r="I478" s="10" t="s">
        <v>26</v>
      </c>
      <c r="J478" s="10">
        <v>30</v>
      </c>
      <c r="K478" s="10">
        <v>431</v>
      </c>
      <c r="L478" s="10">
        <v>3</v>
      </c>
      <c r="M478" s="10" t="s">
        <v>21</v>
      </c>
      <c r="N478" s="10">
        <v>76</v>
      </c>
      <c r="O478" s="10">
        <v>127</v>
      </c>
      <c r="P478" s="10">
        <v>1</v>
      </c>
      <c r="Q478" s="10" t="str">
        <f>+IF(Tabla2[[#This Row],[Demand_Forecast]]&lt;= 125,"Low demand",IF(Tabla2[[#This Row],[Demand_Forecast]] &gt;=285,"High demand","Mid demand"))</f>
        <v>Mid demand</v>
      </c>
    </row>
    <row r="479" spans="1:17" x14ac:dyDescent="0.25">
      <c r="A479" s="11">
        <v>45491.728668981479</v>
      </c>
      <c r="B479" s="10" t="s">
        <v>41</v>
      </c>
      <c r="C479" s="10" t="s">
        <v>990</v>
      </c>
      <c r="D479" s="10" t="s">
        <v>991</v>
      </c>
      <c r="E479" s="10">
        <v>181</v>
      </c>
      <c r="F479" s="10" t="s">
        <v>25</v>
      </c>
      <c r="G479" s="10">
        <v>24.7</v>
      </c>
      <c r="H479" s="10">
        <v>63.4</v>
      </c>
      <c r="I479" s="10" t="s">
        <v>26</v>
      </c>
      <c r="J479" s="10">
        <v>25</v>
      </c>
      <c r="K479" s="10">
        <v>107</v>
      </c>
      <c r="L479" s="10">
        <v>8</v>
      </c>
      <c r="M479" s="10" t="s">
        <v>21</v>
      </c>
      <c r="N479" s="10">
        <v>71.3</v>
      </c>
      <c r="O479" s="10">
        <v>265</v>
      </c>
      <c r="P479" s="10">
        <v>1</v>
      </c>
      <c r="Q479" s="10" t="str">
        <f>+IF(Tabla2[[#This Row],[Demand_Forecast]]&lt;= 125,"Low demand",IF(Tabla2[[#This Row],[Demand_Forecast]] &gt;=285,"High demand","Mid demand"))</f>
        <v>Mid demand</v>
      </c>
    </row>
    <row r="480" spans="1:17" x14ac:dyDescent="0.25">
      <c r="A480" s="11">
        <v>45332.361747685187</v>
      </c>
      <c r="B480" s="10" t="s">
        <v>31</v>
      </c>
      <c r="C480" s="10" t="s">
        <v>992</v>
      </c>
      <c r="D480" s="10" t="s">
        <v>993</v>
      </c>
      <c r="E480" s="10">
        <v>282</v>
      </c>
      <c r="F480" s="10" t="s">
        <v>19</v>
      </c>
      <c r="G480" s="10">
        <v>21.8</v>
      </c>
      <c r="H480" s="10">
        <v>63.6</v>
      </c>
      <c r="I480" s="10" t="s">
        <v>38</v>
      </c>
      <c r="J480" s="10">
        <v>43</v>
      </c>
      <c r="K480" s="10">
        <v>370</v>
      </c>
      <c r="L480" s="10">
        <v>7</v>
      </c>
      <c r="M480" s="10" t="s">
        <v>35</v>
      </c>
      <c r="N480" s="10">
        <v>69.400000000000006</v>
      </c>
      <c r="O480" s="10">
        <v>251</v>
      </c>
      <c r="P480" s="10">
        <v>1</v>
      </c>
      <c r="Q480" s="10" t="str">
        <f>+IF(Tabla2[[#This Row],[Demand_Forecast]]&lt;= 125,"Low demand",IF(Tabla2[[#This Row],[Demand_Forecast]] &gt;=285,"High demand","Mid demand"))</f>
        <v>Mid demand</v>
      </c>
    </row>
    <row r="481" spans="1:17" x14ac:dyDescent="0.25">
      <c r="A481" s="11">
        <v>45544.449155092596</v>
      </c>
      <c r="B481" s="10" t="s">
        <v>28</v>
      </c>
      <c r="C481" s="10" t="s">
        <v>994</v>
      </c>
      <c r="D481" s="10" t="s">
        <v>995</v>
      </c>
      <c r="E481" s="10">
        <v>398</v>
      </c>
      <c r="F481" s="10" t="s">
        <v>34</v>
      </c>
      <c r="G481" s="10">
        <v>26.5</v>
      </c>
      <c r="H481" s="10">
        <v>64.8</v>
      </c>
      <c r="I481" s="10" t="s">
        <v>26</v>
      </c>
      <c r="J481" s="10">
        <v>44</v>
      </c>
      <c r="K481" s="10">
        <v>387</v>
      </c>
      <c r="L481" s="10">
        <v>1</v>
      </c>
      <c r="M481" s="10" t="s">
        <v>21</v>
      </c>
      <c r="N481" s="10">
        <v>90.6</v>
      </c>
      <c r="O481" s="10">
        <v>122</v>
      </c>
      <c r="P481" s="10">
        <v>1</v>
      </c>
      <c r="Q481" s="10" t="str">
        <f>+IF(Tabla2[[#This Row],[Demand_Forecast]]&lt;= 125,"Low demand",IF(Tabla2[[#This Row],[Demand_Forecast]] &gt;=285,"High demand","Mid demand"))</f>
        <v>Low demand</v>
      </c>
    </row>
    <row r="482" spans="1:17" x14ac:dyDescent="0.25">
      <c r="A482" s="11">
        <v>45401.345879629633</v>
      </c>
      <c r="B482" s="10" t="s">
        <v>95</v>
      </c>
      <c r="C482" s="10" t="s">
        <v>996</v>
      </c>
      <c r="D482" s="10" t="s">
        <v>997</v>
      </c>
      <c r="E482" s="10">
        <v>210</v>
      </c>
      <c r="F482" s="10" t="s">
        <v>25</v>
      </c>
      <c r="G482" s="10">
        <v>24.7</v>
      </c>
      <c r="H482" s="10">
        <v>65</v>
      </c>
      <c r="I482" s="10" t="s">
        <v>26</v>
      </c>
      <c r="J482" s="10">
        <v>50</v>
      </c>
      <c r="K482" s="10">
        <v>185</v>
      </c>
      <c r="L482" s="10">
        <v>10</v>
      </c>
      <c r="M482" s="10" t="s">
        <v>51</v>
      </c>
      <c r="N482" s="10">
        <v>84.1</v>
      </c>
      <c r="O482" s="10">
        <v>140</v>
      </c>
      <c r="P482" s="10">
        <v>1</v>
      </c>
      <c r="Q482" s="10" t="str">
        <f>+IF(Tabla2[[#This Row],[Demand_Forecast]]&lt;= 125,"Low demand",IF(Tabla2[[#This Row],[Demand_Forecast]] &gt;=285,"High demand","Mid demand"))</f>
        <v>Mid demand</v>
      </c>
    </row>
    <row r="483" spans="1:17" x14ac:dyDescent="0.25">
      <c r="A483" s="11">
        <v>45509.781527777777</v>
      </c>
      <c r="B483" s="10" t="s">
        <v>31</v>
      </c>
      <c r="C483" s="10" t="s">
        <v>998</v>
      </c>
      <c r="D483" s="10" t="s">
        <v>999</v>
      </c>
      <c r="E483" s="10">
        <v>188</v>
      </c>
      <c r="F483" s="10" t="s">
        <v>19</v>
      </c>
      <c r="G483" s="10">
        <v>22.4</v>
      </c>
      <c r="H483" s="10">
        <v>78</v>
      </c>
      <c r="I483" s="10" t="s">
        <v>26</v>
      </c>
      <c r="J483" s="10">
        <v>40</v>
      </c>
      <c r="K483" s="10">
        <v>372</v>
      </c>
      <c r="L483" s="10">
        <v>6</v>
      </c>
      <c r="M483" s="10" t="s">
        <v>27</v>
      </c>
      <c r="N483" s="10">
        <v>98</v>
      </c>
      <c r="O483" s="10">
        <v>237</v>
      </c>
      <c r="P483" s="10">
        <v>1</v>
      </c>
      <c r="Q483" s="10" t="str">
        <f>+IF(Tabla2[[#This Row],[Demand_Forecast]]&lt;= 125,"Low demand",IF(Tabla2[[#This Row],[Demand_Forecast]] &gt;=285,"High demand","Mid demand"))</f>
        <v>Mid demand</v>
      </c>
    </row>
    <row r="484" spans="1:17" x14ac:dyDescent="0.25">
      <c r="A484" s="11">
        <v>45457.777858796297</v>
      </c>
      <c r="B484" s="10" t="s">
        <v>61</v>
      </c>
      <c r="C484" s="10" t="s">
        <v>1000</v>
      </c>
      <c r="D484" s="10" t="s">
        <v>1001</v>
      </c>
      <c r="E484" s="10">
        <v>298</v>
      </c>
      <c r="F484" s="10" t="s">
        <v>19</v>
      </c>
      <c r="G484" s="10">
        <v>19.600000000000001</v>
      </c>
      <c r="H484" s="10">
        <v>76.099999999999994</v>
      </c>
      <c r="I484" s="10" t="s">
        <v>26</v>
      </c>
      <c r="J484" s="10">
        <v>22</v>
      </c>
      <c r="K484" s="10">
        <v>396</v>
      </c>
      <c r="L484" s="10">
        <v>7</v>
      </c>
      <c r="M484" s="10" t="s">
        <v>21</v>
      </c>
      <c r="N484" s="10">
        <v>65</v>
      </c>
      <c r="O484" s="10">
        <v>230</v>
      </c>
      <c r="P484" s="10">
        <v>1</v>
      </c>
      <c r="Q484" s="10" t="str">
        <f>+IF(Tabla2[[#This Row],[Demand_Forecast]]&lt;= 125,"Low demand",IF(Tabla2[[#This Row],[Demand_Forecast]] &gt;=285,"High demand","Mid demand"))</f>
        <v>Mid demand</v>
      </c>
    </row>
    <row r="485" spans="1:17" x14ac:dyDescent="0.25">
      <c r="A485" s="11">
        <v>45583.993379629632</v>
      </c>
      <c r="B485" s="10" t="s">
        <v>28</v>
      </c>
      <c r="C485" s="10" t="s">
        <v>1002</v>
      </c>
      <c r="D485" s="10" t="s">
        <v>1003</v>
      </c>
      <c r="E485" s="10">
        <v>298</v>
      </c>
      <c r="F485" s="10" t="s">
        <v>19</v>
      </c>
      <c r="G485" s="10">
        <v>24</v>
      </c>
      <c r="H485" s="10">
        <v>63.5</v>
      </c>
      <c r="I485" s="10" t="s">
        <v>20</v>
      </c>
      <c r="J485" s="10">
        <v>25</v>
      </c>
      <c r="K485" s="10">
        <v>456</v>
      </c>
      <c r="L485" s="10">
        <v>2</v>
      </c>
      <c r="M485" s="10" t="s">
        <v>21</v>
      </c>
      <c r="N485" s="10">
        <v>78.900000000000006</v>
      </c>
      <c r="O485" s="10">
        <v>147</v>
      </c>
      <c r="P485" s="10">
        <v>1</v>
      </c>
      <c r="Q485" s="10" t="str">
        <f>+IF(Tabla2[[#This Row],[Demand_Forecast]]&lt;= 125,"Low demand",IF(Tabla2[[#This Row],[Demand_Forecast]] &gt;=285,"High demand","Mid demand"))</f>
        <v>Mid demand</v>
      </c>
    </row>
    <row r="486" spans="1:17" x14ac:dyDescent="0.25">
      <c r="A486" s="11">
        <v>45410.06386574074</v>
      </c>
      <c r="B486" s="10" t="s">
        <v>61</v>
      </c>
      <c r="C486" s="10" t="s">
        <v>1004</v>
      </c>
      <c r="D486" s="10" t="s">
        <v>1005</v>
      </c>
      <c r="E486" s="10">
        <v>326</v>
      </c>
      <c r="F486" s="10" t="s">
        <v>19</v>
      </c>
      <c r="G486" s="10">
        <v>20</v>
      </c>
      <c r="H486" s="10">
        <v>56.6</v>
      </c>
      <c r="I486" s="10" t="s">
        <v>20</v>
      </c>
      <c r="J486" s="10">
        <v>17</v>
      </c>
      <c r="K486" s="10">
        <v>260</v>
      </c>
      <c r="L486" s="10">
        <v>6</v>
      </c>
      <c r="M486" s="10" t="s">
        <v>27</v>
      </c>
      <c r="N486" s="10">
        <v>67.5</v>
      </c>
      <c r="O486" s="10">
        <v>162</v>
      </c>
      <c r="P486" s="10">
        <v>1</v>
      </c>
      <c r="Q486" s="10" t="str">
        <f>+IF(Tabla2[[#This Row],[Demand_Forecast]]&lt;= 125,"Low demand",IF(Tabla2[[#This Row],[Demand_Forecast]] &gt;=285,"High demand","Mid demand"))</f>
        <v>Mid demand</v>
      </c>
    </row>
    <row r="487" spans="1:17" x14ac:dyDescent="0.25">
      <c r="A487" s="11">
        <v>45607.36451388889</v>
      </c>
      <c r="B487" s="10" t="s">
        <v>22</v>
      </c>
      <c r="C487" s="10" t="s">
        <v>1006</v>
      </c>
      <c r="D487" s="10" t="s">
        <v>1007</v>
      </c>
      <c r="E487" s="10">
        <v>354</v>
      </c>
      <c r="F487" s="10" t="s">
        <v>19</v>
      </c>
      <c r="G487" s="10">
        <v>18.399999999999999</v>
      </c>
      <c r="H487" s="10">
        <v>77.5</v>
      </c>
      <c r="I487" s="10" t="s">
        <v>26</v>
      </c>
      <c r="J487" s="10">
        <v>40</v>
      </c>
      <c r="K487" s="10">
        <v>262</v>
      </c>
      <c r="L487" s="10">
        <v>7</v>
      </c>
      <c r="M487" s="10" t="s">
        <v>35</v>
      </c>
      <c r="N487" s="10">
        <v>68.5</v>
      </c>
      <c r="O487" s="10">
        <v>282</v>
      </c>
      <c r="P487" s="10">
        <v>1</v>
      </c>
      <c r="Q487" s="10" t="str">
        <f>+IF(Tabla2[[#This Row],[Demand_Forecast]]&lt;= 125,"Low demand",IF(Tabla2[[#This Row],[Demand_Forecast]] &gt;=285,"High demand","Mid demand"))</f>
        <v>Mid demand</v>
      </c>
    </row>
    <row r="488" spans="1:17" x14ac:dyDescent="0.25">
      <c r="A488" s="11">
        <v>45548.453275462962</v>
      </c>
      <c r="B488" s="10" t="s">
        <v>41</v>
      </c>
      <c r="C488" s="10" t="s">
        <v>1008</v>
      </c>
      <c r="D488" s="10" t="s">
        <v>1009</v>
      </c>
      <c r="E488" s="10">
        <v>269</v>
      </c>
      <c r="F488" s="10" t="s">
        <v>25</v>
      </c>
      <c r="G488" s="10">
        <v>22.4</v>
      </c>
      <c r="H488" s="10">
        <v>63.6</v>
      </c>
      <c r="I488" s="10" t="s">
        <v>20</v>
      </c>
      <c r="J488" s="10">
        <v>54</v>
      </c>
      <c r="K488" s="10">
        <v>481</v>
      </c>
      <c r="L488" s="10">
        <v>7</v>
      </c>
      <c r="M488" s="10" t="s">
        <v>35</v>
      </c>
      <c r="N488" s="10">
        <v>82.5</v>
      </c>
      <c r="O488" s="10">
        <v>183</v>
      </c>
      <c r="P488" s="10">
        <v>0</v>
      </c>
      <c r="Q488" s="10" t="str">
        <f>+IF(Tabla2[[#This Row],[Demand_Forecast]]&lt;= 125,"Low demand",IF(Tabla2[[#This Row],[Demand_Forecast]] &gt;=285,"High demand","Mid demand"))</f>
        <v>Mid demand</v>
      </c>
    </row>
    <row r="489" spans="1:17" x14ac:dyDescent="0.25">
      <c r="A489" s="11">
        <v>45457.718287037038</v>
      </c>
      <c r="B489" s="10" t="s">
        <v>41</v>
      </c>
      <c r="C489" s="10" t="s">
        <v>1010</v>
      </c>
      <c r="D489" s="10" t="s">
        <v>1011</v>
      </c>
      <c r="E489" s="10">
        <v>475</v>
      </c>
      <c r="F489" s="10" t="s">
        <v>34</v>
      </c>
      <c r="G489" s="10">
        <v>29.3</v>
      </c>
      <c r="H489" s="10">
        <v>62.8</v>
      </c>
      <c r="I489" s="10" t="s">
        <v>38</v>
      </c>
      <c r="J489" s="10">
        <v>29</v>
      </c>
      <c r="K489" s="10">
        <v>359</v>
      </c>
      <c r="L489" s="10">
        <v>9</v>
      </c>
      <c r="M489" s="10" t="s">
        <v>51</v>
      </c>
      <c r="N489" s="10">
        <v>95.1</v>
      </c>
      <c r="O489" s="10">
        <v>122</v>
      </c>
      <c r="P489" s="10">
        <v>0</v>
      </c>
      <c r="Q489" s="10" t="str">
        <f>+IF(Tabla2[[#This Row],[Demand_Forecast]]&lt;= 125,"Low demand",IF(Tabla2[[#This Row],[Demand_Forecast]] &gt;=285,"High demand","Mid demand"))</f>
        <v>Low demand</v>
      </c>
    </row>
    <row r="490" spans="1:17" x14ac:dyDescent="0.25">
      <c r="A490" s="11">
        <v>45293.64634259259</v>
      </c>
      <c r="B490" s="10" t="s">
        <v>41</v>
      </c>
      <c r="C490" s="10" t="s">
        <v>1012</v>
      </c>
      <c r="D490" s="10" t="s">
        <v>1013</v>
      </c>
      <c r="E490" s="10">
        <v>372</v>
      </c>
      <c r="F490" s="10" t="s">
        <v>19</v>
      </c>
      <c r="G490" s="10">
        <v>20.399999999999999</v>
      </c>
      <c r="H490" s="10">
        <v>57.2</v>
      </c>
      <c r="I490" s="10" t="s">
        <v>38</v>
      </c>
      <c r="J490" s="10">
        <v>29</v>
      </c>
      <c r="K490" s="10">
        <v>153</v>
      </c>
      <c r="L490" s="10">
        <v>1</v>
      </c>
      <c r="M490" s="10" t="s">
        <v>27</v>
      </c>
      <c r="N490" s="10">
        <v>78.2</v>
      </c>
      <c r="O490" s="10">
        <v>221</v>
      </c>
      <c r="P490" s="10">
        <v>1</v>
      </c>
      <c r="Q490" s="10" t="str">
        <f>+IF(Tabla2[[#This Row],[Demand_Forecast]]&lt;= 125,"Low demand",IF(Tabla2[[#This Row],[Demand_Forecast]] &gt;=285,"High demand","Mid demand"))</f>
        <v>Mid demand</v>
      </c>
    </row>
    <row r="491" spans="1:17" x14ac:dyDescent="0.25">
      <c r="A491" s="11">
        <v>45571.207430555558</v>
      </c>
      <c r="B491" s="10" t="s">
        <v>64</v>
      </c>
      <c r="C491" s="10" t="s">
        <v>1014</v>
      </c>
      <c r="D491" s="10" t="s">
        <v>1015</v>
      </c>
      <c r="E491" s="10">
        <v>201</v>
      </c>
      <c r="F491" s="10" t="s">
        <v>25</v>
      </c>
      <c r="G491" s="10">
        <v>26</v>
      </c>
      <c r="H491" s="10">
        <v>51.5</v>
      </c>
      <c r="I491" s="10" t="s">
        <v>38</v>
      </c>
      <c r="J491" s="10">
        <v>40</v>
      </c>
      <c r="K491" s="10">
        <v>429</v>
      </c>
      <c r="L491" s="10">
        <v>4</v>
      </c>
      <c r="M491" s="10" t="s">
        <v>27</v>
      </c>
      <c r="N491" s="10">
        <v>87</v>
      </c>
      <c r="O491" s="10">
        <v>107</v>
      </c>
      <c r="P491" s="10">
        <v>0</v>
      </c>
      <c r="Q491" s="10" t="str">
        <f>+IF(Tabla2[[#This Row],[Demand_Forecast]]&lt;= 125,"Low demand",IF(Tabla2[[#This Row],[Demand_Forecast]] &gt;=285,"High demand","Mid demand"))</f>
        <v>Low demand</v>
      </c>
    </row>
    <row r="492" spans="1:17" x14ac:dyDescent="0.25">
      <c r="A492" s="11">
        <v>45447.699467592596</v>
      </c>
      <c r="B492" s="10" t="s">
        <v>16</v>
      </c>
      <c r="C492" s="10" t="s">
        <v>1016</v>
      </c>
      <c r="D492" s="10" t="s">
        <v>1017</v>
      </c>
      <c r="E492" s="10">
        <v>441</v>
      </c>
      <c r="F492" s="10" t="s">
        <v>25</v>
      </c>
      <c r="G492" s="10">
        <v>25.3</v>
      </c>
      <c r="H492" s="10">
        <v>72.900000000000006</v>
      </c>
      <c r="I492" s="10" t="s">
        <v>38</v>
      </c>
      <c r="J492" s="10">
        <v>47</v>
      </c>
      <c r="K492" s="10">
        <v>152</v>
      </c>
      <c r="L492" s="10">
        <v>4</v>
      </c>
      <c r="M492" s="10" t="s">
        <v>27</v>
      </c>
      <c r="N492" s="10">
        <v>67.400000000000006</v>
      </c>
      <c r="O492" s="10">
        <v>256</v>
      </c>
      <c r="P492" s="10">
        <v>0</v>
      </c>
      <c r="Q492" s="10" t="str">
        <f>+IF(Tabla2[[#This Row],[Demand_Forecast]]&lt;= 125,"Low demand",IF(Tabla2[[#This Row],[Demand_Forecast]] &gt;=285,"High demand","Mid demand"))</f>
        <v>Mid demand</v>
      </c>
    </row>
    <row r="493" spans="1:17" x14ac:dyDescent="0.25">
      <c r="A493" s="11">
        <v>45324.511828703704</v>
      </c>
      <c r="B493" s="10" t="s">
        <v>22</v>
      </c>
      <c r="C493" s="10" t="s">
        <v>1018</v>
      </c>
      <c r="D493" s="10" t="s">
        <v>1019</v>
      </c>
      <c r="E493" s="10">
        <v>246</v>
      </c>
      <c r="F493" s="10" t="s">
        <v>19</v>
      </c>
      <c r="G493" s="10">
        <v>25.3</v>
      </c>
      <c r="H493" s="10">
        <v>57.4</v>
      </c>
      <c r="I493" s="10" t="s">
        <v>38</v>
      </c>
      <c r="J493" s="10">
        <v>33</v>
      </c>
      <c r="K493" s="10">
        <v>298</v>
      </c>
      <c r="L493" s="10">
        <v>8</v>
      </c>
      <c r="M493" s="10" t="s">
        <v>35</v>
      </c>
      <c r="N493" s="10">
        <v>70.400000000000006</v>
      </c>
      <c r="O493" s="10">
        <v>110</v>
      </c>
      <c r="P493" s="10">
        <v>1</v>
      </c>
      <c r="Q493" s="10" t="str">
        <f>+IF(Tabla2[[#This Row],[Demand_Forecast]]&lt;= 125,"Low demand",IF(Tabla2[[#This Row],[Demand_Forecast]] &gt;=285,"High demand","Mid demand"))</f>
        <v>Low demand</v>
      </c>
    </row>
    <row r="494" spans="1:17" x14ac:dyDescent="0.25">
      <c r="A494" s="11">
        <v>45465.321030092593</v>
      </c>
      <c r="B494" s="10" t="s">
        <v>28</v>
      </c>
      <c r="C494" s="10" t="s">
        <v>1020</v>
      </c>
      <c r="D494" s="10" t="s">
        <v>1021</v>
      </c>
      <c r="E494" s="10">
        <v>180</v>
      </c>
      <c r="F494" s="10" t="s">
        <v>19</v>
      </c>
      <c r="G494" s="10">
        <v>25.4</v>
      </c>
      <c r="H494" s="10">
        <v>50.4</v>
      </c>
      <c r="I494" s="10" t="s">
        <v>26</v>
      </c>
      <c r="J494" s="10">
        <v>32</v>
      </c>
      <c r="K494" s="10">
        <v>246</v>
      </c>
      <c r="L494" s="10">
        <v>2</v>
      </c>
      <c r="M494" s="10" t="s">
        <v>51</v>
      </c>
      <c r="N494" s="10">
        <v>65.400000000000006</v>
      </c>
      <c r="O494" s="10">
        <v>203</v>
      </c>
      <c r="P494" s="10">
        <v>1</v>
      </c>
      <c r="Q494" s="10" t="str">
        <f>+IF(Tabla2[[#This Row],[Demand_Forecast]]&lt;= 125,"Low demand",IF(Tabla2[[#This Row],[Demand_Forecast]] &gt;=285,"High demand","Mid demand"))</f>
        <v>Mid demand</v>
      </c>
    </row>
    <row r="495" spans="1:17" x14ac:dyDescent="0.25">
      <c r="A495" s="11">
        <v>45352.61681712963</v>
      </c>
      <c r="B495" s="10" t="s">
        <v>31</v>
      </c>
      <c r="C495" s="10" t="s">
        <v>1022</v>
      </c>
      <c r="D495" s="10" t="s">
        <v>1023</v>
      </c>
      <c r="E495" s="10">
        <v>127</v>
      </c>
      <c r="F495" s="10" t="s">
        <v>19</v>
      </c>
      <c r="G495" s="10">
        <v>21</v>
      </c>
      <c r="H495" s="10">
        <v>54.6</v>
      </c>
      <c r="I495" s="10" t="s">
        <v>20</v>
      </c>
      <c r="J495" s="10">
        <v>13</v>
      </c>
      <c r="K495" s="10">
        <v>452</v>
      </c>
      <c r="L495" s="10">
        <v>9</v>
      </c>
      <c r="M495" s="10" t="s">
        <v>51</v>
      </c>
      <c r="N495" s="10">
        <v>79</v>
      </c>
      <c r="O495" s="10">
        <v>299</v>
      </c>
      <c r="P495" s="10">
        <v>1</v>
      </c>
      <c r="Q495" s="10" t="str">
        <f>+IF(Tabla2[[#This Row],[Demand_Forecast]]&lt;= 125,"Low demand",IF(Tabla2[[#This Row],[Demand_Forecast]] &gt;=285,"High demand","Mid demand"))</f>
        <v>High demand</v>
      </c>
    </row>
    <row r="496" spans="1:17" x14ac:dyDescent="0.25">
      <c r="A496" s="11">
        <v>45523.066666666666</v>
      </c>
      <c r="B496" s="10" t="s">
        <v>61</v>
      </c>
      <c r="C496" s="10" t="s">
        <v>1024</v>
      </c>
      <c r="D496" s="10" t="s">
        <v>1025</v>
      </c>
      <c r="E496" s="10">
        <v>246</v>
      </c>
      <c r="F496" s="10" t="s">
        <v>19</v>
      </c>
      <c r="G496" s="10">
        <v>20.8</v>
      </c>
      <c r="H496" s="10">
        <v>79.2</v>
      </c>
      <c r="I496" s="10" t="s">
        <v>26</v>
      </c>
      <c r="J496" s="10">
        <v>55</v>
      </c>
      <c r="K496" s="10">
        <v>325</v>
      </c>
      <c r="L496" s="10">
        <v>2</v>
      </c>
      <c r="M496" s="10" t="s">
        <v>21</v>
      </c>
      <c r="N496" s="10">
        <v>80.5</v>
      </c>
      <c r="O496" s="10">
        <v>271</v>
      </c>
      <c r="P496" s="10">
        <v>1</v>
      </c>
      <c r="Q496" s="10" t="str">
        <f>+IF(Tabla2[[#This Row],[Demand_Forecast]]&lt;= 125,"Low demand",IF(Tabla2[[#This Row],[Demand_Forecast]] &gt;=285,"High demand","Mid demand"))</f>
        <v>Mid demand</v>
      </c>
    </row>
    <row r="497" spans="1:17" x14ac:dyDescent="0.25">
      <c r="A497" s="11">
        <v>45613.098634259259</v>
      </c>
      <c r="B497" s="10" t="s">
        <v>48</v>
      </c>
      <c r="C497" s="10" t="s">
        <v>1026</v>
      </c>
      <c r="D497" s="10" t="s">
        <v>1027</v>
      </c>
      <c r="E497" s="10">
        <v>470</v>
      </c>
      <c r="F497" s="10" t="s">
        <v>34</v>
      </c>
      <c r="G497" s="10">
        <v>21.5</v>
      </c>
      <c r="H497" s="10">
        <v>51</v>
      </c>
      <c r="I497" s="10" t="s">
        <v>26</v>
      </c>
      <c r="J497" s="10">
        <v>59</v>
      </c>
      <c r="K497" s="10">
        <v>293</v>
      </c>
      <c r="L497" s="10">
        <v>7</v>
      </c>
      <c r="M497" s="10" t="s">
        <v>51</v>
      </c>
      <c r="N497" s="10">
        <v>86.6</v>
      </c>
      <c r="O497" s="10">
        <v>113</v>
      </c>
      <c r="P497" s="10">
        <v>1</v>
      </c>
      <c r="Q497" s="10" t="str">
        <f>+IF(Tabla2[[#This Row],[Demand_Forecast]]&lt;= 125,"Low demand",IF(Tabla2[[#This Row],[Demand_Forecast]] &gt;=285,"High demand","Mid demand"))</f>
        <v>Low demand</v>
      </c>
    </row>
    <row r="498" spans="1:17" x14ac:dyDescent="0.25">
      <c r="A498" s="11">
        <v>45502.011805555558</v>
      </c>
      <c r="B498" s="10" t="s">
        <v>56</v>
      </c>
      <c r="C498" s="10" t="s">
        <v>1028</v>
      </c>
      <c r="D498" s="10" t="s">
        <v>1029</v>
      </c>
      <c r="E498" s="10">
        <v>386</v>
      </c>
      <c r="F498" s="10" t="s">
        <v>19</v>
      </c>
      <c r="G498" s="10">
        <v>25.9</v>
      </c>
      <c r="H498" s="10">
        <v>71.599999999999994</v>
      </c>
      <c r="I498" s="10" t="s">
        <v>38</v>
      </c>
      <c r="J498" s="10">
        <v>36</v>
      </c>
      <c r="K498" s="10">
        <v>193</v>
      </c>
      <c r="L498" s="10">
        <v>10</v>
      </c>
      <c r="M498" s="10" t="s">
        <v>27</v>
      </c>
      <c r="N498" s="10">
        <v>72</v>
      </c>
      <c r="O498" s="10">
        <v>299</v>
      </c>
      <c r="P498" s="10">
        <v>1</v>
      </c>
      <c r="Q498" s="10" t="str">
        <f>+IF(Tabla2[[#This Row],[Demand_Forecast]]&lt;= 125,"Low demand",IF(Tabla2[[#This Row],[Demand_Forecast]] &gt;=285,"High demand","Mid demand"))</f>
        <v>High demand</v>
      </c>
    </row>
    <row r="499" spans="1:17" x14ac:dyDescent="0.25">
      <c r="A499" s="11">
        <v>45429.875590277778</v>
      </c>
      <c r="B499" s="10" t="s">
        <v>56</v>
      </c>
      <c r="C499" s="10" t="s">
        <v>1030</v>
      </c>
      <c r="D499" s="10" t="s">
        <v>1031</v>
      </c>
      <c r="E499" s="10">
        <v>325</v>
      </c>
      <c r="F499" s="10" t="s">
        <v>25</v>
      </c>
      <c r="G499" s="10">
        <v>26.2</v>
      </c>
      <c r="H499" s="10">
        <v>64.3</v>
      </c>
      <c r="I499" s="10" t="s">
        <v>38</v>
      </c>
      <c r="J499" s="10">
        <v>31</v>
      </c>
      <c r="K499" s="10">
        <v>491</v>
      </c>
      <c r="L499" s="10">
        <v>7</v>
      </c>
      <c r="M499" s="10" t="s">
        <v>51</v>
      </c>
      <c r="N499" s="10">
        <v>60.7</v>
      </c>
      <c r="O499" s="10">
        <v>290</v>
      </c>
      <c r="P499" s="10">
        <v>0</v>
      </c>
      <c r="Q499" s="10" t="str">
        <f>+IF(Tabla2[[#This Row],[Demand_Forecast]]&lt;= 125,"Low demand",IF(Tabla2[[#This Row],[Demand_Forecast]] &gt;=285,"High demand","Mid demand"))</f>
        <v>High demand</v>
      </c>
    </row>
    <row r="500" spans="1:17" x14ac:dyDescent="0.25">
      <c r="A500" s="11">
        <v>45362.840208333335</v>
      </c>
      <c r="B500" s="10" t="s">
        <v>95</v>
      </c>
      <c r="C500" s="10" t="s">
        <v>1032</v>
      </c>
      <c r="D500" s="10" t="s">
        <v>1033</v>
      </c>
      <c r="E500" s="10">
        <v>432</v>
      </c>
      <c r="F500" s="10" t="s">
        <v>25</v>
      </c>
      <c r="G500" s="10">
        <v>25.9</v>
      </c>
      <c r="H500" s="10">
        <v>65.8</v>
      </c>
      <c r="I500" s="10" t="s">
        <v>38</v>
      </c>
      <c r="J500" s="10">
        <v>42</v>
      </c>
      <c r="K500" s="10">
        <v>265</v>
      </c>
      <c r="L500" s="10">
        <v>8</v>
      </c>
      <c r="M500" s="10" t="s">
        <v>21</v>
      </c>
      <c r="N500" s="10">
        <v>86.8</v>
      </c>
      <c r="O500" s="10">
        <v>140</v>
      </c>
      <c r="P500" s="10">
        <v>0</v>
      </c>
      <c r="Q500" s="10" t="str">
        <f>+IF(Tabla2[[#This Row],[Demand_Forecast]]&lt;= 125,"Low demand",IF(Tabla2[[#This Row],[Demand_Forecast]] &gt;=285,"High demand","Mid demand"))</f>
        <v>Mid demand</v>
      </c>
    </row>
    <row r="501" spans="1:17" x14ac:dyDescent="0.25">
      <c r="A501" s="11">
        <v>45491.237534722219</v>
      </c>
      <c r="B501" s="10" t="s">
        <v>16</v>
      </c>
      <c r="C501" s="10" t="s">
        <v>1034</v>
      </c>
      <c r="D501" s="10" t="s">
        <v>1035</v>
      </c>
      <c r="E501" s="10">
        <v>273</v>
      </c>
      <c r="F501" s="10" t="s">
        <v>19</v>
      </c>
      <c r="G501" s="10">
        <v>20.2</v>
      </c>
      <c r="H501" s="10">
        <v>72.2</v>
      </c>
      <c r="I501" s="10" t="s">
        <v>38</v>
      </c>
      <c r="J501" s="10">
        <v>19</v>
      </c>
      <c r="K501" s="10">
        <v>115</v>
      </c>
      <c r="L501" s="10">
        <v>5</v>
      </c>
      <c r="M501" s="10" t="s">
        <v>21</v>
      </c>
      <c r="N501" s="10">
        <v>68.8</v>
      </c>
      <c r="O501" s="10">
        <v>238</v>
      </c>
      <c r="P501" s="10">
        <v>1</v>
      </c>
      <c r="Q501" s="10" t="str">
        <f>+IF(Tabla2[[#This Row],[Demand_Forecast]]&lt;= 125,"Low demand",IF(Tabla2[[#This Row],[Demand_Forecast]] &gt;=285,"High demand","Mid demand"))</f>
        <v>Mid demand</v>
      </c>
    </row>
    <row r="502" spans="1:17" x14ac:dyDescent="0.25">
      <c r="A502" s="11">
        <v>45609.480370370373</v>
      </c>
      <c r="B502" s="10" t="s">
        <v>41</v>
      </c>
      <c r="C502" s="10" t="s">
        <v>1036</v>
      </c>
      <c r="D502" s="10" t="s">
        <v>1037</v>
      </c>
      <c r="E502" s="10">
        <v>492</v>
      </c>
      <c r="F502" s="10" t="s">
        <v>34</v>
      </c>
      <c r="G502" s="10">
        <v>21.6</v>
      </c>
      <c r="H502" s="10">
        <v>78.3</v>
      </c>
      <c r="I502" s="10" t="s">
        <v>38</v>
      </c>
      <c r="J502" s="10">
        <v>58</v>
      </c>
      <c r="K502" s="10">
        <v>122</v>
      </c>
      <c r="L502" s="10">
        <v>9</v>
      </c>
      <c r="M502" s="10" t="s">
        <v>21</v>
      </c>
      <c r="N502" s="10">
        <v>61.2</v>
      </c>
      <c r="O502" s="10">
        <v>202</v>
      </c>
      <c r="P502" s="10">
        <v>0</v>
      </c>
      <c r="Q502" s="10" t="str">
        <f>+IF(Tabla2[[#This Row],[Demand_Forecast]]&lt;= 125,"Low demand",IF(Tabla2[[#This Row],[Demand_Forecast]] &gt;=285,"High demand","Mid demand"))</f>
        <v>Mid demand</v>
      </c>
    </row>
    <row r="503" spans="1:17" x14ac:dyDescent="0.25">
      <c r="A503" s="11">
        <v>45292.4846875</v>
      </c>
      <c r="B503" s="10" t="s">
        <v>41</v>
      </c>
      <c r="C503" s="10" t="s">
        <v>1038</v>
      </c>
      <c r="D503" s="10" t="s">
        <v>1039</v>
      </c>
      <c r="E503" s="10">
        <v>303</v>
      </c>
      <c r="F503" s="10" t="s">
        <v>25</v>
      </c>
      <c r="G503" s="10">
        <v>24.6</v>
      </c>
      <c r="H503" s="10">
        <v>68.599999999999994</v>
      </c>
      <c r="I503" s="10" t="s">
        <v>20</v>
      </c>
      <c r="J503" s="10">
        <v>50</v>
      </c>
      <c r="K503" s="10">
        <v>213</v>
      </c>
      <c r="L503" s="10">
        <v>6</v>
      </c>
      <c r="M503" s="10" t="s">
        <v>51</v>
      </c>
      <c r="N503" s="10">
        <v>97.1</v>
      </c>
      <c r="O503" s="10">
        <v>297</v>
      </c>
      <c r="P503" s="10">
        <v>0</v>
      </c>
      <c r="Q503" s="10" t="str">
        <f>+IF(Tabla2[[#This Row],[Demand_Forecast]]&lt;= 125,"Low demand",IF(Tabla2[[#This Row],[Demand_Forecast]] &gt;=285,"High demand","Mid demand"))</f>
        <v>High demand</v>
      </c>
    </row>
    <row r="504" spans="1:17" x14ac:dyDescent="0.25">
      <c r="A504" s="11">
        <v>45572.764664351853</v>
      </c>
      <c r="B504" s="10" t="s">
        <v>22</v>
      </c>
      <c r="C504" s="10" t="s">
        <v>1040</v>
      </c>
      <c r="D504" s="10" t="s">
        <v>1041</v>
      </c>
      <c r="E504" s="10">
        <v>270</v>
      </c>
      <c r="F504" s="10" t="s">
        <v>25</v>
      </c>
      <c r="G504" s="10">
        <v>28.1</v>
      </c>
      <c r="H504" s="10">
        <v>73.599999999999994</v>
      </c>
      <c r="I504" s="10" t="s">
        <v>38</v>
      </c>
      <c r="J504" s="10">
        <v>57</v>
      </c>
      <c r="K504" s="10">
        <v>283</v>
      </c>
      <c r="L504" s="10">
        <v>2</v>
      </c>
      <c r="M504" s="10" t="s">
        <v>51</v>
      </c>
      <c r="N504" s="10">
        <v>92.3</v>
      </c>
      <c r="O504" s="10">
        <v>122</v>
      </c>
      <c r="P504" s="10">
        <v>0</v>
      </c>
      <c r="Q504" s="10" t="str">
        <f>+IF(Tabla2[[#This Row],[Demand_Forecast]]&lt;= 125,"Low demand",IF(Tabla2[[#This Row],[Demand_Forecast]] &gt;=285,"High demand","Mid demand"))</f>
        <v>Low demand</v>
      </c>
    </row>
    <row r="505" spans="1:17" x14ac:dyDescent="0.25">
      <c r="A505" s="11">
        <v>45489.693796296298</v>
      </c>
      <c r="B505" s="10" t="s">
        <v>41</v>
      </c>
      <c r="C505" s="10" t="s">
        <v>1042</v>
      </c>
      <c r="D505" s="10" t="s">
        <v>1043</v>
      </c>
      <c r="E505" s="10">
        <v>382</v>
      </c>
      <c r="F505" s="10" t="s">
        <v>34</v>
      </c>
      <c r="G505" s="10">
        <v>21.6</v>
      </c>
      <c r="H505" s="10">
        <v>50.5</v>
      </c>
      <c r="I505" s="10" t="s">
        <v>20</v>
      </c>
      <c r="J505" s="10">
        <v>31</v>
      </c>
      <c r="K505" s="10">
        <v>160</v>
      </c>
      <c r="L505" s="10">
        <v>8</v>
      </c>
      <c r="M505" s="10" t="s">
        <v>27</v>
      </c>
      <c r="N505" s="10">
        <v>94.8</v>
      </c>
      <c r="O505" s="10">
        <v>261</v>
      </c>
      <c r="P505" s="10">
        <v>0</v>
      </c>
      <c r="Q505" s="10" t="str">
        <f>+IF(Tabla2[[#This Row],[Demand_Forecast]]&lt;= 125,"Low demand",IF(Tabla2[[#This Row],[Demand_Forecast]] &gt;=285,"High demand","Mid demand"))</f>
        <v>Mid demand</v>
      </c>
    </row>
    <row r="506" spans="1:17" x14ac:dyDescent="0.25">
      <c r="A506" s="11">
        <v>45395.731851851851</v>
      </c>
      <c r="B506" s="10" t="s">
        <v>41</v>
      </c>
      <c r="C506" s="10" t="s">
        <v>1044</v>
      </c>
      <c r="D506" s="10" t="s">
        <v>1045</v>
      </c>
      <c r="E506" s="10">
        <v>197</v>
      </c>
      <c r="F506" s="10" t="s">
        <v>34</v>
      </c>
      <c r="G506" s="10">
        <v>23.3</v>
      </c>
      <c r="H506" s="10">
        <v>53.5</v>
      </c>
      <c r="I506" s="10" t="s">
        <v>26</v>
      </c>
      <c r="J506" s="10">
        <v>41</v>
      </c>
      <c r="K506" s="10">
        <v>259</v>
      </c>
      <c r="L506" s="10">
        <v>9</v>
      </c>
      <c r="M506" s="10" t="s">
        <v>27</v>
      </c>
      <c r="N506" s="10">
        <v>91.3</v>
      </c>
      <c r="O506" s="10">
        <v>211</v>
      </c>
      <c r="P506" s="10">
        <v>1</v>
      </c>
      <c r="Q506" s="10" t="str">
        <f>+IF(Tabla2[[#This Row],[Demand_Forecast]]&lt;= 125,"Low demand",IF(Tabla2[[#This Row],[Demand_Forecast]] &gt;=285,"High demand","Mid demand"))</f>
        <v>Mid demand</v>
      </c>
    </row>
    <row r="507" spans="1:17" x14ac:dyDescent="0.25">
      <c r="A507" s="11">
        <v>45515.096053240741</v>
      </c>
      <c r="B507" s="10" t="s">
        <v>31</v>
      </c>
      <c r="C507" s="10" t="s">
        <v>1046</v>
      </c>
      <c r="D507" s="10" t="s">
        <v>1047</v>
      </c>
      <c r="E507" s="10">
        <v>368</v>
      </c>
      <c r="F507" s="10" t="s">
        <v>25</v>
      </c>
      <c r="G507" s="10">
        <v>25</v>
      </c>
      <c r="H507" s="10">
        <v>60.7</v>
      </c>
      <c r="I507" s="10" t="s">
        <v>38</v>
      </c>
      <c r="J507" s="10">
        <v>37</v>
      </c>
      <c r="K507" s="10">
        <v>382</v>
      </c>
      <c r="L507" s="10">
        <v>5</v>
      </c>
      <c r="M507" s="10" t="s">
        <v>27</v>
      </c>
      <c r="N507" s="10">
        <v>82.8</v>
      </c>
      <c r="O507" s="10">
        <v>225</v>
      </c>
      <c r="P507" s="10">
        <v>0</v>
      </c>
      <c r="Q507" s="10" t="str">
        <f>+IF(Tabla2[[#This Row],[Demand_Forecast]]&lt;= 125,"Low demand",IF(Tabla2[[#This Row],[Demand_Forecast]] &gt;=285,"High demand","Mid demand"))</f>
        <v>Mid demand</v>
      </c>
    </row>
    <row r="508" spans="1:17" x14ac:dyDescent="0.25">
      <c r="A508" s="11">
        <v>45310.010717592595</v>
      </c>
      <c r="B508" s="10" t="s">
        <v>16</v>
      </c>
      <c r="C508" s="10" t="s">
        <v>1048</v>
      </c>
      <c r="D508" s="10" t="s">
        <v>1049</v>
      </c>
      <c r="E508" s="10">
        <v>223</v>
      </c>
      <c r="F508" s="10" t="s">
        <v>25</v>
      </c>
      <c r="G508" s="10">
        <v>19.5</v>
      </c>
      <c r="H508" s="10">
        <v>55.6</v>
      </c>
      <c r="I508" s="10" t="s">
        <v>38</v>
      </c>
      <c r="J508" s="10">
        <v>23</v>
      </c>
      <c r="K508" s="10">
        <v>154</v>
      </c>
      <c r="L508" s="10">
        <v>4</v>
      </c>
      <c r="M508" s="10" t="s">
        <v>27</v>
      </c>
      <c r="N508" s="10">
        <v>62.9</v>
      </c>
      <c r="O508" s="10">
        <v>217</v>
      </c>
      <c r="P508" s="10">
        <v>0</v>
      </c>
      <c r="Q508" s="10" t="str">
        <f>+IF(Tabla2[[#This Row],[Demand_Forecast]]&lt;= 125,"Low demand",IF(Tabla2[[#This Row],[Demand_Forecast]] &gt;=285,"High demand","Mid demand"))</f>
        <v>Mid demand</v>
      </c>
    </row>
    <row r="509" spans="1:17" x14ac:dyDescent="0.25">
      <c r="A509" s="11">
        <v>45652.159930555557</v>
      </c>
      <c r="B509" s="10" t="s">
        <v>16</v>
      </c>
      <c r="C509" s="10" t="s">
        <v>1050</v>
      </c>
      <c r="D509" s="10" t="s">
        <v>1051</v>
      </c>
      <c r="E509" s="10">
        <v>340</v>
      </c>
      <c r="F509" s="10" t="s">
        <v>19</v>
      </c>
      <c r="G509" s="10">
        <v>25.9</v>
      </c>
      <c r="H509" s="10">
        <v>75.3</v>
      </c>
      <c r="I509" s="10" t="s">
        <v>20</v>
      </c>
      <c r="J509" s="10">
        <v>18</v>
      </c>
      <c r="K509" s="10">
        <v>424</v>
      </c>
      <c r="L509" s="10">
        <v>7</v>
      </c>
      <c r="M509" s="10" t="s">
        <v>27</v>
      </c>
      <c r="N509" s="10">
        <v>67.3</v>
      </c>
      <c r="O509" s="10">
        <v>287</v>
      </c>
      <c r="P509" s="10">
        <v>1</v>
      </c>
      <c r="Q509" s="10" t="str">
        <f>+IF(Tabla2[[#This Row],[Demand_Forecast]]&lt;= 125,"Low demand",IF(Tabla2[[#This Row],[Demand_Forecast]] &gt;=285,"High demand","Mid demand"))</f>
        <v>High demand</v>
      </c>
    </row>
    <row r="510" spans="1:17" x14ac:dyDescent="0.25">
      <c r="A510" s="11">
        <v>45301.530752314815</v>
      </c>
      <c r="B510" s="10" t="s">
        <v>28</v>
      </c>
      <c r="C510" s="10" t="s">
        <v>1052</v>
      </c>
      <c r="D510" s="10" t="s">
        <v>1053</v>
      </c>
      <c r="E510" s="10">
        <v>355</v>
      </c>
      <c r="F510" s="10" t="s">
        <v>34</v>
      </c>
      <c r="G510" s="10">
        <v>20.2</v>
      </c>
      <c r="H510" s="10">
        <v>51.3</v>
      </c>
      <c r="I510" s="10" t="s">
        <v>38</v>
      </c>
      <c r="J510" s="10">
        <v>49</v>
      </c>
      <c r="K510" s="10">
        <v>323</v>
      </c>
      <c r="L510" s="10">
        <v>4</v>
      </c>
      <c r="M510" s="10" t="s">
        <v>51</v>
      </c>
      <c r="N510" s="10">
        <v>72.599999999999994</v>
      </c>
      <c r="O510" s="10">
        <v>100</v>
      </c>
      <c r="P510" s="10">
        <v>0</v>
      </c>
      <c r="Q510" s="10" t="str">
        <f>+IF(Tabla2[[#This Row],[Demand_Forecast]]&lt;= 125,"Low demand",IF(Tabla2[[#This Row],[Demand_Forecast]] &gt;=285,"High demand","Mid demand"))</f>
        <v>Low demand</v>
      </c>
    </row>
    <row r="511" spans="1:17" x14ac:dyDescent="0.25">
      <c r="A511" s="11">
        <v>45588.550763888888</v>
      </c>
      <c r="B511" s="10" t="s">
        <v>48</v>
      </c>
      <c r="C511" s="10" t="s">
        <v>1054</v>
      </c>
      <c r="D511" s="10" t="s">
        <v>1055</v>
      </c>
      <c r="E511" s="10">
        <v>158</v>
      </c>
      <c r="F511" s="10" t="s">
        <v>25</v>
      </c>
      <c r="G511" s="10">
        <v>26.6</v>
      </c>
      <c r="H511" s="10">
        <v>63.8</v>
      </c>
      <c r="I511" s="10" t="s">
        <v>26</v>
      </c>
      <c r="J511" s="10">
        <v>51</v>
      </c>
      <c r="K511" s="10">
        <v>199</v>
      </c>
      <c r="L511" s="10">
        <v>4</v>
      </c>
      <c r="M511" s="10" t="s">
        <v>21</v>
      </c>
      <c r="N511" s="10">
        <v>84.8</v>
      </c>
      <c r="O511" s="10">
        <v>114</v>
      </c>
      <c r="P511" s="10">
        <v>1</v>
      </c>
      <c r="Q511" s="10" t="str">
        <f>+IF(Tabla2[[#This Row],[Demand_Forecast]]&lt;= 125,"Low demand",IF(Tabla2[[#This Row],[Demand_Forecast]] &gt;=285,"High demand","Mid demand"))</f>
        <v>Low demand</v>
      </c>
    </row>
    <row r="512" spans="1:17" x14ac:dyDescent="0.25">
      <c r="A512" s="11">
        <v>45504.828726851854</v>
      </c>
      <c r="B512" s="10" t="s">
        <v>28</v>
      </c>
      <c r="C512" s="10" t="s">
        <v>1056</v>
      </c>
      <c r="D512" s="10" t="s">
        <v>1057</v>
      </c>
      <c r="E512" s="10">
        <v>126</v>
      </c>
      <c r="F512" s="10" t="s">
        <v>19</v>
      </c>
      <c r="G512" s="10">
        <v>25.1</v>
      </c>
      <c r="H512" s="10">
        <v>58</v>
      </c>
      <c r="I512" s="10" t="s">
        <v>20</v>
      </c>
      <c r="J512" s="10">
        <v>47</v>
      </c>
      <c r="K512" s="10">
        <v>291</v>
      </c>
      <c r="L512" s="10">
        <v>7</v>
      </c>
      <c r="M512" s="10" t="s">
        <v>35</v>
      </c>
      <c r="N512" s="10">
        <v>92.3</v>
      </c>
      <c r="O512" s="10">
        <v>123</v>
      </c>
      <c r="P512" s="10">
        <v>1</v>
      </c>
      <c r="Q512" s="10" t="str">
        <f>+IF(Tabla2[[#This Row],[Demand_Forecast]]&lt;= 125,"Low demand",IF(Tabla2[[#This Row],[Demand_Forecast]] &gt;=285,"High demand","Mid demand"))</f>
        <v>Low demand</v>
      </c>
    </row>
    <row r="513" spans="1:17" x14ac:dyDescent="0.25">
      <c r="A513" s="11">
        <v>45509.934803240743</v>
      </c>
      <c r="B513" s="10" t="s">
        <v>56</v>
      </c>
      <c r="C513" s="10" t="s">
        <v>1058</v>
      </c>
      <c r="D513" s="10" t="s">
        <v>1059</v>
      </c>
      <c r="E513" s="10">
        <v>309</v>
      </c>
      <c r="F513" s="10" t="s">
        <v>25</v>
      </c>
      <c r="G513" s="10">
        <v>20.6</v>
      </c>
      <c r="H513" s="10">
        <v>77.3</v>
      </c>
      <c r="I513" s="10" t="s">
        <v>38</v>
      </c>
      <c r="J513" s="10">
        <v>60</v>
      </c>
      <c r="K513" s="10">
        <v>177</v>
      </c>
      <c r="L513" s="10">
        <v>5</v>
      </c>
      <c r="M513" s="10" t="s">
        <v>27</v>
      </c>
      <c r="N513" s="10">
        <v>69.2</v>
      </c>
      <c r="O513" s="10">
        <v>271</v>
      </c>
      <c r="P513" s="10">
        <v>0</v>
      </c>
      <c r="Q513" s="10" t="str">
        <f>+IF(Tabla2[[#This Row],[Demand_Forecast]]&lt;= 125,"Low demand",IF(Tabla2[[#This Row],[Demand_Forecast]] &gt;=285,"High demand","Mid demand"))</f>
        <v>Mid demand</v>
      </c>
    </row>
    <row r="514" spans="1:17" x14ac:dyDescent="0.25">
      <c r="A514" s="11">
        <v>45336.031284722223</v>
      </c>
      <c r="B514" s="10" t="s">
        <v>28</v>
      </c>
      <c r="C514" s="10" t="s">
        <v>1060</v>
      </c>
      <c r="D514" s="10" t="s">
        <v>1061</v>
      </c>
      <c r="E514" s="10">
        <v>171</v>
      </c>
      <c r="F514" s="10" t="s">
        <v>19</v>
      </c>
      <c r="G514" s="10">
        <v>22.6</v>
      </c>
      <c r="H514" s="10">
        <v>69.900000000000006</v>
      </c>
      <c r="I514" s="10" t="s">
        <v>20</v>
      </c>
      <c r="J514" s="10">
        <v>26</v>
      </c>
      <c r="K514" s="10">
        <v>104</v>
      </c>
      <c r="L514" s="10">
        <v>2</v>
      </c>
      <c r="M514" s="10" t="s">
        <v>27</v>
      </c>
      <c r="N514" s="10">
        <v>88.1</v>
      </c>
      <c r="O514" s="10">
        <v>132</v>
      </c>
      <c r="P514" s="10">
        <v>1</v>
      </c>
      <c r="Q514" s="10" t="str">
        <f>+IF(Tabla2[[#This Row],[Demand_Forecast]]&lt;= 125,"Low demand",IF(Tabla2[[#This Row],[Demand_Forecast]] &gt;=285,"High demand","Mid demand"))</f>
        <v>Mid demand</v>
      </c>
    </row>
    <row r="515" spans="1:17" x14ac:dyDescent="0.25">
      <c r="A515" s="11">
        <v>45640.031365740739</v>
      </c>
      <c r="B515" s="10" t="s">
        <v>22</v>
      </c>
      <c r="C515" s="10" t="s">
        <v>1062</v>
      </c>
      <c r="D515" s="10" t="s">
        <v>1063</v>
      </c>
      <c r="E515" s="10">
        <v>403</v>
      </c>
      <c r="F515" s="10" t="s">
        <v>25</v>
      </c>
      <c r="G515" s="10">
        <v>29.6</v>
      </c>
      <c r="H515" s="10">
        <v>63</v>
      </c>
      <c r="I515" s="10" t="s">
        <v>38</v>
      </c>
      <c r="J515" s="10">
        <v>12</v>
      </c>
      <c r="K515" s="10">
        <v>197</v>
      </c>
      <c r="L515" s="10">
        <v>4</v>
      </c>
      <c r="M515" s="10" t="s">
        <v>21</v>
      </c>
      <c r="N515" s="10">
        <v>83.8</v>
      </c>
      <c r="O515" s="10">
        <v>228</v>
      </c>
      <c r="P515" s="10">
        <v>0</v>
      </c>
      <c r="Q515" s="10" t="str">
        <f>+IF(Tabla2[[#This Row],[Demand_Forecast]]&lt;= 125,"Low demand",IF(Tabla2[[#This Row],[Demand_Forecast]] &gt;=285,"High demand","Mid demand"))</f>
        <v>Mid demand</v>
      </c>
    </row>
    <row r="516" spans="1:17" x14ac:dyDescent="0.25">
      <c r="A516" s="11">
        <v>45489.342002314814</v>
      </c>
      <c r="B516" s="10" t="s">
        <v>22</v>
      </c>
      <c r="C516" s="10" t="s">
        <v>1064</v>
      </c>
      <c r="D516" s="10" t="s">
        <v>1065</v>
      </c>
      <c r="E516" s="10">
        <v>181</v>
      </c>
      <c r="F516" s="10" t="s">
        <v>34</v>
      </c>
      <c r="G516" s="10">
        <v>25.9</v>
      </c>
      <c r="H516" s="10">
        <v>69.099999999999994</v>
      </c>
      <c r="I516" s="10" t="s">
        <v>26</v>
      </c>
      <c r="J516" s="10">
        <v>44</v>
      </c>
      <c r="K516" s="10">
        <v>264</v>
      </c>
      <c r="L516" s="10">
        <v>9</v>
      </c>
      <c r="M516" s="10" t="s">
        <v>51</v>
      </c>
      <c r="N516" s="10">
        <v>69.900000000000006</v>
      </c>
      <c r="O516" s="10">
        <v>223</v>
      </c>
      <c r="P516" s="10">
        <v>1</v>
      </c>
      <c r="Q516" s="10" t="str">
        <f>+IF(Tabla2[[#This Row],[Demand_Forecast]]&lt;= 125,"Low demand",IF(Tabla2[[#This Row],[Demand_Forecast]] &gt;=285,"High demand","Mid demand"))</f>
        <v>Mid demand</v>
      </c>
    </row>
    <row r="517" spans="1:17" x14ac:dyDescent="0.25">
      <c r="A517" s="11">
        <v>45634.411377314813</v>
      </c>
      <c r="B517" s="10" t="s">
        <v>16</v>
      </c>
      <c r="C517" s="10" t="s">
        <v>1066</v>
      </c>
      <c r="D517" s="10" t="s">
        <v>1067</v>
      </c>
      <c r="E517" s="10">
        <v>472</v>
      </c>
      <c r="F517" s="10" t="s">
        <v>19</v>
      </c>
      <c r="G517" s="10">
        <v>23</v>
      </c>
      <c r="H517" s="10">
        <v>68</v>
      </c>
      <c r="I517" s="10" t="s">
        <v>26</v>
      </c>
      <c r="J517" s="10">
        <v>34</v>
      </c>
      <c r="K517" s="10">
        <v>365</v>
      </c>
      <c r="L517" s="10">
        <v>3</v>
      </c>
      <c r="M517" s="10" t="s">
        <v>35</v>
      </c>
      <c r="N517" s="10">
        <v>87.8</v>
      </c>
      <c r="O517" s="10">
        <v>294</v>
      </c>
      <c r="P517" s="10">
        <v>1</v>
      </c>
      <c r="Q517" s="10" t="str">
        <f>+IF(Tabla2[[#This Row],[Demand_Forecast]]&lt;= 125,"Low demand",IF(Tabla2[[#This Row],[Demand_Forecast]] &gt;=285,"High demand","Mid demand"))</f>
        <v>High demand</v>
      </c>
    </row>
    <row r="518" spans="1:17" x14ac:dyDescent="0.25">
      <c r="A518" s="11">
        <v>45420.077719907407</v>
      </c>
      <c r="B518" s="10" t="s">
        <v>56</v>
      </c>
      <c r="C518" s="10" t="s">
        <v>1068</v>
      </c>
      <c r="D518" s="10" t="s">
        <v>1069</v>
      </c>
      <c r="E518" s="10">
        <v>171</v>
      </c>
      <c r="F518" s="10" t="s">
        <v>34</v>
      </c>
      <c r="G518" s="10">
        <v>25.5</v>
      </c>
      <c r="H518" s="10">
        <v>51.1</v>
      </c>
      <c r="I518" s="10" t="s">
        <v>20</v>
      </c>
      <c r="J518" s="10">
        <v>43</v>
      </c>
      <c r="K518" s="10">
        <v>114</v>
      </c>
      <c r="L518" s="10">
        <v>1</v>
      </c>
      <c r="M518" s="10" t="s">
        <v>27</v>
      </c>
      <c r="N518" s="10">
        <v>92.5</v>
      </c>
      <c r="O518" s="10">
        <v>149</v>
      </c>
      <c r="P518" s="10">
        <v>0</v>
      </c>
      <c r="Q518" s="10" t="str">
        <f>+IF(Tabla2[[#This Row],[Demand_Forecast]]&lt;= 125,"Low demand",IF(Tabla2[[#This Row],[Demand_Forecast]] &gt;=285,"High demand","Mid demand"))</f>
        <v>Mid demand</v>
      </c>
    </row>
    <row r="519" spans="1:17" x14ac:dyDescent="0.25">
      <c r="A519" s="11">
        <v>45493.565081018518</v>
      </c>
      <c r="B519" s="10" t="s">
        <v>22</v>
      </c>
      <c r="C519" s="10" t="s">
        <v>1070</v>
      </c>
      <c r="D519" s="10" t="s">
        <v>1071</v>
      </c>
      <c r="E519" s="10">
        <v>204</v>
      </c>
      <c r="F519" s="10" t="s">
        <v>19</v>
      </c>
      <c r="G519" s="10">
        <v>19.2</v>
      </c>
      <c r="H519" s="10">
        <v>58</v>
      </c>
      <c r="I519" s="10" t="s">
        <v>26</v>
      </c>
      <c r="J519" s="10">
        <v>50</v>
      </c>
      <c r="K519" s="10">
        <v>465</v>
      </c>
      <c r="L519" s="10">
        <v>8</v>
      </c>
      <c r="M519" s="10" t="s">
        <v>27</v>
      </c>
      <c r="N519" s="10">
        <v>85.2</v>
      </c>
      <c r="O519" s="10">
        <v>133</v>
      </c>
      <c r="P519" s="10">
        <v>1</v>
      </c>
      <c r="Q519" s="10" t="str">
        <f>+IF(Tabla2[[#This Row],[Demand_Forecast]]&lt;= 125,"Low demand",IF(Tabla2[[#This Row],[Demand_Forecast]] &gt;=285,"High demand","Mid demand"))</f>
        <v>Mid demand</v>
      </c>
    </row>
    <row r="520" spans="1:17" x14ac:dyDescent="0.25">
      <c r="A520" s="11">
        <v>45589.624907407408</v>
      </c>
      <c r="B520" s="10" t="s">
        <v>41</v>
      </c>
      <c r="C520" s="10" t="s">
        <v>1072</v>
      </c>
      <c r="D520" s="10" t="s">
        <v>1073</v>
      </c>
      <c r="E520" s="10">
        <v>254</v>
      </c>
      <c r="F520" s="10" t="s">
        <v>25</v>
      </c>
      <c r="G520" s="10">
        <v>26.7</v>
      </c>
      <c r="H520" s="10">
        <v>51.3</v>
      </c>
      <c r="I520" s="10" t="s">
        <v>20</v>
      </c>
      <c r="J520" s="10">
        <v>11</v>
      </c>
      <c r="K520" s="10">
        <v>378</v>
      </c>
      <c r="L520" s="10">
        <v>8</v>
      </c>
      <c r="M520" s="10" t="s">
        <v>21</v>
      </c>
      <c r="N520" s="10">
        <v>90.6</v>
      </c>
      <c r="O520" s="10">
        <v>208</v>
      </c>
      <c r="P520" s="10">
        <v>0</v>
      </c>
      <c r="Q520" s="10" t="str">
        <f>+IF(Tabla2[[#This Row],[Demand_Forecast]]&lt;= 125,"Low demand",IF(Tabla2[[#This Row],[Demand_Forecast]] &gt;=285,"High demand","Mid demand"))</f>
        <v>Mid demand</v>
      </c>
    </row>
    <row r="521" spans="1:17" x14ac:dyDescent="0.25">
      <c r="A521" s="11">
        <v>45619.456192129626</v>
      </c>
      <c r="B521" s="10" t="s">
        <v>41</v>
      </c>
      <c r="C521" s="10" t="s">
        <v>1074</v>
      </c>
      <c r="D521" s="10" t="s">
        <v>1075</v>
      </c>
      <c r="E521" s="10">
        <v>100</v>
      </c>
      <c r="F521" s="10" t="s">
        <v>19</v>
      </c>
      <c r="G521" s="10">
        <v>21</v>
      </c>
      <c r="H521" s="10">
        <v>71.2</v>
      </c>
      <c r="I521" s="10" t="s">
        <v>38</v>
      </c>
      <c r="J521" s="10">
        <v>19</v>
      </c>
      <c r="K521" s="10">
        <v>315</v>
      </c>
      <c r="L521" s="10">
        <v>9</v>
      </c>
      <c r="M521" s="10" t="s">
        <v>27</v>
      </c>
      <c r="N521" s="10">
        <v>82.2</v>
      </c>
      <c r="O521" s="10">
        <v>100</v>
      </c>
      <c r="P521" s="10">
        <v>1</v>
      </c>
      <c r="Q521" s="10" t="str">
        <f>+IF(Tabla2[[#This Row],[Demand_Forecast]]&lt;= 125,"Low demand",IF(Tabla2[[#This Row],[Demand_Forecast]] &gt;=285,"High demand","Mid demand"))</f>
        <v>Low demand</v>
      </c>
    </row>
    <row r="522" spans="1:17" x14ac:dyDescent="0.25">
      <c r="A522" s="11">
        <v>45400.368750000001</v>
      </c>
      <c r="B522" s="10" t="s">
        <v>95</v>
      </c>
      <c r="C522" s="10" t="s">
        <v>1076</v>
      </c>
      <c r="D522" s="10" t="s">
        <v>1077</v>
      </c>
      <c r="E522" s="10">
        <v>211</v>
      </c>
      <c r="F522" s="10" t="s">
        <v>34</v>
      </c>
      <c r="G522" s="10">
        <v>23.7</v>
      </c>
      <c r="H522" s="10">
        <v>66.7</v>
      </c>
      <c r="I522" s="10" t="s">
        <v>26</v>
      </c>
      <c r="J522" s="10">
        <v>36</v>
      </c>
      <c r="K522" s="10">
        <v>149</v>
      </c>
      <c r="L522" s="10">
        <v>1</v>
      </c>
      <c r="M522" s="10" t="s">
        <v>51</v>
      </c>
      <c r="N522" s="10">
        <v>60.7</v>
      </c>
      <c r="O522" s="10">
        <v>256</v>
      </c>
      <c r="P522" s="10">
        <v>1</v>
      </c>
      <c r="Q522" s="10" t="str">
        <f>+IF(Tabla2[[#This Row],[Demand_Forecast]]&lt;= 125,"Low demand",IF(Tabla2[[#This Row],[Demand_Forecast]] &gt;=285,"High demand","Mid demand"))</f>
        <v>Mid demand</v>
      </c>
    </row>
    <row r="523" spans="1:17" x14ac:dyDescent="0.25">
      <c r="A523" s="11">
        <v>45515.196875000001</v>
      </c>
      <c r="B523" s="10" t="s">
        <v>31</v>
      </c>
      <c r="C523" s="10" t="s">
        <v>1078</v>
      </c>
      <c r="D523" s="10" t="s">
        <v>1079</v>
      </c>
      <c r="E523" s="10">
        <v>145</v>
      </c>
      <c r="F523" s="10" t="s">
        <v>19</v>
      </c>
      <c r="G523" s="10">
        <v>18.2</v>
      </c>
      <c r="H523" s="10">
        <v>62.2</v>
      </c>
      <c r="I523" s="10" t="s">
        <v>26</v>
      </c>
      <c r="J523" s="10">
        <v>56</v>
      </c>
      <c r="K523" s="10">
        <v>430</v>
      </c>
      <c r="L523" s="10">
        <v>5</v>
      </c>
      <c r="M523" s="10" t="s">
        <v>35</v>
      </c>
      <c r="N523" s="10">
        <v>86.7</v>
      </c>
      <c r="O523" s="10">
        <v>260</v>
      </c>
      <c r="P523" s="10">
        <v>1</v>
      </c>
      <c r="Q523" s="10" t="str">
        <f>+IF(Tabla2[[#This Row],[Demand_Forecast]]&lt;= 125,"Low demand",IF(Tabla2[[#This Row],[Demand_Forecast]] &gt;=285,"High demand","Mid demand"))</f>
        <v>Mid demand</v>
      </c>
    </row>
    <row r="524" spans="1:17" x14ac:dyDescent="0.25">
      <c r="A524" s="11">
        <v>45574.561851851853</v>
      </c>
      <c r="B524" s="10" t="s">
        <v>22</v>
      </c>
      <c r="C524" s="10" t="s">
        <v>1080</v>
      </c>
      <c r="D524" s="10" t="s">
        <v>1081</v>
      </c>
      <c r="E524" s="10">
        <v>244</v>
      </c>
      <c r="F524" s="10" t="s">
        <v>34</v>
      </c>
      <c r="G524" s="10">
        <v>21.3</v>
      </c>
      <c r="H524" s="10">
        <v>79.400000000000006</v>
      </c>
      <c r="I524" s="10" t="s">
        <v>26</v>
      </c>
      <c r="J524" s="10">
        <v>22</v>
      </c>
      <c r="K524" s="10">
        <v>312</v>
      </c>
      <c r="L524" s="10">
        <v>9</v>
      </c>
      <c r="M524" s="10" t="s">
        <v>21</v>
      </c>
      <c r="N524" s="10">
        <v>63.5</v>
      </c>
      <c r="O524" s="10">
        <v>171</v>
      </c>
      <c r="P524" s="10">
        <v>1</v>
      </c>
      <c r="Q524" s="10" t="str">
        <f>+IF(Tabla2[[#This Row],[Demand_Forecast]]&lt;= 125,"Low demand",IF(Tabla2[[#This Row],[Demand_Forecast]] &gt;=285,"High demand","Mid demand"))</f>
        <v>Mid demand</v>
      </c>
    </row>
    <row r="525" spans="1:17" x14ac:dyDescent="0.25">
      <c r="A525" s="11">
        <v>45647.643171296295</v>
      </c>
      <c r="B525" s="10" t="s">
        <v>95</v>
      </c>
      <c r="C525" s="10" t="s">
        <v>1082</v>
      </c>
      <c r="D525" s="10" t="s">
        <v>1083</v>
      </c>
      <c r="E525" s="10">
        <v>104</v>
      </c>
      <c r="F525" s="10" t="s">
        <v>34</v>
      </c>
      <c r="G525" s="10">
        <v>29.4</v>
      </c>
      <c r="H525" s="10">
        <v>59.1</v>
      </c>
      <c r="I525" s="10" t="s">
        <v>20</v>
      </c>
      <c r="J525" s="10">
        <v>58</v>
      </c>
      <c r="K525" s="10">
        <v>229</v>
      </c>
      <c r="L525" s="10">
        <v>3</v>
      </c>
      <c r="M525" s="10" t="s">
        <v>27</v>
      </c>
      <c r="N525" s="10">
        <v>82.9</v>
      </c>
      <c r="O525" s="10">
        <v>283</v>
      </c>
      <c r="P525" s="10">
        <v>0</v>
      </c>
      <c r="Q525" s="10" t="str">
        <f>+IF(Tabla2[[#This Row],[Demand_Forecast]]&lt;= 125,"Low demand",IF(Tabla2[[#This Row],[Demand_Forecast]] &gt;=285,"High demand","Mid demand"))</f>
        <v>Mid demand</v>
      </c>
    </row>
    <row r="526" spans="1:17" x14ac:dyDescent="0.25">
      <c r="A526" s="11">
        <v>45312.967824074076</v>
      </c>
      <c r="B526" s="10" t="s">
        <v>64</v>
      </c>
      <c r="C526" s="10" t="s">
        <v>1084</v>
      </c>
      <c r="D526" s="10" t="s">
        <v>1085</v>
      </c>
      <c r="E526" s="10">
        <v>356</v>
      </c>
      <c r="F526" s="10" t="s">
        <v>25</v>
      </c>
      <c r="G526" s="10">
        <v>18.399999999999999</v>
      </c>
      <c r="H526" s="10">
        <v>75.2</v>
      </c>
      <c r="I526" s="10" t="s">
        <v>38</v>
      </c>
      <c r="J526" s="10">
        <v>32</v>
      </c>
      <c r="K526" s="10">
        <v>291</v>
      </c>
      <c r="L526" s="10">
        <v>6</v>
      </c>
      <c r="M526" s="10" t="s">
        <v>21</v>
      </c>
      <c r="N526" s="10">
        <v>90.7</v>
      </c>
      <c r="O526" s="10">
        <v>206</v>
      </c>
      <c r="P526" s="10">
        <v>0</v>
      </c>
      <c r="Q526" s="10" t="str">
        <f>+IF(Tabla2[[#This Row],[Demand_Forecast]]&lt;= 125,"Low demand",IF(Tabla2[[#This Row],[Demand_Forecast]] &gt;=285,"High demand","Mid demand"))</f>
        <v>Mid demand</v>
      </c>
    </row>
    <row r="527" spans="1:17" x14ac:dyDescent="0.25">
      <c r="A527" s="11">
        <v>45379.326909722222</v>
      </c>
      <c r="B527" s="10" t="s">
        <v>41</v>
      </c>
      <c r="C527" s="10" t="s">
        <v>1086</v>
      </c>
      <c r="D527" s="10" t="s">
        <v>1087</v>
      </c>
      <c r="E527" s="10">
        <v>114</v>
      </c>
      <c r="F527" s="10" t="s">
        <v>25</v>
      </c>
      <c r="G527" s="10">
        <v>26.8</v>
      </c>
      <c r="H527" s="10">
        <v>62.1</v>
      </c>
      <c r="I527" s="10" t="s">
        <v>26</v>
      </c>
      <c r="J527" s="10">
        <v>55</v>
      </c>
      <c r="K527" s="10">
        <v>334</v>
      </c>
      <c r="L527" s="10">
        <v>6</v>
      </c>
      <c r="M527" s="10" t="s">
        <v>21</v>
      </c>
      <c r="N527" s="10">
        <v>85.2</v>
      </c>
      <c r="O527" s="10">
        <v>202</v>
      </c>
      <c r="P527" s="10">
        <v>1</v>
      </c>
      <c r="Q527" s="10" t="str">
        <f>+IF(Tabla2[[#This Row],[Demand_Forecast]]&lt;= 125,"Low demand",IF(Tabla2[[#This Row],[Demand_Forecast]] &gt;=285,"High demand","Mid demand"))</f>
        <v>Mid demand</v>
      </c>
    </row>
    <row r="528" spans="1:17" x14ac:dyDescent="0.25">
      <c r="A528" s="11">
        <v>45628.452847222223</v>
      </c>
      <c r="B528" s="10" t="s">
        <v>22</v>
      </c>
      <c r="C528" s="10" t="s">
        <v>1088</v>
      </c>
      <c r="D528" s="10" t="s">
        <v>1089</v>
      </c>
      <c r="E528" s="10">
        <v>404</v>
      </c>
      <c r="F528" s="10" t="s">
        <v>34</v>
      </c>
      <c r="G528" s="10">
        <v>19</v>
      </c>
      <c r="H528" s="10">
        <v>76.2</v>
      </c>
      <c r="I528" s="10" t="s">
        <v>26</v>
      </c>
      <c r="J528" s="10">
        <v>54</v>
      </c>
      <c r="K528" s="10">
        <v>230</v>
      </c>
      <c r="L528" s="10">
        <v>4</v>
      </c>
      <c r="M528" s="10" t="s">
        <v>21</v>
      </c>
      <c r="N528" s="10">
        <v>83.7</v>
      </c>
      <c r="O528" s="10">
        <v>171</v>
      </c>
      <c r="P528" s="10">
        <v>1</v>
      </c>
      <c r="Q528" s="10" t="str">
        <f>+IF(Tabla2[[#This Row],[Demand_Forecast]]&lt;= 125,"Low demand",IF(Tabla2[[#This Row],[Demand_Forecast]] &gt;=285,"High demand","Mid demand"))</f>
        <v>Mid demand</v>
      </c>
    </row>
    <row r="529" spans="1:17" x14ac:dyDescent="0.25">
      <c r="A529" s="11">
        <v>45656.848587962966</v>
      </c>
      <c r="B529" s="10" t="s">
        <v>64</v>
      </c>
      <c r="C529" s="10" t="s">
        <v>1090</v>
      </c>
      <c r="D529" s="10" t="s">
        <v>1091</v>
      </c>
      <c r="E529" s="10">
        <v>500</v>
      </c>
      <c r="F529" s="10" t="s">
        <v>34</v>
      </c>
      <c r="G529" s="10">
        <v>21.7</v>
      </c>
      <c r="H529" s="10">
        <v>56.2</v>
      </c>
      <c r="I529" s="10" t="s">
        <v>20</v>
      </c>
      <c r="J529" s="10">
        <v>20</v>
      </c>
      <c r="K529" s="10">
        <v>381</v>
      </c>
      <c r="L529" s="10">
        <v>10</v>
      </c>
      <c r="M529" s="10" t="s">
        <v>51</v>
      </c>
      <c r="N529" s="10">
        <v>90.7</v>
      </c>
      <c r="O529" s="10">
        <v>222</v>
      </c>
      <c r="P529" s="10">
        <v>0</v>
      </c>
      <c r="Q529" s="10" t="str">
        <f>+IF(Tabla2[[#This Row],[Demand_Forecast]]&lt;= 125,"Low demand",IF(Tabla2[[#This Row],[Demand_Forecast]] &gt;=285,"High demand","Mid demand"))</f>
        <v>Mid demand</v>
      </c>
    </row>
    <row r="530" spans="1:17" x14ac:dyDescent="0.25">
      <c r="A530" s="11">
        <v>45547.487627314818</v>
      </c>
      <c r="B530" s="10" t="s">
        <v>64</v>
      </c>
      <c r="C530" s="10" t="s">
        <v>1092</v>
      </c>
      <c r="D530" s="10" t="s">
        <v>1093</v>
      </c>
      <c r="E530" s="10">
        <v>375</v>
      </c>
      <c r="F530" s="10" t="s">
        <v>19</v>
      </c>
      <c r="G530" s="10">
        <v>23</v>
      </c>
      <c r="H530" s="10">
        <v>76.3</v>
      </c>
      <c r="I530" s="10" t="s">
        <v>20</v>
      </c>
      <c r="J530" s="10">
        <v>49</v>
      </c>
      <c r="K530" s="10">
        <v>131</v>
      </c>
      <c r="L530" s="10">
        <v>4</v>
      </c>
      <c r="M530" s="10" t="s">
        <v>21</v>
      </c>
      <c r="N530" s="10">
        <v>87.8</v>
      </c>
      <c r="O530" s="10">
        <v>137</v>
      </c>
      <c r="P530" s="10">
        <v>1</v>
      </c>
      <c r="Q530" s="10" t="str">
        <f>+IF(Tabla2[[#This Row],[Demand_Forecast]]&lt;= 125,"Low demand",IF(Tabla2[[#This Row],[Demand_Forecast]] &gt;=285,"High demand","Mid demand"))</f>
        <v>Mid demand</v>
      </c>
    </row>
    <row r="531" spans="1:17" x14ac:dyDescent="0.25">
      <c r="A531" s="11">
        <v>45589.9609837963</v>
      </c>
      <c r="B531" s="10" t="s">
        <v>56</v>
      </c>
      <c r="C531" s="10" t="s">
        <v>1094</v>
      </c>
      <c r="D531" s="10" t="s">
        <v>1095</v>
      </c>
      <c r="E531" s="10">
        <v>361</v>
      </c>
      <c r="F531" s="10" t="s">
        <v>25</v>
      </c>
      <c r="G531" s="10">
        <v>22.3</v>
      </c>
      <c r="H531" s="10">
        <v>66.8</v>
      </c>
      <c r="I531" s="10" t="s">
        <v>26</v>
      </c>
      <c r="J531" s="10">
        <v>60</v>
      </c>
      <c r="K531" s="10">
        <v>157</v>
      </c>
      <c r="L531" s="10">
        <v>4</v>
      </c>
      <c r="M531" s="10" t="s">
        <v>35</v>
      </c>
      <c r="N531" s="10">
        <v>79.8</v>
      </c>
      <c r="O531" s="10">
        <v>247</v>
      </c>
      <c r="P531" s="10">
        <v>1</v>
      </c>
      <c r="Q531" s="10" t="str">
        <f>+IF(Tabla2[[#This Row],[Demand_Forecast]]&lt;= 125,"Low demand",IF(Tabla2[[#This Row],[Demand_Forecast]] &gt;=285,"High demand","Mid demand"))</f>
        <v>Mid demand</v>
      </c>
    </row>
    <row r="532" spans="1:17" x14ac:dyDescent="0.25">
      <c r="A532" s="11">
        <v>45358.911354166667</v>
      </c>
      <c r="B532" s="10" t="s">
        <v>61</v>
      </c>
      <c r="C532" s="10" t="s">
        <v>1096</v>
      </c>
      <c r="D532" s="10" t="s">
        <v>1097</v>
      </c>
      <c r="E532" s="10">
        <v>239</v>
      </c>
      <c r="F532" s="10" t="s">
        <v>19</v>
      </c>
      <c r="G532" s="10">
        <v>26.6</v>
      </c>
      <c r="H532" s="10">
        <v>51.6</v>
      </c>
      <c r="I532" s="10" t="s">
        <v>20</v>
      </c>
      <c r="J532" s="10">
        <v>33</v>
      </c>
      <c r="K532" s="10">
        <v>333</v>
      </c>
      <c r="L532" s="10">
        <v>2</v>
      </c>
      <c r="M532" s="10" t="s">
        <v>35</v>
      </c>
      <c r="N532" s="10">
        <v>95.1</v>
      </c>
      <c r="O532" s="10">
        <v>277</v>
      </c>
      <c r="P532" s="10">
        <v>1</v>
      </c>
      <c r="Q532" s="10" t="str">
        <f>+IF(Tabla2[[#This Row],[Demand_Forecast]]&lt;= 125,"Low demand",IF(Tabla2[[#This Row],[Demand_Forecast]] &gt;=285,"High demand","Mid demand"))</f>
        <v>Mid demand</v>
      </c>
    </row>
    <row r="533" spans="1:17" x14ac:dyDescent="0.25">
      <c r="A533" s="11">
        <v>45294.547488425924</v>
      </c>
      <c r="B533" s="10" t="s">
        <v>28</v>
      </c>
      <c r="C533" s="10" t="s">
        <v>1098</v>
      </c>
      <c r="D533" s="10" t="s">
        <v>1099</v>
      </c>
      <c r="E533" s="10">
        <v>191</v>
      </c>
      <c r="F533" s="10" t="s">
        <v>25</v>
      </c>
      <c r="G533" s="10">
        <v>24</v>
      </c>
      <c r="H533" s="10">
        <v>59.7</v>
      </c>
      <c r="I533" s="10" t="s">
        <v>38</v>
      </c>
      <c r="J533" s="10">
        <v>51</v>
      </c>
      <c r="K533" s="10">
        <v>268</v>
      </c>
      <c r="L533" s="10">
        <v>8</v>
      </c>
      <c r="M533" s="10" t="s">
        <v>21</v>
      </c>
      <c r="N533" s="10">
        <v>97</v>
      </c>
      <c r="O533" s="10">
        <v>111</v>
      </c>
      <c r="P533" s="10">
        <v>0</v>
      </c>
      <c r="Q533" s="10" t="str">
        <f>+IF(Tabla2[[#This Row],[Demand_Forecast]]&lt;= 125,"Low demand",IF(Tabla2[[#This Row],[Demand_Forecast]] &gt;=285,"High demand","Mid demand"))</f>
        <v>Low demand</v>
      </c>
    </row>
    <row r="534" spans="1:17" x14ac:dyDescent="0.25">
      <c r="A534" s="11">
        <v>45634.017152777778</v>
      </c>
      <c r="B534" s="10" t="s">
        <v>48</v>
      </c>
      <c r="C534" s="10" t="s">
        <v>1100</v>
      </c>
      <c r="D534" s="10" t="s">
        <v>1101</v>
      </c>
      <c r="E534" s="10">
        <v>171</v>
      </c>
      <c r="F534" s="10" t="s">
        <v>19</v>
      </c>
      <c r="G534" s="10">
        <v>21.3</v>
      </c>
      <c r="H534" s="10">
        <v>58.7</v>
      </c>
      <c r="I534" s="10" t="s">
        <v>20</v>
      </c>
      <c r="J534" s="10">
        <v>10</v>
      </c>
      <c r="K534" s="10">
        <v>292</v>
      </c>
      <c r="L534" s="10">
        <v>4</v>
      </c>
      <c r="M534" s="10" t="s">
        <v>35</v>
      </c>
      <c r="N534" s="10">
        <v>65</v>
      </c>
      <c r="O534" s="10">
        <v>184</v>
      </c>
      <c r="P534" s="10">
        <v>1</v>
      </c>
      <c r="Q534" s="10" t="str">
        <f>+IF(Tabla2[[#This Row],[Demand_Forecast]]&lt;= 125,"Low demand",IF(Tabla2[[#This Row],[Demand_Forecast]] &gt;=285,"High demand","Mid demand"))</f>
        <v>Mid demand</v>
      </c>
    </row>
    <row r="535" spans="1:17" x14ac:dyDescent="0.25">
      <c r="A535" s="11">
        <v>45548.373715277776</v>
      </c>
      <c r="B535" s="10" t="s">
        <v>64</v>
      </c>
      <c r="C535" s="10" t="s">
        <v>1102</v>
      </c>
      <c r="D535" s="10" t="s">
        <v>1103</v>
      </c>
      <c r="E535" s="10">
        <v>113</v>
      </c>
      <c r="F535" s="10" t="s">
        <v>19</v>
      </c>
      <c r="G535" s="10">
        <v>28.9</v>
      </c>
      <c r="H535" s="10">
        <v>56.3</v>
      </c>
      <c r="I535" s="10" t="s">
        <v>26</v>
      </c>
      <c r="J535" s="10">
        <v>22</v>
      </c>
      <c r="K535" s="10">
        <v>417</v>
      </c>
      <c r="L535" s="10">
        <v>6</v>
      </c>
      <c r="M535" s="10" t="s">
        <v>27</v>
      </c>
      <c r="N535" s="10">
        <v>60.8</v>
      </c>
      <c r="O535" s="10">
        <v>142</v>
      </c>
      <c r="P535" s="10">
        <v>1</v>
      </c>
      <c r="Q535" s="10" t="str">
        <f>+IF(Tabla2[[#This Row],[Demand_Forecast]]&lt;= 125,"Low demand",IF(Tabla2[[#This Row],[Demand_Forecast]] &gt;=285,"High demand","Mid demand"))</f>
        <v>Mid demand</v>
      </c>
    </row>
    <row r="536" spans="1:17" x14ac:dyDescent="0.25">
      <c r="A536" s="11">
        <v>45504.927858796298</v>
      </c>
      <c r="B536" s="10" t="s">
        <v>41</v>
      </c>
      <c r="C536" s="10" t="s">
        <v>1104</v>
      </c>
      <c r="D536" s="10" t="s">
        <v>1105</v>
      </c>
      <c r="E536" s="10">
        <v>298</v>
      </c>
      <c r="F536" s="10" t="s">
        <v>25</v>
      </c>
      <c r="G536" s="10">
        <v>18.8</v>
      </c>
      <c r="H536" s="10">
        <v>79.5</v>
      </c>
      <c r="I536" s="10" t="s">
        <v>20</v>
      </c>
      <c r="J536" s="10">
        <v>51</v>
      </c>
      <c r="K536" s="10">
        <v>393</v>
      </c>
      <c r="L536" s="10">
        <v>4</v>
      </c>
      <c r="M536" s="10" t="s">
        <v>35</v>
      </c>
      <c r="N536" s="10">
        <v>74.599999999999994</v>
      </c>
      <c r="O536" s="10">
        <v>110</v>
      </c>
      <c r="P536" s="10">
        <v>0</v>
      </c>
      <c r="Q536" s="10" t="str">
        <f>+IF(Tabla2[[#This Row],[Demand_Forecast]]&lt;= 125,"Low demand",IF(Tabla2[[#This Row],[Demand_Forecast]] &gt;=285,"High demand","Mid demand"))</f>
        <v>Low demand</v>
      </c>
    </row>
    <row r="537" spans="1:17" x14ac:dyDescent="0.25">
      <c r="A537" s="11">
        <v>45621.958310185182</v>
      </c>
      <c r="B537" s="10" t="s">
        <v>56</v>
      </c>
      <c r="C537" s="10" t="s">
        <v>1106</v>
      </c>
      <c r="D537" s="10" t="s">
        <v>1107</v>
      </c>
      <c r="E537" s="10">
        <v>184</v>
      </c>
      <c r="F537" s="10" t="s">
        <v>34</v>
      </c>
      <c r="G537" s="10">
        <v>26</v>
      </c>
      <c r="H537" s="10">
        <v>59.6</v>
      </c>
      <c r="I537" s="10" t="s">
        <v>26</v>
      </c>
      <c r="J537" s="10">
        <v>34</v>
      </c>
      <c r="K537" s="10">
        <v>235</v>
      </c>
      <c r="L537" s="10">
        <v>6</v>
      </c>
      <c r="M537" s="10" t="s">
        <v>51</v>
      </c>
      <c r="N537" s="10">
        <v>66.7</v>
      </c>
      <c r="O537" s="10">
        <v>299</v>
      </c>
      <c r="P537" s="10">
        <v>1</v>
      </c>
      <c r="Q537" s="10" t="str">
        <f>+IF(Tabla2[[#This Row],[Demand_Forecast]]&lt;= 125,"Low demand",IF(Tabla2[[#This Row],[Demand_Forecast]] &gt;=285,"High demand","Mid demand"))</f>
        <v>High demand</v>
      </c>
    </row>
    <row r="538" spans="1:17" x14ac:dyDescent="0.25">
      <c r="A538" s="11">
        <v>45442.653298611112</v>
      </c>
      <c r="B538" s="10" t="s">
        <v>41</v>
      </c>
      <c r="C538" s="10" t="s">
        <v>1108</v>
      </c>
      <c r="D538" s="10" t="s">
        <v>1109</v>
      </c>
      <c r="E538" s="10">
        <v>298</v>
      </c>
      <c r="F538" s="10" t="s">
        <v>34</v>
      </c>
      <c r="G538" s="10">
        <v>18.899999999999999</v>
      </c>
      <c r="H538" s="10">
        <v>65.900000000000006</v>
      </c>
      <c r="I538" s="10" t="s">
        <v>20</v>
      </c>
      <c r="J538" s="10">
        <v>41</v>
      </c>
      <c r="K538" s="10">
        <v>269</v>
      </c>
      <c r="L538" s="10">
        <v>2</v>
      </c>
      <c r="M538" s="10" t="s">
        <v>21</v>
      </c>
      <c r="N538" s="10">
        <v>64.8</v>
      </c>
      <c r="O538" s="10">
        <v>234</v>
      </c>
      <c r="P538" s="10">
        <v>0</v>
      </c>
      <c r="Q538" s="10" t="str">
        <f>+IF(Tabla2[[#This Row],[Demand_Forecast]]&lt;= 125,"Low demand",IF(Tabla2[[#This Row],[Demand_Forecast]] &gt;=285,"High demand","Mid demand"))</f>
        <v>Mid demand</v>
      </c>
    </row>
    <row r="539" spans="1:17" x14ac:dyDescent="0.25">
      <c r="A539" s="11">
        <v>45356.874444444446</v>
      </c>
      <c r="B539" s="10" t="s">
        <v>61</v>
      </c>
      <c r="C539" s="10" t="s">
        <v>1110</v>
      </c>
      <c r="D539" s="10" t="s">
        <v>1111</v>
      </c>
      <c r="E539" s="10">
        <v>439</v>
      </c>
      <c r="F539" s="10" t="s">
        <v>19</v>
      </c>
      <c r="G539" s="10">
        <v>25.1</v>
      </c>
      <c r="H539" s="10">
        <v>66.099999999999994</v>
      </c>
      <c r="I539" s="10" t="s">
        <v>38</v>
      </c>
      <c r="J539" s="10">
        <v>46</v>
      </c>
      <c r="K539" s="10">
        <v>151</v>
      </c>
      <c r="L539" s="10">
        <v>4</v>
      </c>
      <c r="M539" s="10" t="s">
        <v>21</v>
      </c>
      <c r="N539" s="10">
        <v>79.2</v>
      </c>
      <c r="O539" s="10">
        <v>209</v>
      </c>
      <c r="P539" s="10">
        <v>1</v>
      </c>
      <c r="Q539" s="10" t="str">
        <f>+IF(Tabla2[[#This Row],[Demand_Forecast]]&lt;= 125,"Low demand",IF(Tabla2[[#This Row],[Demand_Forecast]] &gt;=285,"High demand","Mid demand"))</f>
        <v>Mid demand</v>
      </c>
    </row>
    <row r="540" spans="1:17" x14ac:dyDescent="0.25">
      <c r="A540" s="11">
        <v>45524.645879629628</v>
      </c>
      <c r="B540" s="10" t="s">
        <v>61</v>
      </c>
      <c r="C540" s="10" t="s">
        <v>1112</v>
      </c>
      <c r="D540" s="10" t="s">
        <v>1113</v>
      </c>
      <c r="E540" s="10">
        <v>142</v>
      </c>
      <c r="F540" s="10" t="s">
        <v>19</v>
      </c>
      <c r="G540" s="10">
        <v>28</v>
      </c>
      <c r="H540" s="10">
        <v>67.2</v>
      </c>
      <c r="I540" s="10" t="s">
        <v>26</v>
      </c>
      <c r="J540" s="10">
        <v>49</v>
      </c>
      <c r="K540" s="10">
        <v>458</v>
      </c>
      <c r="L540" s="10">
        <v>8</v>
      </c>
      <c r="M540" s="10" t="s">
        <v>35</v>
      </c>
      <c r="N540" s="10">
        <v>92.5</v>
      </c>
      <c r="O540" s="10">
        <v>224</v>
      </c>
      <c r="P540" s="10">
        <v>1</v>
      </c>
      <c r="Q540" s="10" t="str">
        <f>+IF(Tabla2[[#This Row],[Demand_Forecast]]&lt;= 125,"Low demand",IF(Tabla2[[#This Row],[Demand_Forecast]] &gt;=285,"High demand","Mid demand"))</f>
        <v>Mid demand</v>
      </c>
    </row>
    <row r="541" spans="1:17" x14ac:dyDescent="0.25">
      <c r="A541" s="11">
        <v>45554.513298611113</v>
      </c>
      <c r="B541" s="10" t="s">
        <v>22</v>
      </c>
      <c r="C541" s="10" t="s">
        <v>1114</v>
      </c>
      <c r="D541" s="10" t="s">
        <v>1115</v>
      </c>
      <c r="E541" s="10">
        <v>202</v>
      </c>
      <c r="F541" s="10" t="s">
        <v>34</v>
      </c>
      <c r="G541" s="10">
        <v>18.5</v>
      </c>
      <c r="H541" s="10">
        <v>69.5</v>
      </c>
      <c r="I541" s="10" t="s">
        <v>26</v>
      </c>
      <c r="J541" s="10">
        <v>54</v>
      </c>
      <c r="K541" s="10">
        <v>261</v>
      </c>
      <c r="L541" s="10">
        <v>3</v>
      </c>
      <c r="M541" s="10" t="s">
        <v>21</v>
      </c>
      <c r="N541" s="10">
        <v>62.5</v>
      </c>
      <c r="O541" s="10">
        <v>213</v>
      </c>
      <c r="P541" s="10">
        <v>1</v>
      </c>
      <c r="Q541" s="10" t="str">
        <f>+IF(Tabla2[[#This Row],[Demand_Forecast]]&lt;= 125,"Low demand",IF(Tabla2[[#This Row],[Demand_Forecast]] &gt;=285,"High demand","Mid demand"))</f>
        <v>Mid demand</v>
      </c>
    </row>
    <row r="542" spans="1:17" x14ac:dyDescent="0.25">
      <c r="A542" s="11">
        <v>45353.65121527778</v>
      </c>
      <c r="B542" s="10" t="s">
        <v>61</v>
      </c>
      <c r="C542" s="10" t="s">
        <v>1116</v>
      </c>
      <c r="D542" s="10" t="s">
        <v>1117</v>
      </c>
      <c r="E542" s="10">
        <v>418</v>
      </c>
      <c r="F542" s="10" t="s">
        <v>19</v>
      </c>
      <c r="G542" s="10">
        <v>29.6</v>
      </c>
      <c r="H542" s="10">
        <v>67.400000000000006</v>
      </c>
      <c r="I542" s="10" t="s">
        <v>26</v>
      </c>
      <c r="J542" s="10">
        <v>54</v>
      </c>
      <c r="K542" s="10">
        <v>199</v>
      </c>
      <c r="L542" s="10">
        <v>9</v>
      </c>
      <c r="M542" s="10" t="s">
        <v>35</v>
      </c>
      <c r="N542" s="10">
        <v>99.9</v>
      </c>
      <c r="O542" s="10">
        <v>215</v>
      </c>
      <c r="P542" s="10">
        <v>1</v>
      </c>
      <c r="Q542" s="10" t="str">
        <f>+IF(Tabla2[[#This Row],[Demand_Forecast]]&lt;= 125,"Low demand",IF(Tabla2[[#This Row],[Demand_Forecast]] &gt;=285,"High demand","Mid demand"))</f>
        <v>Mid demand</v>
      </c>
    </row>
    <row r="543" spans="1:17" x14ac:dyDescent="0.25">
      <c r="A543" s="11">
        <v>45346.959780092591</v>
      </c>
      <c r="B543" s="10" t="s">
        <v>41</v>
      </c>
      <c r="C543" s="10" t="s">
        <v>1118</v>
      </c>
      <c r="D543" s="10" t="s">
        <v>1119</v>
      </c>
      <c r="E543" s="10">
        <v>458</v>
      </c>
      <c r="F543" s="10" t="s">
        <v>19</v>
      </c>
      <c r="G543" s="10">
        <v>23.3</v>
      </c>
      <c r="H543" s="10">
        <v>58.6</v>
      </c>
      <c r="I543" s="10" t="s">
        <v>26</v>
      </c>
      <c r="J543" s="10">
        <v>43</v>
      </c>
      <c r="K543" s="10">
        <v>372</v>
      </c>
      <c r="L543" s="10">
        <v>10</v>
      </c>
      <c r="M543" s="10" t="s">
        <v>51</v>
      </c>
      <c r="N543" s="10">
        <v>92.9</v>
      </c>
      <c r="O543" s="10">
        <v>262</v>
      </c>
      <c r="P543" s="10">
        <v>1</v>
      </c>
      <c r="Q543" s="10" t="str">
        <f>+IF(Tabla2[[#This Row],[Demand_Forecast]]&lt;= 125,"Low demand",IF(Tabla2[[#This Row],[Demand_Forecast]] &gt;=285,"High demand","Mid demand"))</f>
        <v>Mid demand</v>
      </c>
    </row>
    <row r="544" spans="1:17" x14ac:dyDescent="0.25">
      <c r="A544" s="11">
        <v>45356.472650462965</v>
      </c>
      <c r="B544" s="10" t="s">
        <v>56</v>
      </c>
      <c r="C544" s="10" t="s">
        <v>1120</v>
      </c>
      <c r="D544" s="10" t="s">
        <v>1121</v>
      </c>
      <c r="E544" s="10">
        <v>313</v>
      </c>
      <c r="F544" s="10" t="s">
        <v>25</v>
      </c>
      <c r="G544" s="10">
        <v>18.7</v>
      </c>
      <c r="H544" s="10">
        <v>74.7</v>
      </c>
      <c r="I544" s="10" t="s">
        <v>26</v>
      </c>
      <c r="J544" s="10">
        <v>16</v>
      </c>
      <c r="K544" s="10">
        <v>284</v>
      </c>
      <c r="L544" s="10">
        <v>3</v>
      </c>
      <c r="M544" s="10" t="s">
        <v>51</v>
      </c>
      <c r="N544" s="10">
        <v>69</v>
      </c>
      <c r="O544" s="10">
        <v>105</v>
      </c>
      <c r="P544" s="10">
        <v>1</v>
      </c>
      <c r="Q544" s="10" t="str">
        <f>+IF(Tabla2[[#This Row],[Demand_Forecast]]&lt;= 125,"Low demand",IF(Tabla2[[#This Row],[Demand_Forecast]] &gt;=285,"High demand","Mid demand"))</f>
        <v>Low demand</v>
      </c>
    </row>
    <row r="545" spans="1:17" x14ac:dyDescent="0.25">
      <c r="A545" s="11">
        <v>45355.982534722221</v>
      </c>
      <c r="B545" s="10" t="s">
        <v>31</v>
      </c>
      <c r="C545" s="10" t="s">
        <v>1122</v>
      </c>
      <c r="D545" s="10" t="s">
        <v>1123</v>
      </c>
      <c r="E545" s="10">
        <v>457</v>
      </c>
      <c r="F545" s="10" t="s">
        <v>19</v>
      </c>
      <c r="G545" s="10">
        <v>18.2</v>
      </c>
      <c r="H545" s="10">
        <v>62.6</v>
      </c>
      <c r="I545" s="10" t="s">
        <v>20</v>
      </c>
      <c r="J545" s="10">
        <v>18</v>
      </c>
      <c r="K545" s="10">
        <v>217</v>
      </c>
      <c r="L545" s="10">
        <v>9</v>
      </c>
      <c r="M545" s="10" t="s">
        <v>21</v>
      </c>
      <c r="N545" s="10">
        <v>97.8</v>
      </c>
      <c r="O545" s="10">
        <v>199</v>
      </c>
      <c r="P545" s="10">
        <v>1</v>
      </c>
      <c r="Q545" s="10" t="str">
        <f>+IF(Tabla2[[#This Row],[Demand_Forecast]]&lt;= 125,"Low demand",IF(Tabla2[[#This Row],[Demand_Forecast]] &gt;=285,"High demand","Mid demand"))</f>
        <v>Mid demand</v>
      </c>
    </row>
    <row r="546" spans="1:17" x14ac:dyDescent="0.25">
      <c r="A546" s="11">
        <v>45473.190266203703</v>
      </c>
      <c r="B546" s="10" t="s">
        <v>48</v>
      </c>
      <c r="C546" s="10" t="s">
        <v>1124</v>
      </c>
      <c r="D546" s="10" t="s">
        <v>1125</v>
      </c>
      <c r="E546" s="10">
        <v>298</v>
      </c>
      <c r="F546" s="10" t="s">
        <v>34</v>
      </c>
      <c r="G546" s="10">
        <v>27.8</v>
      </c>
      <c r="H546" s="10">
        <v>76.900000000000006</v>
      </c>
      <c r="I546" s="10" t="s">
        <v>26</v>
      </c>
      <c r="J546" s="10">
        <v>18</v>
      </c>
      <c r="K546" s="10">
        <v>414</v>
      </c>
      <c r="L546" s="10">
        <v>5</v>
      </c>
      <c r="M546" s="10" t="s">
        <v>21</v>
      </c>
      <c r="N546" s="10">
        <v>72.2</v>
      </c>
      <c r="O546" s="10">
        <v>164</v>
      </c>
      <c r="P546" s="10">
        <v>1</v>
      </c>
      <c r="Q546" s="10" t="str">
        <f>+IF(Tabla2[[#This Row],[Demand_Forecast]]&lt;= 125,"Low demand",IF(Tabla2[[#This Row],[Demand_Forecast]] &gt;=285,"High demand","Mid demand"))</f>
        <v>Mid demand</v>
      </c>
    </row>
    <row r="547" spans="1:17" x14ac:dyDescent="0.25">
      <c r="A547" s="11">
        <v>45628.430393518516</v>
      </c>
      <c r="B547" s="10" t="s">
        <v>41</v>
      </c>
      <c r="C547" s="10" t="s">
        <v>1126</v>
      </c>
      <c r="D547" s="10" t="s">
        <v>1127</v>
      </c>
      <c r="E547" s="10">
        <v>106</v>
      </c>
      <c r="F547" s="10" t="s">
        <v>19</v>
      </c>
      <c r="G547" s="10">
        <v>23.7</v>
      </c>
      <c r="H547" s="10">
        <v>74.7</v>
      </c>
      <c r="I547" s="10" t="s">
        <v>26</v>
      </c>
      <c r="J547" s="10">
        <v>14</v>
      </c>
      <c r="K547" s="10">
        <v>442</v>
      </c>
      <c r="L547" s="10">
        <v>4</v>
      </c>
      <c r="M547" s="10" t="s">
        <v>51</v>
      </c>
      <c r="N547" s="10">
        <v>83.6</v>
      </c>
      <c r="O547" s="10">
        <v>276</v>
      </c>
      <c r="P547" s="10">
        <v>1</v>
      </c>
      <c r="Q547" s="10" t="str">
        <f>+IF(Tabla2[[#This Row],[Demand_Forecast]]&lt;= 125,"Low demand",IF(Tabla2[[#This Row],[Demand_Forecast]] &gt;=285,"High demand","Mid demand"))</f>
        <v>Mid demand</v>
      </c>
    </row>
    <row r="548" spans="1:17" x14ac:dyDescent="0.25">
      <c r="A548" s="11">
        <v>45518.460613425923</v>
      </c>
      <c r="B548" s="10" t="s">
        <v>22</v>
      </c>
      <c r="C548" s="10" t="s">
        <v>1128</v>
      </c>
      <c r="D548" s="10" t="s">
        <v>1129</v>
      </c>
      <c r="E548" s="10">
        <v>293</v>
      </c>
      <c r="F548" s="10" t="s">
        <v>34</v>
      </c>
      <c r="G548" s="10">
        <v>28.5</v>
      </c>
      <c r="H548" s="10">
        <v>59.3</v>
      </c>
      <c r="I548" s="10" t="s">
        <v>38</v>
      </c>
      <c r="J548" s="10">
        <v>50</v>
      </c>
      <c r="K548" s="10">
        <v>168</v>
      </c>
      <c r="L548" s="10">
        <v>4</v>
      </c>
      <c r="M548" s="10" t="s">
        <v>27</v>
      </c>
      <c r="N548" s="10">
        <v>67.2</v>
      </c>
      <c r="O548" s="10">
        <v>199</v>
      </c>
      <c r="P548" s="10">
        <v>0</v>
      </c>
      <c r="Q548" s="10" t="str">
        <f>+IF(Tabla2[[#This Row],[Demand_Forecast]]&lt;= 125,"Low demand",IF(Tabla2[[#This Row],[Demand_Forecast]] &gt;=285,"High demand","Mid demand"))</f>
        <v>Mid demand</v>
      </c>
    </row>
    <row r="549" spans="1:17" x14ac:dyDescent="0.25">
      <c r="A549" s="11">
        <v>45548.132974537039</v>
      </c>
      <c r="B549" s="10" t="s">
        <v>31</v>
      </c>
      <c r="C549" s="10" t="s">
        <v>1130</v>
      </c>
      <c r="D549" s="10" t="s">
        <v>1131</v>
      </c>
      <c r="E549" s="10">
        <v>301</v>
      </c>
      <c r="F549" s="10" t="s">
        <v>19</v>
      </c>
      <c r="G549" s="10">
        <v>19.2</v>
      </c>
      <c r="H549" s="10">
        <v>57.6</v>
      </c>
      <c r="I549" s="10" t="s">
        <v>26</v>
      </c>
      <c r="J549" s="10">
        <v>16</v>
      </c>
      <c r="K549" s="10">
        <v>256</v>
      </c>
      <c r="L549" s="10">
        <v>6</v>
      </c>
      <c r="M549" s="10" t="s">
        <v>21</v>
      </c>
      <c r="N549" s="10">
        <v>65.400000000000006</v>
      </c>
      <c r="O549" s="10">
        <v>148</v>
      </c>
      <c r="P549" s="10">
        <v>1</v>
      </c>
      <c r="Q549" s="10" t="str">
        <f>+IF(Tabla2[[#This Row],[Demand_Forecast]]&lt;= 125,"Low demand",IF(Tabla2[[#This Row],[Demand_Forecast]] &gt;=285,"High demand","Mid demand"))</f>
        <v>Mid demand</v>
      </c>
    </row>
    <row r="550" spans="1:17" x14ac:dyDescent="0.25">
      <c r="A550" s="11">
        <v>45655.765266203707</v>
      </c>
      <c r="B550" s="10" t="s">
        <v>95</v>
      </c>
      <c r="C550" s="10" t="s">
        <v>1132</v>
      </c>
      <c r="D550" s="10" t="s">
        <v>1133</v>
      </c>
      <c r="E550" s="10">
        <v>287</v>
      </c>
      <c r="F550" s="10" t="s">
        <v>25</v>
      </c>
      <c r="G550" s="10">
        <v>25.2</v>
      </c>
      <c r="H550" s="10">
        <v>51.8</v>
      </c>
      <c r="I550" s="10" t="s">
        <v>20</v>
      </c>
      <c r="J550" s="10">
        <v>34</v>
      </c>
      <c r="K550" s="10">
        <v>399</v>
      </c>
      <c r="L550" s="10">
        <v>2</v>
      </c>
      <c r="M550" s="10" t="s">
        <v>51</v>
      </c>
      <c r="N550" s="10">
        <v>85</v>
      </c>
      <c r="O550" s="10">
        <v>124</v>
      </c>
      <c r="P550" s="10">
        <v>0</v>
      </c>
      <c r="Q550" s="10" t="str">
        <f>+IF(Tabla2[[#This Row],[Demand_Forecast]]&lt;= 125,"Low demand",IF(Tabla2[[#This Row],[Demand_Forecast]] &gt;=285,"High demand","Mid demand"))</f>
        <v>Low demand</v>
      </c>
    </row>
    <row r="551" spans="1:17" x14ac:dyDescent="0.25">
      <c r="A551" s="11">
        <v>45615.578645833331</v>
      </c>
      <c r="B551" s="10" t="s">
        <v>64</v>
      </c>
      <c r="C551" s="10" t="s">
        <v>1134</v>
      </c>
      <c r="D551" s="10" t="s">
        <v>1135</v>
      </c>
      <c r="E551" s="10">
        <v>237</v>
      </c>
      <c r="F551" s="10" t="s">
        <v>25</v>
      </c>
      <c r="G551" s="10">
        <v>23.4</v>
      </c>
      <c r="H551" s="10">
        <v>53.3</v>
      </c>
      <c r="I551" s="10" t="s">
        <v>20</v>
      </c>
      <c r="J551" s="10">
        <v>38</v>
      </c>
      <c r="K551" s="10">
        <v>109</v>
      </c>
      <c r="L551" s="10">
        <v>2</v>
      </c>
      <c r="M551" s="10" t="s">
        <v>51</v>
      </c>
      <c r="N551" s="10">
        <v>87.9</v>
      </c>
      <c r="O551" s="10">
        <v>157</v>
      </c>
      <c r="P551" s="10">
        <v>0</v>
      </c>
      <c r="Q551" s="10" t="str">
        <f>+IF(Tabla2[[#This Row],[Demand_Forecast]]&lt;= 125,"Low demand",IF(Tabla2[[#This Row],[Demand_Forecast]] &gt;=285,"High demand","Mid demand"))</f>
        <v>Mid demand</v>
      </c>
    </row>
    <row r="552" spans="1:17" x14ac:dyDescent="0.25">
      <c r="A552" s="11">
        <v>45439.309872685182</v>
      </c>
      <c r="B552" s="10" t="s">
        <v>95</v>
      </c>
      <c r="C552" s="10" t="s">
        <v>1136</v>
      </c>
      <c r="D552" s="10" t="s">
        <v>1137</v>
      </c>
      <c r="E552" s="10">
        <v>258</v>
      </c>
      <c r="F552" s="10" t="s">
        <v>25</v>
      </c>
      <c r="G552" s="10">
        <v>25.2</v>
      </c>
      <c r="H552" s="10">
        <v>67.599999999999994</v>
      </c>
      <c r="I552" s="10" t="s">
        <v>38</v>
      </c>
      <c r="J552" s="10">
        <v>32</v>
      </c>
      <c r="K552" s="10">
        <v>484</v>
      </c>
      <c r="L552" s="10">
        <v>7</v>
      </c>
      <c r="M552" s="10" t="s">
        <v>35</v>
      </c>
      <c r="N552" s="10">
        <v>98.8</v>
      </c>
      <c r="O552" s="10">
        <v>191</v>
      </c>
      <c r="P552" s="10">
        <v>0</v>
      </c>
      <c r="Q552" s="10" t="str">
        <f>+IF(Tabla2[[#This Row],[Demand_Forecast]]&lt;= 125,"Low demand",IF(Tabla2[[#This Row],[Demand_Forecast]] &gt;=285,"High demand","Mid demand"))</f>
        <v>Mid demand</v>
      </c>
    </row>
    <row r="553" spans="1:17" x14ac:dyDescent="0.25">
      <c r="A553" s="11">
        <v>45615.835532407407</v>
      </c>
      <c r="B553" s="10" t="s">
        <v>61</v>
      </c>
      <c r="C553" s="10" t="s">
        <v>1138</v>
      </c>
      <c r="D553" s="10" t="s">
        <v>1139</v>
      </c>
      <c r="E553" s="10">
        <v>480</v>
      </c>
      <c r="F553" s="10" t="s">
        <v>25</v>
      </c>
      <c r="G553" s="10">
        <v>27.1</v>
      </c>
      <c r="H553" s="10">
        <v>76.3</v>
      </c>
      <c r="I553" s="10" t="s">
        <v>26</v>
      </c>
      <c r="J553" s="10">
        <v>22</v>
      </c>
      <c r="K553" s="10">
        <v>497</v>
      </c>
      <c r="L553" s="10">
        <v>9</v>
      </c>
      <c r="M553" s="10" t="s">
        <v>35</v>
      </c>
      <c r="N553" s="10">
        <v>74.900000000000006</v>
      </c>
      <c r="O553" s="10">
        <v>183</v>
      </c>
      <c r="P553" s="10">
        <v>1</v>
      </c>
      <c r="Q553" s="10" t="str">
        <f>+IF(Tabla2[[#This Row],[Demand_Forecast]]&lt;= 125,"Low demand",IF(Tabla2[[#This Row],[Demand_Forecast]] &gt;=285,"High demand","Mid demand"))</f>
        <v>Mid demand</v>
      </c>
    </row>
    <row r="554" spans="1:17" x14ac:dyDescent="0.25">
      <c r="A554" s="11">
        <v>45553.961388888885</v>
      </c>
      <c r="B554" s="10" t="s">
        <v>56</v>
      </c>
      <c r="C554" s="10" t="s">
        <v>1140</v>
      </c>
      <c r="D554" s="10" t="s">
        <v>1141</v>
      </c>
      <c r="E554" s="10">
        <v>441</v>
      </c>
      <c r="F554" s="10" t="s">
        <v>25</v>
      </c>
      <c r="G554" s="10">
        <v>22.6</v>
      </c>
      <c r="H554" s="10">
        <v>53.3</v>
      </c>
      <c r="I554" s="10" t="s">
        <v>38</v>
      </c>
      <c r="J554" s="10">
        <v>29</v>
      </c>
      <c r="K554" s="10">
        <v>343</v>
      </c>
      <c r="L554" s="10">
        <v>3</v>
      </c>
      <c r="M554" s="10" t="s">
        <v>51</v>
      </c>
      <c r="N554" s="10">
        <v>86.5</v>
      </c>
      <c r="O554" s="10">
        <v>172</v>
      </c>
      <c r="P554" s="10">
        <v>0</v>
      </c>
      <c r="Q554" s="10" t="str">
        <f>+IF(Tabla2[[#This Row],[Demand_Forecast]]&lt;= 125,"Low demand",IF(Tabla2[[#This Row],[Demand_Forecast]] &gt;=285,"High demand","Mid demand"))</f>
        <v>Mid demand</v>
      </c>
    </row>
    <row r="555" spans="1:17" x14ac:dyDescent="0.25">
      <c r="A555" s="11">
        <v>45642.095138888886</v>
      </c>
      <c r="B555" s="10" t="s">
        <v>22</v>
      </c>
      <c r="C555" s="10" t="s">
        <v>1142</v>
      </c>
      <c r="D555" s="10" t="s">
        <v>1143</v>
      </c>
      <c r="E555" s="10">
        <v>346</v>
      </c>
      <c r="F555" s="10" t="s">
        <v>25</v>
      </c>
      <c r="G555" s="10">
        <v>21.6</v>
      </c>
      <c r="H555" s="10">
        <v>65.2</v>
      </c>
      <c r="I555" s="10" t="s">
        <v>38</v>
      </c>
      <c r="J555" s="10">
        <v>43</v>
      </c>
      <c r="K555" s="10">
        <v>402</v>
      </c>
      <c r="L555" s="10">
        <v>8</v>
      </c>
      <c r="M555" s="10" t="s">
        <v>35</v>
      </c>
      <c r="N555" s="10">
        <v>96.4</v>
      </c>
      <c r="O555" s="10">
        <v>157</v>
      </c>
      <c r="P555" s="10">
        <v>0</v>
      </c>
      <c r="Q555" s="10" t="str">
        <f>+IF(Tabla2[[#This Row],[Demand_Forecast]]&lt;= 125,"Low demand",IF(Tabla2[[#This Row],[Demand_Forecast]] &gt;=285,"High demand","Mid demand"))</f>
        <v>Mid demand</v>
      </c>
    </row>
    <row r="556" spans="1:17" x14ac:dyDescent="0.25">
      <c r="A556" s="11">
        <v>45564.792372685188</v>
      </c>
      <c r="B556" s="10" t="s">
        <v>48</v>
      </c>
      <c r="C556" s="10" t="s">
        <v>1144</v>
      </c>
      <c r="D556" s="10" t="s">
        <v>1145</v>
      </c>
      <c r="E556" s="10">
        <v>205</v>
      </c>
      <c r="F556" s="10" t="s">
        <v>25</v>
      </c>
      <c r="G556" s="10">
        <v>23.6</v>
      </c>
      <c r="H556" s="10">
        <v>76.2</v>
      </c>
      <c r="I556" s="10" t="s">
        <v>26</v>
      </c>
      <c r="J556" s="10">
        <v>41</v>
      </c>
      <c r="K556" s="10">
        <v>324</v>
      </c>
      <c r="L556" s="10">
        <v>2</v>
      </c>
      <c r="M556" s="10" t="s">
        <v>21</v>
      </c>
      <c r="N556" s="10">
        <v>73.8</v>
      </c>
      <c r="O556" s="10">
        <v>153</v>
      </c>
      <c r="P556" s="10">
        <v>1</v>
      </c>
      <c r="Q556" s="10" t="str">
        <f>+IF(Tabla2[[#This Row],[Demand_Forecast]]&lt;= 125,"Low demand",IF(Tabla2[[#This Row],[Demand_Forecast]] &gt;=285,"High demand","Mid demand"))</f>
        <v>Mid demand</v>
      </c>
    </row>
    <row r="557" spans="1:17" x14ac:dyDescent="0.25">
      <c r="A557" s="11">
        <v>45380.057858796295</v>
      </c>
      <c r="B557" s="10" t="s">
        <v>48</v>
      </c>
      <c r="C557" s="10" t="s">
        <v>1146</v>
      </c>
      <c r="D557" s="10" t="s">
        <v>1147</v>
      </c>
      <c r="E557" s="10">
        <v>477</v>
      </c>
      <c r="F557" s="10" t="s">
        <v>19</v>
      </c>
      <c r="G557" s="10">
        <v>25.1</v>
      </c>
      <c r="H557" s="10">
        <v>50.3</v>
      </c>
      <c r="I557" s="10" t="s">
        <v>20</v>
      </c>
      <c r="J557" s="10">
        <v>32</v>
      </c>
      <c r="K557" s="10">
        <v>297</v>
      </c>
      <c r="L557" s="10">
        <v>7</v>
      </c>
      <c r="M557" s="10" t="s">
        <v>35</v>
      </c>
      <c r="N557" s="10">
        <v>96.4</v>
      </c>
      <c r="O557" s="10">
        <v>212</v>
      </c>
      <c r="P557" s="10">
        <v>1</v>
      </c>
      <c r="Q557" s="10" t="str">
        <f>+IF(Tabla2[[#This Row],[Demand_Forecast]]&lt;= 125,"Low demand",IF(Tabla2[[#This Row],[Demand_Forecast]] &gt;=285,"High demand","Mid demand"))</f>
        <v>Mid demand</v>
      </c>
    </row>
    <row r="558" spans="1:17" x14ac:dyDescent="0.25">
      <c r="A558" s="11">
        <v>45499.423310185186</v>
      </c>
      <c r="B558" s="10" t="s">
        <v>31</v>
      </c>
      <c r="C558" s="10" t="s">
        <v>1148</v>
      </c>
      <c r="D558" s="10" t="s">
        <v>1149</v>
      </c>
      <c r="E558" s="10">
        <v>355</v>
      </c>
      <c r="F558" s="10" t="s">
        <v>19</v>
      </c>
      <c r="G558" s="10">
        <v>19.8</v>
      </c>
      <c r="H558" s="10">
        <v>60.9</v>
      </c>
      <c r="I558" s="10" t="s">
        <v>38</v>
      </c>
      <c r="J558" s="10">
        <v>24</v>
      </c>
      <c r="K558" s="10">
        <v>226</v>
      </c>
      <c r="L558" s="10">
        <v>9</v>
      </c>
      <c r="M558" s="10" t="s">
        <v>27</v>
      </c>
      <c r="N558" s="10">
        <v>62.8</v>
      </c>
      <c r="O558" s="10">
        <v>243</v>
      </c>
      <c r="P558" s="10">
        <v>1</v>
      </c>
      <c r="Q558" s="10" t="str">
        <f>+IF(Tabla2[[#This Row],[Demand_Forecast]]&lt;= 125,"Low demand",IF(Tabla2[[#This Row],[Demand_Forecast]] &gt;=285,"High demand","Mid demand"))</f>
        <v>Mid demand</v>
      </c>
    </row>
    <row r="559" spans="1:17" x14ac:dyDescent="0.25">
      <c r="A559" s="11">
        <v>45645.441921296297</v>
      </c>
      <c r="B559" s="10" t="s">
        <v>41</v>
      </c>
      <c r="C559" s="10" t="s">
        <v>1150</v>
      </c>
      <c r="D559" s="10" t="s">
        <v>1151</v>
      </c>
      <c r="E559" s="10">
        <v>148</v>
      </c>
      <c r="F559" s="10" t="s">
        <v>34</v>
      </c>
      <c r="G559" s="10">
        <v>23.3</v>
      </c>
      <c r="H559" s="10">
        <v>59.1</v>
      </c>
      <c r="I559" s="10" t="s">
        <v>20</v>
      </c>
      <c r="J559" s="10">
        <v>53</v>
      </c>
      <c r="K559" s="10">
        <v>161</v>
      </c>
      <c r="L559" s="10">
        <v>10</v>
      </c>
      <c r="M559" s="10" t="s">
        <v>27</v>
      </c>
      <c r="N559" s="10">
        <v>65.7</v>
      </c>
      <c r="O559" s="10">
        <v>189</v>
      </c>
      <c r="P559" s="10">
        <v>0</v>
      </c>
      <c r="Q559" s="10" t="str">
        <f>+IF(Tabla2[[#This Row],[Demand_Forecast]]&lt;= 125,"Low demand",IF(Tabla2[[#This Row],[Demand_Forecast]] &gt;=285,"High demand","Mid demand"))</f>
        <v>Mid demand</v>
      </c>
    </row>
    <row r="560" spans="1:17" x14ac:dyDescent="0.25">
      <c r="A560" s="11">
        <v>45457.43787037037</v>
      </c>
      <c r="B560" s="10" t="s">
        <v>22</v>
      </c>
      <c r="C560" s="10" t="s">
        <v>1152</v>
      </c>
      <c r="D560" s="10" t="s">
        <v>1153</v>
      </c>
      <c r="E560" s="10">
        <v>190</v>
      </c>
      <c r="F560" s="10" t="s">
        <v>19</v>
      </c>
      <c r="G560" s="10">
        <v>27.8</v>
      </c>
      <c r="H560" s="10">
        <v>62.2</v>
      </c>
      <c r="I560" s="10" t="s">
        <v>20</v>
      </c>
      <c r="J560" s="10">
        <v>41</v>
      </c>
      <c r="K560" s="10">
        <v>238</v>
      </c>
      <c r="L560" s="10">
        <v>2</v>
      </c>
      <c r="M560" s="10" t="s">
        <v>21</v>
      </c>
      <c r="N560" s="10">
        <v>90.2</v>
      </c>
      <c r="O560" s="10">
        <v>122</v>
      </c>
      <c r="P560" s="10">
        <v>1</v>
      </c>
      <c r="Q560" s="10" t="str">
        <f>+IF(Tabla2[[#This Row],[Demand_Forecast]]&lt;= 125,"Low demand",IF(Tabla2[[#This Row],[Demand_Forecast]] &gt;=285,"High demand","Mid demand"))</f>
        <v>Low demand</v>
      </c>
    </row>
    <row r="561" spans="1:17" x14ac:dyDescent="0.25">
      <c r="A561" s="11">
        <v>45297.224293981482</v>
      </c>
      <c r="B561" s="10" t="s">
        <v>28</v>
      </c>
      <c r="C561" s="10" t="s">
        <v>1154</v>
      </c>
      <c r="D561" s="10" t="s">
        <v>1155</v>
      </c>
      <c r="E561" s="10">
        <v>356</v>
      </c>
      <c r="F561" s="10" t="s">
        <v>19</v>
      </c>
      <c r="G561" s="10">
        <v>24.8</v>
      </c>
      <c r="H561" s="10">
        <v>70</v>
      </c>
      <c r="I561" s="10" t="s">
        <v>20</v>
      </c>
      <c r="J561" s="10">
        <v>37</v>
      </c>
      <c r="K561" s="10">
        <v>345</v>
      </c>
      <c r="L561" s="10">
        <v>3</v>
      </c>
      <c r="M561" s="10" t="s">
        <v>35</v>
      </c>
      <c r="N561" s="10">
        <v>84</v>
      </c>
      <c r="O561" s="10">
        <v>245</v>
      </c>
      <c r="P561" s="10">
        <v>1</v>
      </c>
      <c r="Q561" s="10" t="str">
        <f>+IF(Tabla2[[#This Row],[Demand_Forecast]]&lt;= 125,"Low demand",IF(Tabla2[[#This Row],[Demand_Forecast]] &gt;=285,"High demand","Mid demand"))</f>
        <v>Mid demand</v>
      </c>
    </row>
    <row r="562" spans="1:17" x14ac:dyDescent="0.25">
      <c r="A562" s="11">
        <v>45552.747557870367</v>
      </c>
      <c r="B562" s="10" t="s">
        <v>48</v>
      </c>
      <c r="C562" s="10" t="s">
        <v>1156</v>
      </c>
      <c r="D562" s="10" t="s">
        <v>1157</v>
      </c>
      <c r="E562" s="10">
        <v>228</v>
      </c>
      <c r="F562" s="10" t="s">
        <v>34</v>
      </c>
      <c r="G562" s="10">
        <v>18.3</v>
      </c>
      <c r="H562" s="10">
        <v>52.3</v>
      </c>
      <c r="I562" s="10" t="s">
        <v>38</v>
      </c>
      <c r="J562" s="10">
        <v>57</v>
      </c>
      <c r="K562" s="10">
        <v>350</v>
      </c>
      <c r="L562" s="10">
        <v>3</v>
      </c>
      <c r="M562" s="10" t="s">
        <v>35</v>
      </c>
      <c r="N562" s="10">
        <v>76.5</v>
      </c>
      <c r="O562" s="10">
        <v>285</v>
      </c>
      <c r="P562" s="10">
        <v>0</v>
      </c>
      <c r="Q562" s="10" t="str">
        <f>+IF(Tabla2[[#This Row],[Demand_Forecast]]&lt;= 125,"Low demand",IF(Tabla2[[#This Row],[Demand_Forecast]] &gt;=285,"High demand","Mid demand"))</f>
        <v>High demand</v>
      </c>
    </row>
    <row r="563" spans="1:17" x14ac:dyDescent="0.25">
      <c r="A563" s="11">
        <v>45655.717881944445</v>
      </c>
      <c r="B563" s="10" t="s">
        <v>22</v>
      </c>
      <c r="C563" s="10" t="s">
        <v>1158</v>
      </c>
      <c r="D563" s="10" t="s">
        <v>1159</v>
      </c>
      <c r="E563" s="10">
        <v>437</v>
      </c>
      <c r="F563" s="10" t="s">
        <v>25</v>
      </c>
      <c r="G563" s="10">
        <v>20.9</v>
      </c>
      <c r="H563" s="10">
        <v>55.2</v>
      </c>
      <c r="I563" s="10" t="s">
        <v>38</v>
      </c>
      <c r="J563" s="10">
        <v>44</v>
      </c>
      <c r="K563" s="10">
        <v>336</v>
      </c>
      <c r="L563" s="10">
        <v>7</v>
      </c>
      <c r="M563" s="10" t="s">
        <v>27</v>
      </c>
      <c r="N563" s="10">
        <v>88.6</v>
      </c>
      <c r="O563" s="10">
        <v>118</v>
      </c>
      <c r="P563" s="10">
        <v>0</v>
      </c>
      <c r="Q563" s="10" t="str">
        <f>+IF(Tabla2[[#This Row],[Demand_Forecast]]&lt;= 125,"Low demand",IF(Tabla2[[#This Row],[Demand_Forecast]] &gt;=285,"High demand","Mid demand"))</f>
        <v>Low demand</v>
      </c>
    </row>
    <row r="564" spans="1:17" x14ac:dyDescent="0.25">
      <c r="A564" s="11">
        <v>45626.703831018516</v>
      </c>
      <c r="B564" s="10" t="s">
        <v>28</v>
      </c>
      <c r="C564" s="10" t="s">
        <v>1160</v>
      </c>
      <c r="D564" s="10" t="s">
        <v>1161</v>
      </c>
      <c r="E564" s="10">
        <v>295</v>
      </c>
      <c r="F564" s="10" t="s">
        <v>19</v>
      </c>
      <c r="G564" s="10">
        <v>20.3</v>
      </c>
      <c r="H564" s="10">
        <v>68.599999999999994</v>
      </c>
      <c r="I564" s="10" t="s">
        <v>20</v>
      </c>
      <c r="J564" s="10">
        <v>29</v>
      </c>
      <c r="K564" s="10">
        <v>249</v>
      </c>
      <c r="L564" s="10">
        <v>6</v>
      </c>
      <c r="M564" s="10" t="s">
        <v>21</v>
      </c>
      <c r="N564" s="10">
        <v>63.2</v>
      </c>
      <c r="O564" s="10">
        <v>295</v>
      </c>
      <c r="P564" s="10">
        <v>1</v>
      </c>
      <c r="Q564" s="10" t="str">
        <f>+IF(Tabla2[[#This Row],[Demand_Forecast]]&lt;= 125,"Low demand",IF(Tabla2[[#This Row],[Demand_Forecast]] &gt;=285,"High demand","Mid demand"))</f>
        <v>High demand</v>
      </c>
    </row>
    <row r="565" spans="1:17" x14ac:dyDescent="0.25">
      <c r="A565" s="11">
        <v>45585.496006944442</v>
      </c>
      <c r="B565" s="10" t="s">
        <v>61</v>
      </c>
      <c r="C565" s="10" t="s">
        <v>1162</v>
      </c>
      <c r="D565" s="10" t="s">
        <v>1163</v>
      </c>
      <c r="E565" s="10">
        <v>365</v>
      </c>
      <c r="F565" s="10" t="s">
        <v>25</v>
      </c>
      <c r="G565" s="10">
        <v>30</v>
      </c>
      <c r="H565" s="10">
        <v>60</v>
      </c>
      <c r="I565" s="10" t="s">
        <v>38</v>
      </c>
      <c r="J565" s="10">
        <v>18</v>
      </c>
      <c r="K565" s="10">
        <v>215</v>
      </c>
      <c r="L565" s="10">
        <v>5</v>
      </c>
      <c r="M565" s="10" t="s">
        <v>35</v>
      </c>
      <c r="N565" s="10">
        <v>95.8</v>
      </c>
      <c r="O565" s="10">
        <v>201</v>
      </c>
      <c r="P565" s="10">
        <v>0</v>
      </c>
      <c r="Q565" s="10" t="str">
        <f>+IF(Tabla2[[#This Row],[Demand_Forecast]]&lt;= 125,"Low demand",IF(Tabla2[[#This Row],[Demand_Forecast]] &gt;=285,"High demand","Mid demand"))</f>
        <v>Mid demand</v>
      </c>
    </row>
    <row r="566" spans="1:17" x14ac:dyDescent="0.25">
      <c r="A566" s="11">
        <v>45451.700960648152</v>
      </c>
      <c r="B566" s="10" t="s">
        <v>28</v>
      </c>
      <c r="C566" s="10" t="s">
        <v>1164</v>
      </c>
      <c r="D566" s="10" t="s">
        <v>1165</v>
      </c>
      <c r="E566" s="10">
        <v>117</v>
      </c>
      <c r="F566" s="10" t="s">
        <v>19</v>
      </c>
      <c r="G566" s="10">
        <v>23.9</v>
      </c>
      <c r="H566" s="10">
        <v>64.3</v>
      </c>
      <c r="I566" s="10" t="s">
        <v>38</v>
      </c>
      <c r="J566" s="10">
        <v>16</v>
      </c>
      <c r="K566" s="10">
        <v>175</v>
      </c>
      <c r="L566" s="10">
        <v>8</v>
      </c>
      <c r="M566" s="10" t="s">
        <v>51</v>
      </c>
      <c r="N566" s="10">
        <v>73.900000000000006</v>
      </c>
      <c r="O566" s="10">
        <v>270</v>
      </c>
      <c r="P566" s="10">
        <v>1</v>
      </c>
      <c r="Q566" s="10" t="str">
        <f>+IF(Tabla2[[#This Row],[Demand_Forecast]]&lt;= 125,"Low demand",IF(Tabla2[[#This Row],[Demand_Forecast]] &gt;=285,"High demand","Mid demand"))</f>
        <v>Mid demand</v>
      </c>
    </row>
    <row r="567" spans="1:17" x14ac:dyDescent="0.25">
      <c r="A567" s="11">
        <v>45546.376400462963</v>
      </c>
      <c r="B567" s="10" t="s">
        <v>22</v>
      </c>
      <c r="C567" s="10" t="s">
        <v>1166</v>
      </c>
      <c r="D567" s="10" t="s">
        <v>1167</v>
      </c>
      <c r="E567" s="10">
        <v>202</v>
      </c>
      <c r="F567" s="10" t="s">
        <v>19</v>
      </c>
      <c r="G567" s="10">
        <v>25.9</v>
      </c>
      <c r="H567" s="10">
        <v>62.3</v>
      </c>
      <c r="I567" s="10" t="s">
        <v>26</v>
      </c>
      <c r="J567" s="10">
        <v>11</v>
      </c>
      <c r="K567" s="10">
        <v>249</v>
      </c>
      <c r="L567" s="10">
        <v>4</v>
      </c>
      <c r="M567" s="10" t="s">
        <v>21</v>
      </c>
      <c r="N567" s="10">
        <v>98</v>
      </c>
      <c r="O567" s="10">
        <v>131</v>
      </c>
      <c r="P567" s="10">
        <v>1</v>
      </c>
      <c r="Q567" s="10" t="str">
        <f>+IF(Tabla2[[#This Row],[Demand_Forecast]]&lt;= 125,"Low demand",IF(Tabla2[[#This Row],[Demand_Forecast]] &gt;=285,"High demand","Mid demand"))</f>
        <v>Mid demand</v>
      </c>
    </row>
    <row r="568" spans="1:17" x14ac:dyDescent="0.25">
      <c r="A568" s="11">
        <v>45604.597037037034</v>
      </c>
      <c r="B568" s="10" t="s">
        <v>28</v>
      </c>
      <c r="C568" s="10" t="s">
        <v>1168</v>
      </c>
      <c r="D568" s="10" t="s">
        <v>1169</v>
      </c>
      <c r="E568" s="10">
        <v>408</v>
      </c>
      <c r="F568" s="10" t="s">
        <v>19</v>
      </c>
      <c r="G568" s="10">
        <v>29.9</v>
      </c>
      <c r="H568" s="10">
        <v>58.9</v>
      </c>
      <c r="I568" s="10" t="s">
        <v>26</v>
      </c>
      <c r="J568" s="10">
        <v>25</v>
      </c>
      <c r="K568" s="10">
        <v>390</v>
      </c>
      <c r="L568" s="10">
        <v>8</v>
      </c>
      <c r="M568" s="10" t="s">
        <v>21</v>
      </c>
      <c r="N568" s="10">
        <v>61.5</v>
      </c>
      <c r="O568" s="10">
        <v>117</v>
      </c>
      <c r="P568" s="10">
        <v>1</v>
      </c>
      <c r="Q568" s="10" t="str">
        <f>+IF(Tabla2[[#This Row],[Demand_Forecast]]&lt;= 125,"Low demand",IF(Tabla2[[#This Row],[Demand_Forecast]] &gt;=285,"High demand","Mid demand"))</f>
        <v>Low demand</v>
      </c>
    </row>
    <row r="569" spans="1:17" x14ac:dyDescent="0.25">
      <c r="A569" s="11">
        <v>45458.600682870368</v>
      </c>
      <c r="B569" s="10" t="s">
        <v>48</v>
      </c>
      <c r="C569" s="10" t="s">
        <v>1170</v>
      </c>
      <c r="D569" s="10" t="s">
        <v>1171</v>
      </c>
      <c r="E569" s="10">
        <v>277</v>
      </c>
      <c r="F569" s="10" t="s">
        <v>25</v>
      </c>
      <c r="G569" s="10">
        <v>18.2</v>
      </c>
      <c r="H569" s="10">
        <v>75.099999999999994</v>
      </c>
      <c r="I569" s="10" t="s">
        <v>38</v>
      </c>
      <c r="J569" s="10">
        <v>60</v>
      </c>
      <c r="K569" s="10">
        <v>122</v>
      </c>
      <c r="L569" s="10">
        <v>10</v>
      </c>
      <c r="M569" s="10" t="s">
        <v>21</v>
      </c>
      <c r="N569" s="10">
        <v>65</v>
      </c>
      <c r="O569" s="10">
        <v>147</v>
      </c>
      <c r="P569" s="10">
        <v>0</v>
      </c>
      <c r="Q569" s="10" t="str">
        <f>+IF(Tabla2[[#This Row],[Demand_Forecast]]&lt;= 125,"Low demand",IF(Tabla2[[#This Row],[Demand_Forecast]] &gt;=285,"High demand","Mid demand"))</f>
        <v>Mid demand</v>
      </c>
    </row>
    <row r="570" spans="1:17" x14ac:dyDescent="0.25">
      <c r="A570" s="11">
        <v>45428.077418981484</v>
      </c>
      <c r="B570" s="10" t="s">
        <v>28</v>
      </c>
      <c r="C570" s="10" t="s">
        <v>1172</v>
      </c>
      <c r="D570" s="10" t="s">
        <v>1173</v>
      </c>
      <c r="E570" s="10">
        <v>430</v>
      </c>
      <c r="F570" s="10" t="s">
        <v>19</v>
      </c>
      <c r="G570" s="10">
        <v>25</v>
      </c>
      <c r="H570" s="10">
        <v>53.4</v>
      </c>
      <c r="I570" s="10" t="s">
        <v>20</v>
      </c>
      <c r="J570" s="10">
        <v>30</v>
      </c>
      <c r="K570" s="10">
        <v>251</v>
      </c>
      <c r="L570" s="10">
        <v>4</v>
      </c>
      <c r="M570" s="10" t="s">
        <v>51</v>
      </c>
      <c r="N570" s="10">
        <v>77.599999999999994</v>
      </c>
      <c r="O570" s="10">
        <v>119</v>
      </c>
      <c r="P570" s="10">
        <v>1</v>
      </c>
      <c r="Q570" s="10" t="str">
        <f>+IF(Tabla2[[#This Row],[Demand_Forecast]]&lt;= 125,"Low demand",IF(Tabla2[[#This Row],[Demand_Forecast]] &gt;=285,"High demand","Mid demand"))</f>
        <v>Low demand</v>
      </c>
    </row>
    <row r="571" spans="1:17" x14ac:dyDescent="0.25">
      <c r="A571" s="11">
        <v>45377.611493055556</v>
      </c>
      <c r="B571" s="10" t="s">
        <v>16</v>
      </c>
      <c r="C571" s="10" t="s">
        <v>1174</v>
      </c>
      <c r="D571" s="10" t="s">
        <v>1175</v>
      </c>
      <c r="E571" s="10">
        <v>451</v>
      </c>
      <c r="F571" s="10" t="s">
        <v>19</v>
      </c>
      <c r="G571" s="10">
        <v>21.3</v>
      </c>
      <c r="H571" s="10">
        <v>67.2</v>
      </c>
      <c r="I571" s="10" t="s">
        <v>20</v>
      </c>
      <c r="J571" s="10">
        <v>24</v>
      </c>
      <c r="K571" s="10">
        <v>187</v>
      </c>
      <c r="L571" s="10">
        <v>8</v>
      </c>
      <c r="M571" s="10" t="s">
        <v>21</v>
      </c>
      <c r="N571" s="10">
        <v>69.3</v>
      </c>
      <c r="O571" s="10">
        <v>221</v>
      </c>
      <c r="P571" s="10">
        <v>1</v>
      </c>
      <c r="Q571" s="10" t="str">
        <f>+IF(Tabla2[[#This Row],[Demand_Forecast]]&lt;= 125,"Low demand",IF(Tabla2[[#This Row],[Demand_Forecast]] &gt;=285,"High demand","Mid demand"))</f>
        <v>Mid demand</v>
      </c>
    </row>
    <row r="572" spans="1:17" x14ac:dyDescent="0.25">
      <c r="A572" s="11">
        <v>45387.650682870371</v>
      </c>
      <c r="B572" s="10" t="s">
        <v>56</v>
      </c>
      <c r="C572" s="10" t="s">
        <v>1176</v>
      </c>
      <c r="D572" s="10" t="s">
        <v>1177</v>
      </c>
      <c r="E572" s="10">
        <v>421</v>
      </c>
      <c r="F572" s="10" t="s">
        <v>34</v>
      </c>
      <c r="G572" s="10">
        <v>26</v>
      </c>
      <c r="H572" s="10">
        <v>78.099999999999994</v>
      </c>
      <c r="I572" s="10" t="s">
        <v>26</v>
      </c>
      <c r="J572" s="10">
        <v>29</v>
      </c>
      <c r="K572" s="10">
        <v>379</v>
      </c>
      <c r="L572" s="10">
        <v>5</v>
      </c>
      <c r="M572" s="10" t="s">
        <v>35</v>
      </c>
      <c r="N572" s="10">
        <v>81</v>
      </c>
      <c r="O572" s="10">
        <v>118</v>
      </c>
      <c r="P572" s="10">
        <v>1</v>
      </c>
      <c r="Q572" s="10" t="str">
        <f>+IF(Tabla2[[#This Row],[Demand_Forecast]]&lt;= 125,"Low demand",IF(Tabla2[[#This Row],[Demand_Forecast]] &gt;=285,"High demand","Mid demand"))</f>
        <v>Low demand</v>
      </c>
    </row>
    <row r="573" spans="1:17" x14ac:dyDescent="0.25">
      <c r="A573" s="11">
        <v>45609.166122685187</v>
      </c>
      <c r="B573" s="10" t="s">
        <v>31</v>
      </c>
      <c r="C573" s="10" t="s">
        <v>1178</v>
      </c>
      <c r="D573" s="10" t="s">
        <v>1179</v>
      </c>
      <c r="E573" s="10">
        <v>175</v>
      </c>
      <c r="F573" s="10" t="s">
        <v>25</v>
      </c>
      <c r="G573" s="10">
        <v>29.6</v>
      </c>
      <c r="H573" s="10">
        <v>66</v>
      </c>
      <c r="I573" s="10" t="s">
        <v>38</v>
      </c>
      <c r="J573" s="10">
        <v>34</v>
      </c>
      <c r="K573" s="10">
        <v>467</v>
      </c>
      <c r="L573" s="10">
        <v>9</v>
      </c>
      <c r="M573" s="10" t="s">
        <v>27</v>
      </c>
      <c r="N573" s="10">
        <v>98.3</v>
      </c>
      <c r="O573" s="10">
        <v>220</v>
      </c>
      <c r="P573" s="10">
        <v>0</v>
      </c>
      <c r="Q573" s="10" t="str">
        <f>+IF(Tabla2[[#This Row],[Demand_Forecast]]&lt;= 125,"Low demand",IF(Tabla2[[#This Row],[Demand_Forecast]] &gt;=285,"High demand","Mid demand"))</f>
        <v>Mid demand</v>
      </c>
    </row>
    <row r="574" spans="1:17" x14ac:dyDescent="0.25">
      <c r="A574" s="11">
        <v>45456.047592592593</v>
      </c>
      <c r="B574" s="10" t="s">
        <v>48</v>
      </c>
      <c r="C574" s="10" t="s">
        <v>1180</v>
      </c>
      <c r="D574" s="10" t="s">
        <v>1181</v>
      </c>
      <c r="E574" s="10">
        <v>357</v>
      </c>
      <c r="F574" s="10" t="s">
        <v>25</v>
      </c>
      <c r="G574" s="10">
        <v>27.4</v>
      </c>
      <c r="H574" s="10">
        <v>55.5</v>
      </c>
      <c r="I574" s="10" t="s">
        <v>20</v>
      </c>
      <c r="J574" s="10">
        <v>43</v>
      </c>
      <c r="K574" s="10">
        <v>207</v>
      </c>
      <c r="L574" s="10">
        <v>2</v>
      </c>
      <c r="M574" s="10" t="s">
        <v>27</v>
      </c>
      <c r="N574" s="10">
        <v>60.5</v>
      </c>
      <c r="O574" s="10">
        <v>111</v>
      </c>
      <c r="P574" s="10">
        <v>0</v>
      </c>
      <c r="Q574" s="10" t="str">
        <f>+IF(Tabla2[[#This Row],[Demand_Forecast]]&lt;= 125,"Low demand",IF(Tabla2[[#This Row],[Demand_Forecast]] &gt;=285,"High demand","Mid demand"))</f>
        <v>Low demand</v>
      </c>
    </row>
    <row r="575" spans="1:17" x14ac:dyDescent="0.25">
      <c r="A575" s="11">
        <v>45312.377789351849</v>
      </c>
      <c r="B575" s="10" t="s">
        <v>31</v>
      </c>
      <c r="C575" s="10" t="s">
        <v>1182</v>
      </c>
      <c r="D575" s="10" t="s">
        <v>1183</v>
      </c>
      <c r="E575" s="10">
        <v>419</v>
      </c>
      <c r="F575" s="10" t="s">
        <v>34</v>
      </c>
      <c r="G575" s="10">
        <v>26.5</v>
      </c>
      <c r="H575" s="10">
        <v>56.2</v>
      </c>
      <c r="I575" s="10" t="s">
        <v>20</v>
      </c>
      <c r="J575" s="10">
        <v>15</v>
      </c>
      <c r="K575" s="10">
        <v>277</v>
      </c>
      <c r="L575" s="10">
        <v>2</v>
      </c>
      <c r="M575" s="10" t="s">
        <v>27</v>
      </c>
      <c r="N575" s="10">
        <v>68.3</v>
      </c>
      <c r="O575" s="10">
        <v>280</v>
      </c>
      <c r="P575" s="10">
        <v>0</v>
      </c>
      <c r="Q575" s="10" t="str">
        <f>+IF(Tabla2[[#This Row],[Demand_Forecast]]&lt;= 125,"Low demand",IF(Tabla2[[#This Row],[Demand_Forecast]] &gt;=285,"High demand","Mid demand"))</f>
        <v>Mid demand</v>
      </c>
    </row>
    <row r="576" spans="1:17" x14ac:dyDescent="0.25">
      <c r="A576" s="11">
        <v>45570.599664351852</v>
      </c>
      <c r="B576" s="10" t="s">
        <v>16</v>
      </c>
      <c r="C576" s="10" t="s">
        <v>1184</v>
      </c>
      <c r="D576" s="10" t="s">
        <v>1185</v>
      </c>
      <c r="E576" s="10">
        <v>455</v>
      </c>
      <c r="F576" s="10" t="s">
        <v>34</v>
      </c>
      <c r="G576" s="10">
        <v>19.8</v>
      </c>
      <c r="H576" s="10">
        <v>67.599999999999994</v>
      </c>
      <c r="I576" s="10" t="s">
        <v>38</v>
      </c>
      <c r="J576" s="10">
        <v>22</v>
      </c>
      <c r="K576" s="10">
        <v>301</v>
      </c>
      <c r="L576" s="10">
        <v>3</v>
      </c>
      <c r="M576" s="10" t="s">
        <v>35</v>
      </c>
      <c r="N576" s="10">
        <v>68.2</v>
      </c>
      <c r="O576" s="10">
        <v>254</v>
      </c>
      <c r="P576" s="10">
        <v>0</v>
      </c>
      <c r="Q576" s="10" t="str">
        <f>+IF(Tabla2[[#This Row],[Demand_Forecast]]&lt;= 125,"Low demand",IF(Tabla2[[#This Row],[Demand_Forecast]] &gt;=285,"High demand","Mid demand"))</f>
        <v>Mid demand</v>
      </c>
    </row>
    <row r="577" spans="1:17" x14ac:dyDescent="0.25">
      <c r="A577" s="11">
        <v>45403.309675925928</v>
      </c>
      <c r="B577" s="10" t="s">
        <v>48</v>
      </c>
      <c r="C577" s="10" t="s">
        <v>1186</v>
      </c>
      <c r="D577" s="10" t="s">
        <v>1187</v>
      </c>
      <c r="E577" s="10">
        <v>438</v>
      </c>
      <c r="F577" s="10" t="s">
        <v>19</v>
      </c>
      <c r="G577" s="10">
        <v>24.3</v>
      </c>
      <c r="H577" s="10">
        <v>78.8</v>
      </c>
      <c r="I577" s="10" t="s">
        <v>20</v>
      </c>
      <c r="J577" s="10">
        <v>33</v>
      </c>
      <c r="K577" s="10">
        <v>322</v>
      </c>
      <c r="L577" s="10">
        <v>7</v>
      </c>
      <c r="M577" s="10" t="s">
        <v>27</v>
      </c>
      <c r="N577" s="10">
        <v>79</v>
      </c>
      <c r="O577" s="10">
        <v>206</v>
      </c>
      <c r="P577" s="10">
        <v>1</v>
      </c>
      <c r="Q577" s="10" t="str">
        <f>+IF(Tabla2[[#This Row],[Demand_Forecast]]&lt;= 125,"Low demand",IF(Tabla2[[#This Row],[Demand_Forecast]] &gt;=285,"High demand","Mid demand"))</f>
        <v>Mid demand</v>
      </c>
    </row>
    <row r="578" spans="1:17" x14ac:dyDescent="0.25">
      <c r="A578" s="11">
        <v>45406.935740740744</v>
      </c>
      <c r="B578" s="10" t="s">
        <v>22</v>
      </c>
      <c r="C578" s="10" t="s">
        <v>1188</v>
      </c>
      <c r="D578" s="10" t="s">
        <v>1189</v>
      </c>
      <c r="E578" s="10">
        <v>497</v>
      </c>
      <c r="F578" s="10" t="s">
        <v>25</v>
      </c>
      <c r="G578" s="10">
        <v>28.2</v>
      </c>
      <c r="H578" s="10">
        <v>68.2</v>
      </c>
      <c r="I578" s="10" t="s">
        <v>20</v>
      </c>
      <c r="J578" s="10">
        <v>47</v>
      </c>
      <c r="K578" s="10">
        <v>184</v>
      </c>
      <c r="L578" s="10">
        <v>6</v>
      </c>
      <c r="M578" s="10" t="s">
        <v>35</v>
      </c>
      <c r="N578" s="10">
        <v>63.8</v>
      </c>
      <c r="O578" s="10">
        <v>251</v>
      </c>
      <c r="P578" s="10">
        <v>0</v>
      </c>
      <c r="Q578" s="10" t="str">
        <f>+IF(Tabla2[[#This Row],[Demand_Forecast]]&lt;= 125,"Low demand",IF(Tabla2[[#This Row],[Demand_Forecast]] &gt;=285,"High demand","Mid demand"))</f>
        <v>Mid demand</v>
      </c>
    </row>
    <row r="579" spans="1:17" x14ac:dyDescent="0.25">
      <c r="A579" s="11">
        <v>45332.292662037034</v>
      </c>
      <c r="B579" s="10" t="s">
        <v>56</v>
      </c>
      <c r="C579" s="10" t="s">
        <v>1190</v>
      </c>
      <c r="D579" s="10" t="s">
        <v>1191</v>
      </c>
      <c r="E579" s="10">
        <v>410</v>
      </c>
      <c r="F579" s="10" t="s">
        <v>25</v>
      </c>
      <c r="G579" s="10">
        <v>29.8</v>
      </c>
      <c r="H579" s="10">
        <v>76.2</v>
      </c>
      <c r="I579" s="10" t="s">
        <v>20</v>
      </c>
      <c r="J579" s="10">
        <v>52</v>
      </c>
      <c r="K579" s="10">
        <v>152</v>
      </c>
      <c r="L579" s="10">
        <v>2</v>
      </c>
      <c r="M579" s="10" t="s">
        <v>51</v>
      </c>
      <c r="N579" s="10">
        <v>76.599999999999994</v>
      </c>
      <c r="O579" s="10">
        <v>149</v>
      </c>
      <c r="P579" s="10">
        <v>0</v>
      </c>
      <c r="Q579" s="10" t="str">
        <f>+IF(Tabla2[[#This Row],[Demand_Forecast]]&lt;= 125,"Low demand",IF(Tabla2[[#This Row],[Demand_Forecast]] &gt;=285,"High demand","Mid demand"))</f>
        <v>Mid demand</v>
      </c>
    </row>
    <row r="580" spans="1:17" x14ac:dyDescent="0.25">
      <c r="A580" s="11">
        <v>45561.707731481481</v>
      </c>
      <c r="B580" s="10" t="s">
        <v>16</v>
      </c>
      <c r="C580" s="10" t="s">
        <v>1192</v>
      </c>
      <c r="D580" s="10" t="s">
        <v>1193</v>
      </c>
      <c r="E580" s="10">
        <v>306</v>
      </c>
      <c r="F580" s="10" t="s">
        <v>34</v>
      </c>
      <c r="G580" s="10">
        <v>21.5</v>
      </c>
      <c r="H580" s="10">
        <v>78.5</v>
      </c>
      <c r="I580" s="10" t="s">
        <v>38</v>
      </c>
      <c r="J580" s="10">
        <v>48</v>
      </c>
      <c r="K580" s="10">
        <v>317</v>
      </c>
      <c r="L580" s="10">
        <v>7</v>
      </c>
      <c r="M580" s="10" t="s">
        <v>27</v>
      </c>
      <c r="N580" s="10">
        <v>92.8</v>
      </c>
      <c r="O580" s="10">
        <v>231</v>
      </c>
      <c r="P580" s="10">
        <v>0</v>
      </c>
      <c r="Q580" s="10" t="str">
        <f>+IF(Tabla2[[#This Row],[Demand_Forecast]]&lt;= 125,"Low demand",IF(Tabla2[[#This Row],[Demand_Forecast]] &gt;=285,"High demand","Mid demand"))</f>
        <v>Mid demand</v>
      </c>
    </row>
    <row r="581" spans="1:17" x14ac:dyDescent="0.25">
      <c r="A581" s="11">
        <v>45513.599444444444</v>
      </c>
      <c r="B581" s="10" t="s">
        <v>61</v>
      </c>
      <c r="C581" s="10" t="s">
        <v>1194</v>
      </c>
      <c r="D581" s="10" t="s">
        <v>1195</v>
      </c>
      <c r="E581" s="10">
        <v>209</v>
      </c>
      <c r="F581" s="10" t="s">
        <v>19</v>
      </c>
      <c r="G581" s="10">
        <v>18.600000000000001</v>
      </c>
      <c r="H581" s="10">
        <v>69.599999999999994</v>
      </c>
      <c r="I581" s="10" t="s">
        <v>26</v>
      </c>
      <c r="J581" s="10">
        <v>50</v>
      </c>
      <c r="K581" s="10">
        <v>357</v>
      </c>
      <c r="L581" s="10">
        <v>10</v>
      </c>
      <c r="M581" s="10" t="s">
        <v>35</v>
      </c>
      <c r="N581" s="10">
        <v>92.9</v>
      </c>
      <c r="O581" s="10">
        <v>125</v>
      </c>
      <c r="P581" s="10">
        <v>1</v>
      </c>
      <c r="Q581" s="10" t="str">
        <f>+IF(Tabla2[[#This Row],[Demand_Forecast]]&lt;= 125,"Low demand",IF(Tabla2[[#This Row],[Demand_Forecast]] &gt;=285,"High demand","Mid demand"))</f>
        <v>Low demand</v>
      </c>
    </row>
    <row r="582" spans="1:17" x14ac:dyDescent="0.25">
      <c r="A582" s="11">
        <v>45296.87976851852</v>
      </c>
      <c r="B582" s="10" t="s">
        <v>41</v>
      </c>
      <c r="C582" s="10" t="s">
        <v>1196</v>
      </c>
      <c r="D582" s="10" t="s">
        <v>1197</v>
      </c>
      <c r="E582" s="10">
        <v>155</v>
      </c>
      <c r="F582" s="10" t="s">
        <v>19</v>
      </c>
      <c r="G582" s="10">
        <v>30</v>
      </c>
      <c r="H582" s="10">
        <v>64.5</v>
      </c>
      <c r="I582" s="10" t="s">
        <v>20</v>
      </c>
      <c r="J582" s="10">
        <v>33</v>
      </c>
      <c r="K582" s="10">
        <v>342</v>
      </c>
      <c r="L582" s="10">
        <v>6</v>
      </c>
      <c r="M582" s="10" t="s">
        <v>27</v>
      </c>
      <c r="N582" s="10">
        <v>88.2</v>
      </c>
      <c r="O582" s="10">
        <v>179</v>
      </c>
      <c r="P582" s="10">
        <v>1</v>
      </c>
      <c r="Q582" s="10" t="str">
        <f>+IF(Tabla2[[#This Row],[Demand_Forecast]]&lt;= 125,"Low demand",IF(Tabla2[[#This Row],[Demand_Forecast]] &gt;=285,"High demand","Mid demand"))</f>
        <v>Mid demand</v>
      </c>
    </row>
    <row r="583" spans="1:17" x14ac:dyDescent="0.25">
      <c r="A583" s="11">
        <v>45626.277928240743</v>
      </c>
      <c r="B583" s="10" t="s">
        <v>61</v>
      </c>
      <c r="C583" s="10" t="s">
        <v>1198</v>
      </c>
      <c r="D583" s="10" t="s">
        <v>1199</v>
      </c>
      <c r="E583" s="10">
        <v>318</v>
      </c>
      <c r="F583" s="10" t="s">
        <v>19</v>
      </c>
      <c r="G583" s="10">
        <v>25.8</v>
      </c>
      <c r="H583" s="10">
        <v>79.5</v>
      </c>
      <c r="I583" s="10" t="s">
        <v>20</v>
      </c>
      <c r="J583" s="10">
        <v>11</v>
      </c>
      <c r="K583" s="10">
        <v>161</v>
      </c>
      <c r="L583" s="10">
        <v>10</v>
      </c>
      <c r="M583" s="10" t="s">
        <v>21</v>
      </c>
      <c r="N583" s="10">
        <v>90</v>
      </c>
      <c r="O583" s="10">
        <v>191</v>
      </c>
      <c r="P583" s="10">
        <v>1</v>
      </c>
      <c r="Q583" s="10" t="str">
        <f>+IF(Tabla2[[#This Row],[Demand_Forecast]]&lt;= 125,"Low demand",IF(Tabla2[[#This Row],[Demand_Forecast]] &gt;=285,"High demand","Mid demand"))</f>
        <v>Mid demand</v>
      </c>
    </row>
    <row r="584" spans="1:17" x14ac:dyDescent="0.25">
      <c r="A584" s="11">
        <v>45546.346736111111</v>
      </c>
      <c r="B584" s="10" t="s">
        <v>31</v>
      </c>
      <c r="C584" s="10" t="s">
        <v>1200</v>
      </c>
      <c r="D584" s="10" t="s">
        <v>1201</v>
      </c>
      <c r="E584" s="10">
        <v>422</v>
      </c>
      <c r="F584" s="10" t="s">
        <v>34</v>
      </c>
      <c r="G584" s="10">
        <v>23.8</v>
      </c>
      <c r="H584" s="10">
        <v>62.4</v>
      </c>
      <c r="I584" s="10" t="s">
        <v>38</v>
      </c>
      <c r="J584" s="10">
        <v>10</v>
      </c>
      <c r="K584" s="10">
        <v>158</v>
      </c>
      <c r="L584" s="10">
        <v>4</v>
      </c>
      <c r="M584" s="10" t="s">
        <v>35</v>
      </c>
      <c r="N584" s="10">
        <v>84.7</v>
      </c>
      <c r="O584" s="10">
        <v>294</v>
      </c>
      <c r="P584" s="10">
        <v>0</v>
      </c>
      <c r="Q584" s="10" t="str">
        <f>+IF(Tabla2[[#This Row],[Demand_Forecast]]&lt;= 125,"Low demand",IF(Tabla2[[#This Row],[Demand_Forecast]] &gt;=285,"High demand","Mid demand"))</f>
        <v>High demand</v>
      </c>
    </row>
    <row r="585" spans="1:17" x14ac:dyDescent="0.25">
      <c r="A585" s="11">
        <v>45570.99832175926</v>
      </c>
      <c r="B585" s="10" t="s">
        <v>48</v>
      </c>
      <c r="C585" s="10" t="s">
        <v>1202</v>
      </c>
      <c r="D585" s="10" t="s">
        <v>1203</v>
      </c>
      <c r="E585" s="10">
        <v>450</v>
      </c>
      <c r="F585" s="10" t="s">
        <v>25</v>
      </c>
      <c r="G585" s="10">
        <v>22.8</v>
      </c>
      <c r="H585" s="10">
        <v>58.7</v>
      </c>
      <c r="I585" s="10" t="s">
        <v>20</v>
      </c>
      <c r="J585" s="10">
        <v>45</v>
      </c>
      <c r="K585" s="10">
        <v>421</v>
      </c>
      <c r="L585" s="10">
        <v>9</v>
      </c>
      <c r="M585" s="10" t="s">
        <v>21</v>
      </c>
      <c r="N585" s="10">
        <v>90</v>
      </c>
      <c r="O585" s="10">
        <v>240</v>
      </c>
      <c r="P585" s="10">
        <v>0</v>
      </c>
      <c r="Q585" s="10" t="str">
        <f>+IF(Tabla2[[#This Row],[Demand_Forecast]]&lt;= 125,"Low demand",IF(Tabla2[[#This Row],[Demand_Forecast]] &gt;=285,"High demand","Mid demand"))</f>
        <v>Mid demand</v>
      </c>
    </row>
    <row r="586" spans="1:17" x14ac:dyDescent="0.25">
      <c r="A586" s="11">
        <v>45580.586018518516</v>
      </c>
      <c r="B586" s="10" t="s">
        <v>41</v>
      </c>
      <c r="C586" s="10" t="s">
        <v>1204</v>
      </c>
      <c r="D586" s="10" t="s">
        <v>1205</v>
      </c>
      <c r="E586" s="10">
        <v>221</v>
      </c>
      <c r="F586" s="10" t="s">
        <v>34</v>
      </c>
      <c r="G586" s="10">
        <v>21.6</v>
      </c>
      <c r="H586" s="10">
        <v>67.7</v>
      </c>
      <c r="I586" s="10" t="s">
        <v>26</v>
      </c>
      <c r="J586" s="10">
        <v>39</v>
      </c>
      <c r="K586" s="10">
        <v>430</v>
      </c>
      <c r="L586" s="10">
        <v>6</v>
      </c>
      <c r="M586" s="10" t="s">
        <v>35</v>
      </c>
      <c r="N586" s="10">
        <v>71.900000000000006</v>
      </c>
      <c r="O586" s="10">
        <v>286</v>
      </c>
      <c r="P586" s="10">
        <v>1</v>
      </c>
      <c r="Q586" s="10" t="str">
        <f>+IF(Tabla2[[#This Row],[Demand_Forecast]]&lt;= 125,"Low demand",IF(Tabla2[[#This Row],[Demand_Forecast]] &gt;=285,"High demand","Mid demand"))</f>
        <v>High demand</v>
      </c>
    </row>
    <row r="587" spans="1:17" x14ac:dyDescent="0.25">
      <c r="A587" s="11">
        <v>45477.390810185185</v>
      </c>
      <c r="B587" s="10" t="s">
        <v>16</v>
      </c>
      <c r="C587" s="10" t="s">
        <v>1206</v>
      </c>
      <c r="D587" s="10" t="s">
        <v>1207</v>
      </c>
      <c r="E587" s="10">
        <v>271</v>
      </c>
      <c r="F587" s="10" t="s">
        <v>34</v>
      </c>
      <c r="G587" s="10">
        <v>18.7</v>
      </c>
      <c r="H587" s="10">
        <v>75.400000000000006</v>
      </c>
      <c r="I587" s="10" t="s">
        <v>38</v>
      </c>
      <c r="J587" s="10">
        <v>37</v>
      </c>
      <c r="K587" s="10">
        <v>210</v>
      </c>
      <c r="L587" s="10">
        <v>10</v>
      </c>
      <c r="M587" s="10" t="s">
        <v>35</v>
      </c>
      <c r="N587" s="10">
        <v>72</v>
      </c>
      <c r="O587" s="10">
        <v>120</v>
      </c>
      <c r="P587" s="10">
        <v>0</v>
      </c>
      <c r="Q587" s="10" t="str">
        <f>+IF(Tabla2[[#This Row],[Demand_Forecast]]&lt;= 125,"Low demand",IF(Tabla2[[#This Row],[Demand_Forecast]] &gt;=285,"High demand","Mid demand"))</f>
        <v>Low demand</v>
      </c>
    </row>
    <row r="588" spans="1:17" x14ac:dyDescent="0.25">
      <c r="A588" s="11">
        <v>45525.722673611112</v>
      </c>
      <c r="B588" s="10" t="s">
        <v>41</v>
      </c>
      <c r="C588" s="10" t="s">
        <v>1208</v>
      </c>
      <c r="D588" s="10" t="s">
        <v>1209</v>
      </c>
      <c r="E588" s="10">
        <v>402</v>
      </c>
      <c r="F588" s="10" t="s">
        <v>19</v>
      </c>
      <c r="G588" s="10">
        <v>18.7</v>
      </c>
      <c r="H588" s="10">
        <v>59.6</v>
      </c>
      <c r="I588" s="10" t="s">
        <v>20</v>
      </c>
      <c r="J588" s="10">
        <v>16</v>
      </c>
      <c r="K588" s="10">
        <v>454</v>
      </c>
      <c r="L588" s="10">
        <v>1</v>
      </c>
      <c r="M588" s="10" t="s">
        <v>35</v>
      </c>
      <c r="N588" s="10">
        <v>62.9</v>
      </c>
      <c r="O588" s="10">
        <v>274</v>
      </c>
      <c r="P588" s="10">
        <v>1</v>
      </c>
      <c r="Q588" s="10" t="str">
        <f>+IF(Tabla2[[#This Row],[Demand_Forecast]]&lt;= 125,"Low demand",IF(Tabla2[[#This Row],[Demand_Forecast]] &gt;=285,"High demand","Mid demand"))</f>
        <v>Mid demand</v>
      </c>
    </row>
    <row r="589" spans="1:17" x14ac:dyDescent="0.25">
      <c r="A589" s="11">
        <v>45476.272627314815</v>
      </c>
      <c r="B589" s="10" t="s">
        <v>95</v>
      </c>
      <c r="C589" s="10" t="s">
        <v>1210</v>
      </c>
      <c r="D589" s="10" t="s">
        <v>1211</v>
      </c>
      <c r="E589" s="10">
        <v>119</v>
      </c>
      <c r="F589" s="10" t="s">
        <v>25</v>
      </c>
      <c r="G589" s="10">
        <v>24.4</v>
      </c>
      <c r="H589" s="10">
        <v>68.2</v>
      </c>
      <c r="I589" s="10" t="s">
        <v>26</v>
      </c>
      <c r="J589" s="10">
        <v>60</v>
      </c>
      <c r="K589" s="10">
        <v>125</v>
      </c>
      <c r="L589" s="10">
        <v>3</v>
      </c>
      <c r="M589" s="10" t="s">
        <v>21</v>
      </c>
      <c r="N589" s="10">
        <v>81.599999999999994</v>
      </c>
      <c r="O589" s="10">
        <v>106</v>
      </c>
      <c r="P589" s="10">
        <v>1</v>
      </c>
      <c r="Q589" s="10" t="str">
        <f>+IF(Tabla2[[#This Row],[Demand_Forecast]]&lt;= 125,"Low demand",IF(Tabla2[[#This Row],[Demand_Forecast]] &gt;=285,"High demand","Mid demand"))</f>
        <v>Low demand</v>
      </c>
    </row>
    <row r="590" spans="1:17" x14ac:dyDescent="0.25">
      <c r="A590" s="11">
        <v>45342.734513888892</v>
      </c>
      <c r="B590" s="10" t="s">
        <v>22</v>
      </c>
      <c r="C590" s="10" t="s">
        <v>1212</v>
      </c>
      <c r="D590" s="10" t="s">
        <v>1213</v>
      </c>
      <c r="E590" s="10">
        <v>385</v>
      </c>
      <c r="F590" s="10" t="s">
        <v>34</v>
      </c>
      <c r="G590" s="10">
        <v>26.1</v>
      </c>
      <c r="H590" s="10">
        <v>68.3</v>
      </c>
      <c r="I590" s="10" t="s">
        <v>38</v>
      </c>
      <c r="J590" s="10">
        <v>38</v>
      </c>
      <c r="K590" s="10">
        <v>114</v>
      </c>
      <c r="L590" s="10">
        <v>6</v>
      </c>
      <c r="M590" s="10" t="s">
        <v>27</v>
      </c>
      <c r="N590" s="10">
        <v>64.599999999999994</v>
      </c>
      <c r="O590" s="10">
        <v>190</v>
      </c>
      <c r="P590" s="10">
        <v>0</v>
      </c>
      <c r="Q590" s="10" t="str">
        <f>+IF(Tabla2[[#This Row],[Demand_Forecast]]&lt;= 125,"Low demand",IF(Tabla2[[#This Row],[Demand_Forecast]] &gt;=285,"High demand","Mid demand"))</f>
        <v>Mid demand</v>
      </c>
    </row>
    <row r="591" spans="1:17" x14ac:dyDescent="0.25">
      <c r="A591" s="11">
        <v>45437.158715277779</v>
      </c>
      <c r="B591" s="10" t="s">
        <v>41</v>
      </c>
      <c r="C591" s="10" t="s">
        <v>1214</v>
      </c>
      <c r="D591" s="10" t="s">
        <v>1215</v>
      </c>
      <c r="E591" s="10">
        <v>443</v>
      </c>
      <c r="F591" s="10" t="s">
        <v>34</v>
      </c>
      <c r="G591" s="10">
        <v>23.6</v>
      </c>
      <c r="H591" s="10">
        <v>66.599999999999994</v>
      </c>
      <c r="I591" s="10" t="s">
        <v>20</v>
      </c>
      <c r="J591" s="10">
        <v>42</v>
      </c>
      <c r="K591" s="10">
        <v>333</v>
      </c>
      <c r="L591" s="10">
        <v>9</v>
      </c>
      <c r="M591" s="10" t="s">
        <v>35</v>
      </c>
      <c r="N591" s="10">
        <v>93.1</v>
      </c>
      <c r="O591" s="10">
        <v>143</v>
      </c>
      <c r="P591" s="10">
        <v>0</v>
      </c>
      <c r="Q591" s="10" t="str">
        <f>+IF(Tabla2[[#This Row],[Demand_Forecast]]&lt;= 125,"Low demand",IF(Tabla2[[#This Row],[Demand_Forecast]] &gt;=285,"High demand","Mid demand"))</f>
        <v>Mid demand</v>
      </c>
    </row>
    <row r="592" spans="1:17" x14ac:dyDescent="0.25">
      <c r="A592" s="11">
        <v>45440.68378472222</v>
      </c>
      <c r="B592" s="10" t="s">
        <v>41</v>
      </c>
      <c r="C592" s="10" t="s">
        <v>1216</v>
      </c>
      <c r="D592" s="10" t="s">
        <v>1217</v>
      </c>
      <c r="E592" s="10">
        <v>271</v>
      </c>
      <c r="F592" s="10" t="s">
        <v>25</v>
      </c>
      <c r="G592" s="10">
        <v>23.6</v>
      </c>
      <c r="H592" s="10">
        <v>74.2</v>
      </c>
      <c r="I592" s="10" t="s">
        <v>38</v>
      </c>
      <c r="J592" s="10">
        <v>30</v>
      </c>
      <c r="K592" s="10">
        <v>214</v>
      </c>
      <c r="L592" s="10">
        <v>5</v>
      </c>
      <c r="M592" s="10" t="s">
        <v>35</v>
      </c>
      <c r="N592" s="10">
        <v>72.099999999999994</v>
      </c>
      <c r="O592" s="10">
        <v>132</v>
      </c>
      <c r="P592" s="10">
        <v>0</v>
      </c>
      <c r="Q592" s="10" t="str">
        <f>+IF(Tabla2[[#This Row],[Demand_Forecast]]&lt;= 125,"Low demand",IF(Tabla2[[#This Row],[Demand_Forecast]] &gt;=285,"High demand","Mid demand"))</f>
        <v>Mid demand</v>
      </c>
    </row>
    <row r="593" spans="1:17" x14ac:dyDescent="0.25">
      <c r="A593" s="11">
        <v>45542.442696759259</v>
      </c>
      <c r="B593" s="10" t="s">
        <v>61</v>
      </c>
      <c r="C593" s="10" t="s">
        <v>1218</v>
      </c>
      <c r="D593" s="10" t="s">
        <v>1219</v>
      </c>
      <c r="E593" s="10">
        <v>133</v>
      </c>
      <c r="F593" s="10" t="s">
        <v>19</v>
      </c>
      <c r="G593" s="10">
        <v>29.4</v>
      </c>
      <c r="H593" s="10">
        <v>51.6</v>
      </c>
      <c r="I593" s="10" t="s">
        <v>38</v>
      </c>
      <c r="J593" s="10">
        <v>31</v>
      </c>
      <c r="K593" s="10">
        <v>485</v>
      </c>
      <c r="L593" s="10">
        <v>3</v>
      </c>
      <c r="M593" s="10" t="s">
        <v>27</v>
      </c>
      <c r="N593" s="10">
        <v>90.1</v>
      </c>
      <c r="O593" s="10">
        <v>172</v>
      </c>
      <c r="P593" s="10">
        <v>1</v>
      </c>
      <c r="Q593" s="10" t="str">
        <f>+IF(Tabla2[[#This Row],[Demand_Forecast]]&lt;= 125,"Low demand",IF(Tabla2[[#This Row],[Demand_Forecast]] &gt;=285,"High demand","Mid demand"))</f>
        <v>Mid demand</v>
      </c>
    </row>
    <row r="594" spans="1:17" x14ac:dyDescent="0.25">
      <c r="A594" s="11">
        <v>45524.63009259259</v>
      </c>
      <c r="B594" s="10" t="s">
        <v>41</v>
      </c>
      <c r="C594" s="10" t="s">
        <v>1220</v>
      </c>
      <c r="D594" s="10" t="s">
        <v>1221</v>
      </c>
      <c r="E594" s="10">
        <v>388</v>
      </c>
      <c r="F594" s="10" t="s">
        <v>19</v>
      </c>
      <c r="G594" s="10">
        <v>23.1</v>
      </c>
      <c r="H594" s="10">
        <v>64.8</v>
      </c>
      <c r="I594" s="10" t="s">
        <v>20</v>
      </c>
      <c r="J594" s="10">
        <v>23</v>
      </c>
      <c r="K594" s="10">
        <v>329</v>
      </c>
      <c r="L594" s="10">
        <v>1</v>
      </c>
      <c r="M594" s="10" t="s">
        <v>51</v>
      </c>
      <c r="N594" s="10">
        <v>89.2</v>
      </c>
      <c r="O594" s="10">
        <v>296</v>
      </c>
      <c r="P594" s="10">
        <v>1</v>
      </c>
      <c r="Q594" s="10" t="str">
        <f>+IF(Tabla2[[#This Row],[Demand_Forecast]]&lt;= 125,"Low demand",IF(Tabla2[[#This Row],[Demand_Forecast]] &gt;=285,"High demand","Mid demand"))</f>
        <v>High demand</v>
      </c>
    </row>
    <row r="595" spans="1:17" x14ac:dyDescent="0.25">
      <c r="A595" s="11">
        <v>45607.802303240744</v>
      </c>
      <c r="B595" s="10" t="s">
        <v>95</v>
      </c>
      <c r="C595" s="10" t="s">
        <v>1222</v>
      </c>
      <c r="D595" s="10" t="s">
        <v>1223</v>
      </c>
      <c r="E595" s="10">
        <v>429</v>
      </c>
      <c r="F595" s="10" t="s">
        <v>25</v>
      </c>
      <c r="G595" s="10">
        <v>20.9</v>
      </c>
      <c r="H595" s="10">
        <v>68</v>
      </c>
      <c r="I595" s="10" t="s">
        <v>26</v>
      </c>
      <c r="J595" s="10">
        <v>50</v>
      </c>
      <c r="K595" s="10">
        <v>196</v>
      </c>
      <c r="L595" s="10">
        <v>10</v>
      </c>
      <c r="M595" s="10" t="s">
        <v>51</v>
      </c>
      <c r="N595" s="10">
        <v>72.900000000000006</v>
      </c>
      <c r="O595" s="10">
        <v>123</v>
      </c>
      <c r="P595" s="10">
        <v>1</v>
      </c>
      <c r="Q595" s="10" t="str">
        <f>+IF(Tabla2[[#This Row],[Demand_Forecast]]&lt;= 125,"Low demand",IF(Tabla2[[#This Row],[Demand_Forecast]] &gt;=285,"High demand","Mid demand"))</f>
        <v>Low demand</v>
      </c>
    </row>
    <row r="596" spans="1:17" x14ac:dyDescent="0.25">
      <c r="A596" s="11">
        <v>45439.359791666669</v>
      </c>
      <c r="B596" s="10" t="s">
        <v>22</v>
      </c>
      <c r="C596" s="10" t="s">
        <v>1224</v>
      </c>
      <c r="D596" s="10" t="s">
        <v>1225</v>
      </c>
      <c r="E596" s="10">
        <v>145</v>
      </c>
      <c r="F596" s="10" t="s">
        <v>34</v>
      </c>
      <c r="G596" s="10">
        <v>18.8</v>
      </c>
      <c r="H596" s="10">
        <v>62.6</v>
      </c>
      <c r="I596" s="10" t="s">
        <v>20</v>
      </c>
      <c r="J596" s="10">
        <v>14</v>
      </c>
      <c r="K596" s="10">
        <v>408</v>
      </c>
      <c r="L596" s="10">
        <v>9</v>
      </c>
      <c r="M596" s="10" t="s">
        <v>27</v>
      </c>
      <c r="N596" s="10">
        <v>81.3</v>
      </c>
      <c r="O596" s="10">
        <v>138</v>
      </c>
      <c r="P596" s="10">
        <v>0</v>
      </c>
      <c r="Q596" s="10" t="str">
        <f>+IF(Tabla2[[#This Row],[Demand_Forecast]]&lt;= 125,"Low demand",IF(Tabla2[[#This Row],[Demand_Forecast]] &gt;=285,"High demand","Mid demand"))</f>
        <v>Mid demand</v>
      </c>
    </row>
    <row r="597" spans="1:17" x14ac:dyDescent="0.25">
      <c r="A597" s="11">
        <v>45387.789386574077</v>
      </c>
      <c r="B597" s="10" t="s">
        <v>95</v>
      </c>
      <c r="C597" s="10" t="s">
        <v>1226</v>
      </c>
      <c r="D597" s="10" t="s">
        <v>1227</v>
      </c>
      <c r="E597" s="10">
        <v>135</v>
      </c>
      <c r="F597" s="10" t="s">
        <v>34</v>
      </c>
      <c r="G597" s="10">
        <v>20.100000000000001</v>
      </c>
      <c r="H597" s="10">
        <v>53.8</v>
      </c>
      <c r="I597" s="10" t="s">
        <v>20</v>
      </c>
      <c r="J597" s="10">
        <v>21</v>
      </c>
      <c r="K597" s="10">
        <v>108</v>
      </c>
      <c r="L597" s="10">
        <v>10</v>
      </c>
      <c r="M597" s="10" t="s">
        <v>35</v>
      </c>
      <c r="N597" s="10">
        <v>92</v>
      </c>
      <c r="O597" s="10">
        <v>243</v>
      </c>
      <c r="P597" s="10">
        <v>0</v>
      </c>
      <c r="Q597" s="10" t="str">
        <f>+IF(Tabla2[[#This Row],[Demand_Forecast]]&lt;= 125,"Low demand",IF(Tabla2[[#This Row],[Demand_Forecast]] &gt;=285,"High demand","Mid demand"))</f>
        <v>Mid demand</v>
      </c>
    </row>
    <row r="598" spans="1:17" x14ac:dyDescent="0.25">
      <c r="A598" s="11">
        <v>45496.630902777775</v>
      </c>
      <c r="B598" s="10" t="s">
        <v>64</v>
      </c>
      <c r="C598" s="10" t="s">
        <v>1228</v>
      </c>
      <c r="D598" s="10" t="s">
        <v>1229</v>
      </c>
      <c r="E598" s="10">
        <v>442</v>
      </c>
      <c r="F598" s="10" t="s">
        <v>19</v>
      </c>
      <c r="G598" s="10">
        <v>22.2</v>
      </c>
      <c r="H598" s="10">
        <v>65.400000000000006</v>
      </c>
      <c r="I598" s="10" t="s">
        <v>20</v>
      </c>
      <c r="J598" s="10">
        <v>33</v>
      </c>
      <c r="K598" s="10">
        <v>492</v>
      </c>
      <c r="L598" s="10">
        <v>5</v>
      </c>
      <c r="M598" s="10" t="s">
        <v>27</v>
      </c>
      <c r="N598" s="10">
        <v>86.4</v>
      </c>
      <c r="O598" s="10">
        <v>145</v>
      </c>
      <c r="P598" s="10">
        <v>1</v>
      </c>
      <c r="Q598" s="10" t="str">
        <f>+IF(Tabla2[[#This Row],[Demand_Forecast]]&lt;= 125,"Low demand",IF(Tabla2[[#This Row],[Demand_Forecast]] &gt;=285,"High demand","Mid demand"))</f>
        <v>Mid demand</v>
      </c>
    </row>
    <row r="599" spans="1:17" x14ac:dyDescent="0.25">
      <c r="A599" s="11">
        <v>45355.392187500001</v>
      </c>
      <c r="B599" s="10" t="s">
        <v>28</v>
      </c>
      <c r="C599" s="10" t="s">
        <v>1230</v>
      </c>
      <c r="D599" s="10" t="s">
        <v>1231</v>
      </c>
      <c r="E599" s="10">
        <v>342</v>
      </c>
      <c r="F599" s="10" t="s">
        <v>34</v>
      </c>
      <c r="G599" s="10">
        <v>27.2</v>
      </c>
      <c r="H599" s="10">
        <v>55.1</v>
      </c>
      <c r="I599" s="10" t="s">
        <v>26</v>
      </c>
      <c r="J599" s="10">
        <v>22</v>
      </c>
      <c r="K599" s="10">
        <v>326</v>
      </c>
      <c r="L599" s="10">
        <v>2</v>
      </c>
      <c r="M599" s="10" t="s">
        <v>21</v>
      </c>
      <c r="N599" s="10">
        <v>64.400000000000006</v>
      </c>
      <c r="O599" s="10">
        <v>300</v>
      </c>
      <c r="P599" s="10">
        <v>1</v>
      </c>
      <c r="Q599" s="10" t="str">
        <f>+IF(Tabla2[[#This Row],[Demand_Forecast]]&lt;= 125,"Low demand",IF(Tabla2[[#This Row],[Demand_Forecast]] &gt;=285,"High demand","Mid demand"))</f>
        <v>High demand</v>
      </c>
    </row>
    <row r="600" spans="1:17" x14ac:dyDescent="0.25">
      <c r="A600" s="11">
        <v>45294.534583333334</v>
      </c>
      <c r="B600" s="10" t="s">
        <v>28</v>
      </c>
      <c r="C600" s="10" t="s">
        <v>1232</v>
      </c>
      <c r="D600" s="10" t="s">
        <v>1233</v>
      </c>
      <c r="E600" s="10">
        <v>308</v>
      </c>
      <c r="F600" s="10" t="s">
        <v>19</v>
      </c>
      <c r="G600" s="10">
        <v>25.2</v>
      </c>
      <c r="H600" s="10">
        <v>52.5</v>
      </c>
      <c r="I600" s="10" t="s">
        <v>26</v>
      </c>
      <c r="J600" s="10">
        <v>19</v>
      </c>
      <c r="K600" s="10">
        <v>475</v>
      </c>
      <c r="L600" s="10">
        <v>8</v>
      </c>
      <c r="M600" s="10" t="s">
        <v>51</v>
      </c>
      <c r="N600" s="10">
        <v>95</v>
      </c>
      <c r="O600" s="10">
        <v>206</v>
      </c>
      <c r="P600" s="10">
        <v>1</v>
      </c>
      <c r="Q600" s="10" t="str">
        <f>+IF(Tabla2[[#This Row],[Demand_Forecast]]&lt;= 125,"Low demand",IF(Tabla2[[#This Row],[Demand_Forecast]] &gt;=285,"High demand","Mid demand"))</f>
        <v>Mid demand</v>
      </c>
    </row>
    <row r="601" spans="1:17" x14ac:dyDescent="0.25">
      <c r="A601" s="11">
        <v>45387.847511574073</v>
      </c>
      <c r="B601" s="10" t="s">
        <v>16</v>
      </c>
      <c r="C601" s="10" t="s">
        <v>1234</v>
      </c>
      <c r="D601" s="10" t="s">
        <v>1235</v>
      </c>
      <c r="E601" s="10">
        <v>358</v>
      </c>
      <c r="F601" s="10" t="s">
        <v>19</v>
      </c>
      <c r="G601" s="10">
        <v>21.6</v>
      </c>
      <c r="H601" s="10">
        <v>61.7</v>
      </c>
      <c r="I601" s="10" t="s">
        <v>38</v>
      </c>
      <c r="J601" s="10">
        <v>23</v>
      </c>
      <c r="K601" s="10">
        <v>127</v>
      </c>
      <c r="L601" s="10">
        <v>6</v>
      </c>
      <c r="M601" s="10" t="s">
        <v>21</v>
      </c>
      <c r="N601" s="10">
        <v>85.7</v>
      </c>
      <c r="O601" s="10">
        <v>199</v>
      </c>
      <c r="P601" s="10">
        <v>1</v>
      </c>
      <c r="Q601" s="10" t="str">
        <f>+IF(Tabla2[[#This Row],[Demand_Forecast]]&lt;= 125,"Low demand",IF(Tabla2[[#This Row],[Demand_Forecast]] &gt;=285,"High demand","Mid demand"))</f>
        <v>Mid demand</v>
      </c>
    </row>
    <row r="602" spans="1:17" x14ac:dyDescent="0.25">
      <c r="A602" s="11">
        <v>45420.422986111109</v>
      </c>
      <c r="B602" s="10" t="s">
        <v>22</v>
      </c>
      <c r="C602" s="10" t="s">
        <v>1236</v>
      </c>
      <c r="D602" s="10" t="s">
        <v>1237</v>
      </c>
      <c r="E602" s="10">
        <v>128</v>
      </c>
      <c r="F602" s="10" t="s">
        <v>19</v>
      </c>
      <c r="G602" s="10">
        <v>23</v>
      </c>
      <c r="H602" s="10">
        <v>69.7</v>
      </c>
      <c r="I602" s="10" t="s">
        <v>38</v>
      </c>
      <c r="J602" s="10">
        <v>30</v>
      </c>
      <c r="K602" s="10">
        <v>462</v>
      </c>
      <c r="L602" s="10">
        <v>8</v>
      </c>
      <c r="M602" s="10" t="s">
        <v>21</v>
      </c>
      <c r="N602" s="10">
        <v>76.7</v>
      </c>
      <c r="O602" s="10">
        <v>105</v>
      </c>
      <c r="P602" s="10">
        <v>1</v>
      </c>
      <c r="Q602" s="10" t="str">
        <f>+IF(Tabla2[[#This Row],[Demand_Forecast]]&lt;= 125,"Low demand",IF(Tabla2[[#This Row],[Demand_Forecast]] &gt;=285,"High demand","Mid demand"))</f>
        <v>Low demand</v>
      </c>
    </row>
    <row r="603" spans="1:17" x14ac:dyDescent="0.25">
      <c r="A603" s="11">
        <v>45480.825868055559</v>
      </c>
      <c r="B603" s="10" t="s">
        <v>48</v>
      </c>
      <c r="C603" s="10" t="s">
        <v>1238</v>
      </c>
      <c r="D603" s="10" t="s">
        <v>1239</v>
      </c>
      <c r="E603" s="10">
        <v>426</v>
      </c>
      <c r="F603" s="10" t="s">
        <v>19</v>
      </c>
      <c r="G603" s="10">
        <v>24.2</v>
      </c>
      <c r="H603" s="10">
        <v>75.7</v>
      </c>
      <c r="I603" s="10" t="s">
        <v>38</v>
      </c>
      <c r="J603" s="10">
        <v>51</v>
      </c>
      <c r="K603" s="10">
        <v>303</v>
      </c>
      <c r="L603" s="10">
        <v>10</v>
      </c>
      <c r="M603" s="10" t="s">
        <v>51</v>
      </c>
      <c r="N603" s="10">
        <v>94.1</v>
      </c>
      <c r="O603" s="10">
        <v>160</v>
      </c>
      <c r="P603" s="10">
        <v>1</v>
      </c>
      <c r="Q603" s="10" t="str">
        <f>+IF(Tabla2[[#This Row],[Demand_Forecast]]&lt;= 125,"Low demand",IF(Tabla2[[#This Row],[Demand_Forecast]] &gt;=285,"High demand","Mid demand"))</f>
        <v>Mid demand</v>
      </c>
    </row>
    <row r="604" spans="1:17" x14ac:dyDescent="0.25">
      <c r="A604" s="11">
        <v>45622.948194444441</v>
      </c>
      <c r="B604" s="10" t="s">
        <v>22</v>
      </c>
      <c r="C604" s="10" t="s">
        <v>1240</v>
      </c>
      <c r="D604" s="10" t="s">
        <v>1241</v>
      </c>
      <c r="E604" s="10">
        <v>349</v>
      </c>
      <c r="F604" s="10" t="s">
        <v>34</v>
      </c>
      <c r="G604" s="10">
        <v>21.1</v>
      </c>
      <c r="H604" s="10">
        <v>54.1</v>
      </c>
      <c r="I604" s="10" t="s">
        <v>20</v>
      </c>
      <c r="J604" s="10">
        <v>47</v>
      </c>
      <c r="K604" s="10">
        <v>290</v>
      </c>
      <c r="L604" s="10">
        <v>5</v>
      </c>
      <c r="M604" s="10" t="s">
        <v>21</v>
      </c>
      <c r="N604" s="10">
        <v>70.400000000000006</v>
      </c>
      <c r="O604" s="10">
        <v>233</v>
      </c>
      <c r="P604" s="10">
        <v>0</v>
      </c>
      <c r="Q604" s="10" t="str">
        <f>+IF(Tabla2[[#This Row],[Demand_Forecast]]&lt;= 125,"Low demand",IF(Tabla2[[#This Row],[Demand_Forecast]] &gt;=285,"High demand","Mid demand"))</f>
        <v>Mid demand</v>
      </c>
    </row>
    <row r="605" spans="1:17" x14ac:dyDescent="0.25">
      <c r="A605" s="11">
        <v>45295.133692129632</v>
      </c>
      <c r="B605" s="10" t="s">
        <v>41</v>
      </c>
      <c r="C605" s="10" t="s">
        <v>1242</v>
      </c>
      <c r="D605" s="10" t="s">
        <v>1243</v>
      </c>
      <c r="E605" s="10">
        <v>173</v>
      </c>
      <c r="F605" s="10" t="s">
        <v>25</v>
      </c>
      <c r="G605" s="10">
        <v>23.1</v>
      </c>
      <c r="H605" s="10">
        <v>56</v>
      </c>
      <c r="I605" s="10" t="s">
        <v>26</v>
      </c>
      <c r="J605" s="10">
        <v>50</v>
      </c>
      <c r="K605" s="10">
        <v>440</v>
      </c>
      <c r="L605" s="10">
        <v>3</v>
      </c>
      <c r="M605" s="10" t="s">
        <v>51</v>
      </c>
      <c r="N605" s="10">
        <v>73.400000000000006</v>
      </c>
      <c r="O605" s="10">
        <v>289</v>
      </c>
      <c r="P605" s="10">
        <v>1</v>
      </c>
      <c r="Q605" s="10" t="str">
        <f>+IF(Tabla2[[#This Row],[Demand_Forecast]]&lt;= 125,"Low demand",IF(Tabla2[[#This Row],[Demand_Forecast]] &gt;=285,"High demand","Mid demand"))</f>
        <v>High demand</v>
      </c>
    </row>
    <row r="606" spans="1:17" x14ac:dyDescent="0.25">
      <c r="A606" s="11">
        <v>45504.624571759261</v>
      </c>
      <c r="B606" s="10" t="s">
        <v>28</v>
      </c>
      <c r="C606" s="10" t="s">
        <v>1244</v>
      </c>
      <c r="D606" s="10" t="s">
        <v>1245</v>
      </c>
      <c r="E606" s="10">
        <v>184</v>
      </c>
      <c r="F606" s="10" t="s">
        <v>19</v>
      </c>
      <c r="G606" s="10">
        <v>24.5</v>
      </c>
      <c r="H606" s="10">
        <v>54.9</v>
      </c>
      <c r="I606" s="10" t="s">
        <v>20</v>
      </c>
      <c r="J606" s="10">
        <v>23</v>
      </c>
      <c r="K606" s="10">
        <v>159</v>
      </c>
      <c r="L606" s="10">
        <v>7</v>
      </c>
      <c r="M606" s="10" t="s">
        <v>35</v>
      </c>
      <c r="N606" s="10">
        <v>60.2</v>
      </c>
      <c r="O606" s="10">
        <v>120</v>
      </c>
      <c r="P606" s="10">
        <v>1</v>
      </c>
      <c r="Q606" s="10" t="str">
        <f>+IF(Tabla2[[#This Row],[Demand_Forecast]]&lt;= 125,"Low demand",IF(Tabla2[[#This Row],[Demand_Forecast]] &gt;=285,"High demand","Mid demand"))</f>
        <v>Low demand</v>
      </c>
    </row>
    <row r="607" spans="1:17" x14ac:dyDescent="0.25">
      <c r="A607" s="11">
        <v>45435.974733796298</v>
      </c>
      <c r="B607" s="10" t="s">
        <v>64</v>
      </c>
      <c r="C607" s="10" t="s">
        <v>1246</v>
      </c>
      <c r="D607" s="10" t="s">
        <v>1247</v>
      </c>
      <c r="E607" s="10">
        <v>318</v>
      </c>
      <c r="F607" s="10" t="s">
        <v>19</v>
      </c>
      <c r="G607" s="10">
        <v>25.5</v>
      </c>
      <c r="H607" s="10">
        <v>64.3</v>
      </c>
      <c r="I607" s="10" t="s">
        <v>26</v>
      </c>
      <c r="J607" s="10">
        <v>15</v>
      </c>
      <c r="K607" s="10">
        <v>215</v>
      </c>
      <c r="L607" s="10">
        <v>8</v>
      </c>
      <c r="M607" s="10" t="s">
        <v>35</v>
      </c>
      <c r="N607" s="10">
        <v>69.099999999999994</v>
      </c>
      <c r="O607" s="10">
        <v>158</v>
      </c>
      <c r="P607" s="10">
        <v>1</v>
      </c>
      <c r="Q607" s="10" t="str">
        <f>+IF(Tabla2[[#This Row],[Demand_Forecast]]&lt;= 125,"Low demand",IF(Tabla2[[#This Row],[Demand_Forecast]] &gt;=285,"High demand","Mid demand"))</f>
        <v>Mid demand</v>
      </c>
    </row>
    <row r="608" spans="1:17" x14ac:dyDescent="0.25">
      <c r="A608" s="11">
        <v>45477.003495370373</v>
      </c>
      <c r="B608" s="10" t="s">
        <v>61</v>
      </c>
      <c r="C608" s="10" t="s">
        <v>1248</v>
      </c>
      <c r="D608" s="10" t="s">
        <v>1249</v>
      </c>
      <c r="E608" s="10">
        <v>288</v>
      </c>
      <c r="F608" s="10" t="s">
        <v>34</v>
      </c>
      <c r="G608" s="10">
        <v>24.7</v>
      </c>
      <c r="H608" s="10">
        <v>67.400000000000006</v>
      </c>
      <c r="I608" s="10" t="s">
        <v>20</v>
      </c>
      <c r="J608" s="10">
        <v>37</v>
      </c>
      <c r="K608" s="10">
        <v>230</v>
      </c>
      <c r="L608" s="10">
        <v>7</v>
      </c>
      <c r="M608" s="10" t="s">
        <v>51</v>
      </c>
      <c r="N608" s="10">
        <v>65</v>
      </c>
      <c r="O608" s="10">
        <v>259</v>
      </c>
      <c r="P608" s="10">
        <v>0</v>
      </c>
      <c r="Q608" s="10" t="str">
        <f>+IF(Tabla2[[#This Row],[Demand_Forecast]]&lt;= 125,"Low demand",IF(Tabla2[[#This Row],[Demand_Forecast]] &gt;=285,"High demand","Mid demand"))</f>
        <v>Mid demand</v>
      </c>
    </row>
    <row r="609" spans="1:17" x14ac:dyDescent="0.25">
      <c r="A609" s="11">
        <v>45522.976238425923</v>
      </c>
      <c r="B609" s="10" t="s">
        <v>22</v>
      </c>
      <c r="C609" s="10" t="s">
        <v>1250</v>
      </c>
      <c r="D609" s="10" t="s">
        <v>1251</v>
      </c>
      <c r="E609" s="10">
        <v>317</v>
      </c>
      <c r="F609" s="10" t="s">
        <v>34</v>
      </c>
      <c r="G609" s="10">
        <v>18.5</v>
      </c>
      <c r="H609" s="10">
        <v>66</v>
      </c>
      <c r="I609" s="10" t="s">
        <v>26</v>
      </c>
      <c r="J609" s="10">
        <v>36</v>
      </c>
      <c r="K609" s="10">
        <v>465</v>
      </c>
      <c r="L609" s="10">
        <v>1</v>
      </c>
      <c r="M609" s="10" t="s">
        <v>51</v>
      </c>
      <c r="N609" s="10">
        <v>68</v>
      </c>
      <c r="O609" s="10">
        <v>180</v>
      </c>
      <c r="P609" s="10">
        <v>1</v>
      </c>
      <c r="Q609" s="10" t="str">
        <f>+IF(Tabla2[[#This Row],[Demand_Forecast]]&lt;= 125,"Low demand",IF(Tabla2[[#This Row],[Demand_Forecast]] &gt;=285,"High demand","Mid demand"))</f>
        <v>Mid demand</v>
      </c>
    </row>
    <row r="610" spans="1:17" x14ac:dyDescent="0.25">
      <c r="A610" s="11">
        <v>45588.639074074075</v>
      </c>
      <c r="B610" s="10" t="s">
        <v>16</v>
      </c>
      <c r="C610" s="10" t="s">
        <v>1252</v>
      </c>
      <c r="D610" s="10" t="s">
        <v>1253</v>
      </c>
      <c r="E610" s="10">
        <v>122</v>
      </c>
      <c r="F610" s="10" t="s">
        <v>25</v>
      </c>
      <c r="G610" s="10">
        <v>26.7</v>
      </c>
      <c r="H610" s="10">
        <v>73.2</v>
      </c>
      <c r="I610" s="10" t="s">
        <v>38</v>
      </c>
      <c r="J610" s="10">
        <v>37</v>
      </c>
      <c r="K610" s="10">
        <v>128</v>
      </c>
      <c r="L610" s="10">
        <v>9</v>
      </c>
      <c r="M610" s="10" t="s">
        <v>21</v>
      </c>
      <c r="N610" s="10">
        <v>81.400000000000006</v>
      </c>
      <c r="O610" s="10">
        <v>174</v>
      </c>
      <c r="P610" s="10">
        <v>0</v>
      </c>
      <c r="Q610" s="10" t="str">
        <f>+IF(Tabla2[[#This Row],[Demand_Forecast]]&lt;= 125,"Low demand",IF(Tabla2[[#This Row],[Demand_Forecast]] &gt;=285,"High demand","Mid demand"))</f>
        <v>Mid demand</v>
      </c>
    </row>
    <row r="611" spans="1:17" x14ac:dyDescent="0.25">
      <c r="A611" s="11">
        <v>45475.69494212963</v>
      </c>
      <c r="B611" s="10" t="s">
        <v>41</v>
      </c>
      <c r="C611" s="10" t="s">
        <v>1254</v>
      </c>
      <c r="D611" s="10" t="s">
        <v>1255</v>
      </c>
      <c r="E611" s="10">
        <v>291</v>
      </c>
      <c r="F611" s="10" t="s">
        <v>34</v>
      </c>
      <c r="G611" s="10">
        <v>24.2</v>
      </c>
      <c r="H611" s="10">
        <v>67</v>
      </c>
      <c r="I611" s="10" t="s">
        <v>26</v>
      </c>
      <c r="J611" s="10">
        <v>29</v>
      </c>
      <c r="K611" s="10">
        <v>431</v>
      </c>
      <c r="L611" s="10">
        <v>9</v>
      </c>
      <c r="M611" s="10" t="s">
        <v>35</v>
      </c>
      <c r="N611" s="10">
        <v>90.1</v>
      </c>
      <c r="O611" s="10">
        <v>172</v>
      </c>
      <c r="P611" s="10">
        <v>1</v>
      </c>
      <c r="Q611" s="10" t="str">
        <f>+IF(Tabla2[[#This Row],[Demand_Forecast]]&lt;= 125,"Low demand",IF(Tabla2[[#This Row],[Demand_Forecast]] &gt;=285,"High demand","Mid demand"))</f>
        <v>Mid demand</v>
      </c>
    </row>
    <row r="612" spans="1:17" x14ac:dyDescent="0.25">
      <c r="A612" s="11">
        <v>45301.702939814815</v>
      </c>
      <c r="B612" s="10" t="s">
        <v>95</v>
      </c>
      <c r="C612" s="10" t="s">
        <v>1256</v>
      </c>
      <c r="D612" s="10" t="s">
        <v>1257</v>
      </c>
      <c r="E612" s="10">
        <v>199</v>
      </c>
      <c r="F612" s="10" t="s">
        <v>34</v>
      </c>
      <c r="G612" s="10">
        <v>23.4</v>
      </c>
      <c r="H612" s="10">
        <v>64.400000000000006</v>
      </c>
      <c r="I612" s="10" t="s">
        <v>26</v>
      </c>
      <c r="J612" s="10">
        <v>59</v>
      </c>
      <c r="K612" s="10">
        <v>476</v>
      </c>
      <c r="L612" s="10">
        <v>10</v>
      </c>
      <c r="M612" s="10" t="s">
        <v>35</v>
      </c>
      <c r="N612" s="10">
        <v>81.3</v>
      </c>
      <c r="O612" s="10">
        <v>123</v>
      </c>
      <c r="P612" s="10">
        <v>1</v>
      </c>
      <c r="Q612" s="10" t="str">
        <f>+IF(Tabla2[[#This Row],[Demand_Forecast]]&lt;= 125,"Low demand",IF(Tabla2[[#This Row],[Demand_Forecast]] &gt;=285,"High demand","Mid demand"))</f>
        <v>Low demand</v>
      </c>
    </row>
    <row r="613" spans="1:17" x14ac:dyDescent="0.25">
      <c r="A613" s="11">
        <v>45590.668217592596</v>
      </c>
      <c r="B613" s="10" t="s">
        <v>56</v>
      </c>
      <c r="C613" s="10" t="s">
        <v>1258</v>
      </c>
      <c r="D613" s="10" t="s">
        <v>1259</v>
      </c>
      <c r="E613" s="10">
        <v>488</v>
      </c>
      <c r="F613" s="10" t="s">
        <v>34</v>
      </c>
      <c r="G613" s="10">
        <v>21.9</v>
      </c>
      <c r="H613" s="10">
        <v>75.8</v>
      </c>
      <c r="I613" s="10" t="s">
        <v>20</v>
      </c>
      <c r="J613" s="10">
        <v>30</v>
      </c>
      <c r="K613" s="10">
        <v>147</v>
      </c>
      <c r="L613" s="10">
        <v>3</v>
      </c>
      <c r="M613" s="10" t="s">
        <v>51</v>
      </c>
      <c r="N613" s="10">
        <v>81.599999999999994</v>
      </c>
      <c r="O613" s="10">
        <v>252</v>
      </c>
      <c r="P613" s="10">
        <v>0</v>
      </c>
      <c r="Q613" s="10" t="str">
        <f>+IF(Tabla2[[#This Row],[Demand_Forecast]]&lt;= 125,"Low demand",IF(Tabla2[[#This Row],[Demand_Forecast]] &gt;=285,"High demand","Mid demand"))</f>
        <v>Mid demand</v>
      </c>
    </row>
    <row r="614" spans="1:17" x14ac:dyDescent="0.25">
      <c r="A614" s="11">
        <v>45349.906967592593</v>
      </c>
      <c r="B614" s="10" t="s">
        <v>95</v>
      </c>
      <c r="C614" s="10" t="s">
        <v>1260</v>
      </c>
      <c r="D614" s="10" t="s">
        <v>1261</v>
      </c>
      <c r="E614" s="10">
        <v>445</v>
      </c>
      <c r="F614" s="10" t="s">
        <v>19</v>
      </c>
      <c r="G614" s="10">
        <v>20.6</v>
      </c>
      <c r="H614" s="10">
        <v>68.2</v>
      </c>
      <c r="I614" s="10" t="s">
        <v>38</v>
      </c>
      <c r="J614" s="10">
        <v>41</v>
      </c>
      <c r="K614" s="10">
        <v>418</v>
      </c>
      <c r="L614" s="10">
        <v>9</v>
      </c>
      <c r="M614" s="10" t="s">
        <v>21</v>
      </c>
      <c r="N614" s="10">
        <v>93.6</v>
      </c>
      <c r="O614" s="10">
        <v>184</v>
      </c>
      <c r="P614" s="10">
        <v>1</v>
      </c>
      <c r="Q614" s="10" t="str">
        <f>+IF(Tabla2[[#This Row],[Demand_Forecast]]&lt;= 125,"Low demand",IF(Tabla2[[#This Row],[Demand_Forecast]] &gt;=285,"High demand","Mid demand"))</f>
        <v>Mid demand</v>
      </c>
    </row>
    <row r="615" spans="1:17" x14ac:dyDescent="0.25">
      <c r="A615" s="11">
        <v>45510.187060185184</v>
      </c>
      <c r="B615" s="10" t="s">
        <v>48</v>
      </c>
      <c r="C615" s="10" t="s">
        <v>1262</v>
      </c>
      <c r="D615" s="10" t="s">
        <v>1263</v>
      </c>
      <c r="E615" s="10">
        <v>247</v>
      </c>
      <c r="F615" s="10" t="s">
        <v>19</v>
      </c>
      <c r="G615" s="10">
        <v>19.3</v>
      </c>
      <c r="H615" s="10">
        <v>62.9</v>
      </c>
      <c r="I615" s="10" t="s">
        <v>38</v>
      </c>
      <c r="J615" s="10">
        <v>55</v>
      </c>
      <c r="K615" s="10">
        <v>466</v>
      </c>
      <c r="L615" s="10">
        <v>2</v>
      </c>
      <c r="M615" s="10" t="s">
        <v>27</v>
      </c>
      <c r="N615" s="10">
        <v>78</v>
      </c>
      <c r="O615" s="10">
        <v>183</v>
      </c>
      <c r="P615" s="10">
        <v>1</v>
      </c>
      <c r="Q615" s="10" t="str">
        <f>+IF(Tabla2[[#This Row],[Demand_Forecast]]&lt;= 125,"Low demand",IF(Tabla2[[#This Row],[Demand_Forecast]] &gt;=285,"High demand","Mid demand"))</f>
        <v>Mid demand</v>
      </c>
    </row>
    <row r="616" spans="1:17" x14ac:dyDescent="0.25">
      <c r="A616" s="11">
        <v>45544.787731481483</v>
      </c>
      <c r="B616" s="10" t="s">
        <v>41</v>
      </c>
      <c r="C616" s="10" t="s">
        <v>1264</v>
      </c>
      <c r="D616" s="10" t="s">
        <v>1265</v>
      </c>
      <c r="E616" s="10">
        <v>351</v>
      </c>
      <c r="F616" s="10" t="s">
        <v>25</v>
      </c>
      <c r="G616" s="10">
        <v>29.7</v>
      </c>
      <c r="H616" s="10">
        <v>52.1</v>
      </c>
      <c r="I616" s="10" t="s">
        <v>38</v>
      </c>
      <c r="J616" s="10">
        <v>41</v>
      </c>
      <c r="K616" s="10">
        <v>330</v>
      </c>
      <c r="L616" s="10">
        <v>8</v>
      </c>
      <c r="M616" s="10" t="s">
        <v>27</v>
      </c>
      <c r="N616" s="10">
        <v>94.5</v>
      </c>
      <c r="O616" s="10">
        <v>108</v>
      </c>
      <c r="P616" s="10">
        <v>0</v>
      </c>
      <c r="Q616" s="10" t="str">
        <f>+IF(Tabla2[[#This Row],[Demand_Forecast]]&lt;= 125,"Low demand",IF(Tabla2[[#This Row],[Demand_Forecast]] &gt;=285,"High demand","Mid demand"))</f>
        <v>Low demand</v>
      </c>
    </row>
    <row r="617" spans="1:17" x14ac:dyDescent="0.25">
      <c r="A617" s="11">
        <v>45312.538993055554</v>
      </c>
      <c r="B617" s="10" t="s">
        <v>95</v>
      </c>
      <c r="C617" s="10" t="s">
        <v>1266</v>
      </c>
      <c r="D617" s="10" t="s">
        <v>1267</v>
      </c>
      <c r="E617" s="10">
        <v>311</v>
      </c>
      <c r="F617" s="10" t="s">
        <v>19</v>
      </c>
      <c r="G617" s="10">
        <v>28.9</v>
      </c>
      <c r="H617" s="10">
        <v>77.8</v>
      </c>
      <c r="I617" s="10" t="s">
        <v>26</v>
      </c>
      <c r="J617" s="10">
        <v>43</v>
      </c>
      <c r="K617" s="10">
        <v>415</v>
      </c>
      <c r="L617" s="10">
        <v>1</v>
      </c>
      <c r="M617" s="10" t="s">
        <v>51</v>
      </c>
      <c r="N617" s="10">
        <v>76.400000000000006</v>
      </c>
      <c r="O617" s="10">
        <v>210</v>
      </c>
      <c r="P617" s="10">
        <v>1</v>
      </c>
      <c r="Q617" s="10" t="str">
        <f>+IF(Tabla2[[#This Row],[Demand_Forecast]]&lt;= 125,"Low demand",IF(Tabla2[[#This Row],[Demand_Forecast]] &gt;=285,"High demand","Mid demand"))</f>
        <v>Mid demand</v>
      </c>
    </row>
    <row r="618" spans="1:17" x14ac:dyDescent="0.25">
      <c r="A618" s="11">
        <v>45588.882638888892</v>
      </c>
      <c r="B618" s="10" t="s">
        <v>64</v>
      </c>
      <c r="C618" s="10" t="s">
        <v>1268</v>
      </c>
      <c r="D618" s="10" t="s">
        <v>1269</v>
      </c>
      <c r="E618" s="10">
        <v>495</v>
      </c>
      <c r="F618" s="10" t="s">
        <v>34</v>
      </c>
      <c r="G618" s="10">
        <v>29.5</v>
      </c>
      <c r="H618" s="10">
        <v>50.6</v>
      </c>
      <c r="I618" s="10" t="s">
        <v>20</v>
      </c>
      <c r="J618" s="10">
        <v>58</v>
      </c>
      <c r="K618" s="10">
        <v>179</v>
      </c>
      <c r="L618" s="10">
        <v>3</v>
      </c>
      <c r="M618" s="10" t="s">
        <v>51</v>
      </c>
      <c r="N618" s="10">
        <v>72.3</v>
      </c>
      <c r="O618" s="10">
        <v>245</v>
      </c>
      <c r="P618" s="10">
        <v>0</v>
      </c>
      <c r="Q618" s="10" t="str">
        <f>+IF(Tabla2[[#This Row],[Demand_Forecast]]&lt;= 125,"Low demand",IF(Tabla2[[#This Row],[Demand_Forecast]] &gt;=285,"High demand","Mid demand"))</f>
        <v>Mid demand</v>
      </c>
    </row>
    <row r="619" spans="1:17" x14ac:dyDescent="0.25">
      <c r="A619" s="11">
        <v>45373.129432870373</v>
      </c>
      <c r="B619" s="10" t="s">
        <v>61</v>
      </c>
      <c r="C619" s="10" t="s">
        <v>1270</v>
      </c>
      <c r="D619" s="10" t="s">
        <v>1271</v>
      </c>
      <c r="E619" s="10">
        <v>237</v>
      </c>
      <c r="F619" s="10" t="s">
        <v>25</v>
      </c>
      <c r="G619" s="10">
        <v>23.6</v>
      </c>
      <c r="H619" s="10">
        <v>62.7</v>
      </c>
      <c r="I619" s="10" t="s">
        <v>20</v>
      </c>
      <c r="J619" s="10">
        <v>35</v>
      </c>
      <c r="K619" s="10">
        <v>323</v>
      </c>
      <c r="L619" s="10">
        <v>9</v>
      </c>
      <c r="M619" s="10" t="s">
        <v>27</v>
      </c>
      <c r="N619" s="10">
        <v>66.8</v>
      </c>
      <c r="O619" s="10">
        <v>267</v>
      </c>
      <c r="P619" s="10">
        <v>0</v>
      </c>
      <c r="Q619" s="10" t="str">
        <f>+IF(Tabla2[[#This Row],[Demand_Forecast]]&lt;= 125,"Low demand",IF(Tabla2[[#This Row],[Demand_Forecast]] &gt;=285,"High demand","Mid demand"))</f>
        <v>Mid demand</v>
      </c>
    </row>
    <row r="620" spans="1:17" x14ac:dyDescent="0.25">
      <c r="A620" s="11">
        <v>45542.082499999997</v>
      </c>
      <c r="B620" s="10" t="s">
        <v>48</v>
      </c>
      <c r="C620" s="10" t="s">
        <v>1272</v>
      </c>
      <c r="D620" s="10" t="s">
        <v>1273</v>
      </c>
      <c r="E620" s="10">
        <v>290</v>
      </c>
      <c r="F620" s="10" t="s">
        <v>34</v>
      </c>
      <c r="G620" s="10">
        <v>28.7</v>
      </c>
      <c r="H620" s="10">
        <v>72.599999999999994</v>
      </c>
      <c r="I620" s="10" t="s">
        <v>38</v>
      </c>
      <c r="J620" s="10">
        <v>45</v>
      </c>
      <c r="K620" s="10">
        <v>151</v>
      </c>
      <c r="L620" s="10">
        <v>8</v>
      </c>
      <c r="M620" s="10" t="s">
        <v>35</v>
      </c>
      <c r="N620" s="10">
        <v>81.7</v>
      </c>
      <c r="O620" s="10">
        <v>280</v>
      </c>
      <c r="P620" s="10">
        <v>0</v>
      </c>
      <c r="Q620" s="10" t="str">
        <f>+IF(Tabla2[[#This Row],[Demand_Forecast]]&lt;= 125,"Low demand",IF(Tabla2[[#This Row],[Demand_Forecast]] &gt;=285,"High demand","Mid demand"))</f>
        <v>Mid demand</v>
      </c>
    </row>
    <row r="621" spans="1:17" x14ac:dyDescent="0.25">
      <c r="A621" s="11">
        <v>45335.22515046296</v>
      </c>
      <c r="B621" s="10" t="s">
        <v>48</v>
      </c>
      <c r="C621" s="10" t="s">
        <v>1274</v>
      </c>
      <c r="D621" s="10" t="s">
        <v>1275</v>
      </c>
      <c r="E621" s="10">
        <v>111</v>
      </c>
      <c r="F621" s="10" t="s">
        <v>19</v>
      </c>
      <c r="G621" s="10">
        <v>22.7</v>
      </c>
      <c r="H621" s="10">
        <v>75.599999999999994</v>
      </c>
      <c r="I621" s="10" t="s">
        <v>38</v>
      </c>
      <c r="J621" s="10">
        <v>47</v>
      </c>
      <c r="K621" s="10">
        <v>207</v>
      </c>
      <c r="L621" s="10">
        <v>4</v>
      </c>
      <c r="M621" s="10" t="s">
        <v>21</v>
      </c>
      <c r="N621" s="10">
        <v>60.4</v>
      </c>
      <c r="O621" s="10">
        <v>131</v>
      </c>
      <c r="P621" s="10">
        <v>1</v>
      </c>
      <c r="Q621" s="10" t="str">
        <f>+IF(Tabla2[[#This Row],[Demand_Forecast]]&lt;= 125,"Low demand",IF(Tabla2[[#This Row],[Demand_Forecast]] &gt;=285,"High demand","Mid demand"))</f>
        <v>Mid demand</v>
      </c>
    </row>
    <row r="622" spans="1:17" x14ac:dyDescent="0.25">
      <c r="A622" s="11">
        <v>45321.650416666664</v>
      </c>
      <c r="B622" s="10" t="s">
        <v>48</v>
      </c>
      <c r="C622" s="10" t="s">
        <v>1276</v>
      </c>
      <c r="D622" s="10" t="s">
        <v>1277</v>
      </c>
      <c r="E622" s="10">
        <v>373</v>
      </c>
      <c r="F622" s="10" t="s">
        <v>19</v>
      </c>
      <c r="G622" s="10">
        <v>27.6</v>
      </c>
      <c r="H622" s="10">
        <v>65.8</v>
      </c>
      <c r="I622" s="10" t="s">
        <v>26</v>
      </c>
      <c r="J622" s="10">
        <v>23</v>
      </c>
      <c r="K622" s="10">
        <v>396</v>
      </c>
      <c r="L622" s="10">
        <v>1</v>
      </c>
      <c r="M622" s="10" t="s">
        <v>35</v>
      </c>
      <c r="N622" s="10">
        <v>79.3</v>
      </c>
      <c r="O622" s="10">
        <v>126</v>
      </c>
      <c r="P622" s="10">
        <v>1</v>
      </c>
      <c r="Q622" s="10" t="str">
        <f>+IF(Tabla2[[#This Row],[Demand_Forecast]]&lt;= 125,"Low demand",IF(Tabla2[[#This Row],[Demand_Forecast]] &gt;=285,"High demand","Mid demand"))</f>
        <v>Mid demand</v>
      </c>
    </row>
    <row r="623" spans="1:17" x14ac:dyDescent="0.25">
      <c r="A623" s="11">
        <v>45357.257268518515</v>
      </c>
      <c r="B623" s="10" t="s">
        <v>28</v>
      </c>
      <c r="C623" s="10" t="s">
        <v>1278</v>
      </c>
      <c r="D623" s="10" t="s">
        <v>1279</v>
      </c>
      <c r="E623" s="10">
        <v>458</v>
      </c>
      <c r="F623" s="10" t="s">
        <v>25</v>
      </c>
      <c r="G623" s="10">
        <v>25.5</v>
      </c>
      <c r="H623" s="10">
        <v>52.1</v>
      </c>
      <c r="I623" s="10" t="s">
        <v>20</v>
      </c>
      <c r="J623" s="10">
        <v>32</v>
      </c>
      <c r="K623" s="10">
        <v>183</v>
      </c>
      <c r="L623" s="10">
        <v>6</v>
      </c>
      <c r="M623" s="10" t="s">
        <v>27</v>
      </c>
      <c r="N623" s="10">
        <v>93.5</v>
      </c>
      <c r="O623" s="10">
        <v>154</v>
      </c>
      <c r="P623" s="10">
        <v>0</v>
      </c>
      <c r="Q623" s="10" t="str">
        <f>+IF(Tabla2[[#This Row],[Demand_Forecast]]&lt;= 125,"Low demand",IF(Tabla2[[#This Row],[Demand_Forecast]] &gt;=285,"High demand","Mid demand"))</f>
        <v>Mid demand</v>
      </c>
    </row>
    <row r="624" spans="1:17" x14ac:dyDescent="0.25">
      <c r="A624" s="11">
        <v>45596.323750000003</v>
      </c>
      <c r="B624" s="10" t="s">
        <v>41</v>
      </c>
      <c r="C624" s="10" t="s">
        <v>1280</v>
      </c>
      <c r="D624" s="10" t="s">
        <v>1281</v>
      </c>
      <c r="E624" s="10">
        <v>354</v>
      </c>
      <c r="F624" s="10" t="s">
        <v>25</v>
      </c>
      <c r="G624" s="10">
        <v>24.7</v>
      </c>
      <c r="H624" s="10">
        <v>64.099999999999994</v>
      </c>
      <c r="I624" s="10" t="s">
        <v>20</v>
      </c>
      <c r="J624" s="10">
        <v>15</v>
      </c>
      <c r="K624" s="10">
        <v>298</v>
      </c>
      <c r="L624" s="10">
        <v>4</v>
      </c>
      <c r="M624" s="10" t="s">
        <v>51</v>
      </c>
      <c r="N624" s="10">
        <v>71.900000000000006</v>
      </c>
      <c r="O624" s="10">
        <v>162</v>
      </c>
      <c r="P624" s="10">
        <v>0</v>
      </c>
      <c r="Q624" s="10" t="str">
        <f>+IF(Tabla2[[#This Row],[Demand_Forecast]]&lt;= 125,"Low demand",IF(Tabla2[[#This Row],[Demand_Forecast]] &gt;=285,"High demand","Mid demand"))</f>
        <v>Mid demand</v>
      </c>
    </row>
    <row r="625" spans="1:17" x14ac:dyDescent="0.25">
      <c r="A625" s="11">
        <v>45464.418113425927</v>
      </c>
      <c r="B625" s="10" t="s">
        <v>61</v>
      </c>
      <c r="C625" s="10" t="s">
        <v>1282</v>
      </c>
      <c r="D625" s="10" t="s">
        <v>1283</v>
      </c>
      <c r="E625" s="10">
        <v>165</v>
      </c>
      <c r="F625" s="10" t="s">
        <v>19</v>
      </c>
      <c r="G625" s="10">
        <v>28.8</v>
      </c>
      <c r="H625" s="10">
        <v>51.6</v>
      </c>
      <c r="I625" s="10" t="s">
        <v>26</v>
      </c>
      <c r="J625" s="10">
        <v>49</v>
      </c>
      <c r="K625" s="10">
        <v>410</v>
      </c>
      <c r="L625" s="10">
        <v>8</v>
      </c>
      <c r="M625" s="10" t="s">
        <v>51</v>
      </c>
      <c r="N625" s="10">
        <v>88.4</v>
      </c>
      <c r="O625" s="10">
        <v>291</v>
      </c>
      <c r="P625" s="10">
        <v>1</v>
      </c>
      <c r="Q625" s="10" t="str">
        <f>+IF(Tabla2[[#This Row],[Demand_Forecast]]&lt;= 125,"Low demand",IF(Tabla2[[#This Row],[Demand_Forecast]] &gt;=285,"High demand","Mid demand"))</f>
        <v>High demand</v>
      </c>
    </row>
    <row r="626" spans="1:17" x14ac:dyDescent="0.25">
      <c r="A626" s="11">
        <v>45498.749745370369</v>
      </c>
      <c r="B626" s="10" t="s">
        <v>56</v>
      </c>
      <c r="C626" s="10" t="s">
        <v>1284</v>
      </c>
      <c r="D626" s="10" t="s">
        <v>1285</v>
      </c>
      <c r="E626" s="10">
        <v>471</v>
      </c>
      <c r="F626" s="10" t="s">
        <v>19</v>
      </c>
      <c r="G626" s="10">
        <v>19.8</v>
      </c>
      <c r="H626" s="10">
        <v>55.2</v>
      </c>
      <c r="I626" s="10" t="s">
        <v>38</v>
      </c>
      <c r="J626" s="10">
        <v>36</v>
      </c>
      <c r="K626" s="10">
        <v>369</v>
      </c>
      <c r="L626" s="10">
        <v>6</v>
      </c>
      <c r="M626" s="10" t="s">
        <v>51</v>
      </c>
      <c r="N626" s="10">
        <v>94.7</v>
      </c>
      <c r="O626" s="10">
        <v>183</v>
      </c>
      <c r="P626" s="10">
        <v>1</v>
      </c>
      <c r="Q626" s="10" t="str">
        <f>+IF(Tabla2[[#This Row],[Demand_Forecast]]&lt;= 125,"Low demand",IF(Tabla2[[#This Row],[Demand_Forecast]] &gt;=285,"High demand","Mid demand"))</f>
        <v>Mid demand</v>
      </c>
    </row>
    <row r="627" spans="1:17" x14ac:dyDescent="0.25">
      <c r="A627" s="11">
        <v>45343.917071759257</v>
      </c>
      <c r="B627" s="10" t="s">
        <v>56</v>
      </c>
      <c r="C627" s="10" t="s">
        <v>1286</v>
      </c>
      <c r="D627" s="10" t="s">
        <v>1287</v>
      </c>
      <c r="E627" s="10">
        <v>410</v>
      </c>
      <c r="F627" s="10" t="s">
        <v>34</v>
      </c>
      <c r="G627" s="10">
        <v>27.5</v>
      </c>
      <c r="H627" s="10">
        <v>58.5</v>
      </c>
      <c r="I627" s="10" t="s">
        <v>20</v>
      </c>
      <c r="J627" s="10">
        <v>21</v>
      </c>
      <c r="K627" s="10">
        <v>439</v>
      </c>
      <c r="L627" s="10">
        <v>9</v>
      </c>
      <c r="M627" s="10" t="s">
        <v>51</v>
      </c>
      <c r="N627" s="10">
        <v>72.400000000000006</v>
      </c>
      <c r="O627" s="10">
        <v>182</v>
      </c>
      <c r="P627" s="10">
        <v>0</v>
      </c>
      <c r="Q627" s="10" t="str">
        <f>+IF(Tabla2[[#This Row],[Demand_Forecast]]&lt;= 125,"Low demand",IF(Tabla2[[#This Row],[Demand_Forecast]] &gt;=285,"High demand","Mid demand"))</f>
        <v>Mid demand</v>
      </c>
    </row>
    <row r="628" spans="1:17" x14ac:dyDescent="0.25">
      <c r="A628" s="11">
        <v>45465.291516203702</v>
      </c>
      <c r="B628" s="10" t="s">
        <v>56</v>
      </c>
      <c r="C628" s="10" t="s">
        <v>1288</v>
      </c>
      <c r="D628" s="10" t="s">
        <v>1289</v>
      </c>
      <c r="E628" s="10">
        <v>407</v>
      </c>
      <c r="F628" s="10" t="s">
        <v>25</v>
      </c>
      <c r="G628" s="10">
        <v>19.899999999999999</v>
      </c>
      <c r="H628" s="10">
        <v>50.7</v>
      </c>
      <c r="I628" s="10" t="s">
        <v>26</v>
      </c>
      <c r="J628" s="10">
        <v>55</v>
      </c>
      <c r="K628" s="10">
        <v>421</v>
      </c>
      <c r="L628" s="10">
        <v>1</v>
      </c>
      <c r="M628" s="10" t="s">
        <v>51</v>
      </c>
      <c r="N628" s="10">
        <v>87.2</v>
      </c>
      <c r="O628" s="10">
        <v>237</v>
      </c>
      <c r="P628" s="10">
        <v>1</v>
      </c>
      <c r="Q628" s="10" t="str">
        <f>+IF(Tabla2[[#This Row],[Demand_Forecast]]&lt;= 125,"Low demand",IF(Tabla2[[#This Row],[Demand_Forecast]] &gt;=285,"High demand","Mid demand"))</f>
        <v>Mid demand</v>
      </c>
    </row>
    <row r="629" spans="1:17" x14ac:dyDescent="0.25">
      <c r="A629" s="11">
        <v>45331.875648148147</v>
      </c>
      <c r="B629" s="10" t="s">
        <v>28</v>
      </c>
      <c r="C629" s="10" t="s">
        <v>1290</v>
      </c>
      <c r="D629" s="10" t="s">
        <v>1291</v>
      </c>
      <c r="E629" s="10">
        <v>134</v>
      </c>
      <c r="F629" s="10" t="s">
        <v>34</v>
      </c>
      <c r="G629" s="10">
        <v>19.5</v>
      </c>
      <c r="H629" s="10">
        <v>75.3</v>
      </c>
      <c r="I629" s="10" t="s">
        <v>38</v>
      </c>
      <c r="J629" s="10">
        <v>45</v>
      </c>
      <c r="K629" s="10">
        <v>424</v>
      </c>
      <c r="L629" s="10">
        <v>6</v>
      </c>
      <c r="M629" s="10" t="s">
        <v>27</v>
      </c>
      <c r="N629" s="10">
        <v>80.900000000000006</v>
      </c>
      <c r="O629" s="10">
        <v>175</v>
      </c>
      <c r="P629" s="10">
        <v>0</v>
      </c>
      <c r="Q629" s="10" t="str">
        <f>+IF(Tabla2[[#This Row],[Demand_Forecast]]&lt;= 125,"Low demand",IF(Tabla2[[#This Row],[Demand_Forecast]] &gt;=285,"High demand","Mid demand"))</f>
        <v>Mid demand</v>
      </c>
    </row>
    <row r="630" spans="1:17" x14ac:dyDescent="0.25">
      <c r="A630" s="11">
        <v>45642.021435185183</v>
      </c>
      <c r="B630" s="10" t="s">
        <v>28</v>
      </c>
      <c r="C630" s="10" t="s">
        <v>1292</v>
      </c>
      <c r="D630" s="10" t="s">
        <v>1293</v>
      </c>
      <c r="E630" s="10">
        <v>394</v>
      </c>
      <c r="F630" s="10" t="s">
        <v>19</v>
      </c>
      <c r="G630" s="10">
        <v>26.9</v>
      </c>
      <c r="H630" s="10">
        <v>62.1</v>
      </c>
      <c r="I630" s="10" t="s">
        <v>20</v>
      </c>
      <c r="J630" s="10">
        <v>29</v>
      </c>
      <c r="K630" s="10">
        <v>419</v>
      </c>
      <c r="L630" s="10">
        <v>10</v>
      </c>
      <c r="M630" s="10" t="s">
        <v>21</v>
      </c>
      <c r="N630" s="10">
        <v>90.7</v>
      </c>
      <c r="O630" s="10">
        <v>139</v>
      </c>
      <c r="P630" s="10">
        <v>1</v>
      </c>
      <c r="Q630" s="10" t="str">
        <f>+IF(Tabla2[[#This Row],[Demand_Forecast]]&lt;= 125,"Low demand",IF(Tabla2[[#This Row],[Demand_Forecast]] &gt;=285,"High demand","Mid demand"))</f>
        <v>Mid demand</v>
      </c>
    </row>
    <row r="631" spans="1:17" x14ac:dyDescent="0.25">
      <c r="A631" s="11">
        <v>45373.995497685188</v>
      </c>
      <c r="B631" s="10" t="s">
        <v>28</v>
      </c>
      <c r="C631" s="10" t="s">
        <v>1294</v>
      </c>
      <c r="D631" s="10" t="s">
        <v>1295</v>
      </c>
      <c r="E631" s="10">
        <v>480</v>
      </c>
      <c r="F631" s="10" t="s">
        <v>19</v>
      </c>
      <c r="G631" s="10">
        <v>23.9</v>
      </c>
      <c r="H631" s="10">
        <v>57.9</v>
      </c>
      <c r="I631" s="10" t="s">
        <v>26</v>
      </c>
      <c r="J631" s="10">
        <v>57</v>
      </c>
      <c r="K631" s="10">
        <v>204</v>
      </c>
      <c r="L631" s="10">
        <v>6</v>
      </c>
      <c r="M631" s="10" t="s">
        <v>21</v>
      </c>
      <c r="N631" s="10">
        <v>62.3</v>
      </c>
      <c r="O631" s="10">
        <v>146</v>
      </c>
      <c r="P631" s="10">
        <v>1</v>
      </c>
      <c r="Q631" s="10" t="str">
        <f>+IF(Tabla2[[#This Row],[Demand_Forecast]]&lt;= 125,"Low demand",IF(Tabla2[[#This Row],[Demand_Forecast]] &gt;=285,"High demand","Mid demand"))</f>
        <v>Mid demand</v>
      </c>
    </row>
    <row r="632" spans="1:17" x14ac:dyDescent="0.25">
      <c r="A632" s="11">
        <v>45499.334953703707</v>
      </c>
      <c r="B632" s="10" t="s">
        <v>16</v>
      </c>
      <c r="C632" s="10" t="s">
        <v>1296</v>
      </c>
      <c r="D632" s="10" t="s">
        <v>1297</v>
      </c>
      <c r="E632" s="10">
        <v>159</v>
      </c>
      <c r="F632" s="10" t="s">
        <v>25</v>
      </c>
      <c r="G632" s="10">
        <v>25.6</v>
      </c>
      <c r="H632" s="10">
        <v>76.599999999999994</v>
      </c>
      <c r="I632" s="10" t="s">
        <v>38</v>
      </c>
      <c r="J632" s="10">
        <v>25</v>
      </c>
      <c r="K632" s="10">
        <v>213</v>
      </c>
      <c r="L632" s="10">
        <v>5</v>
      </c>
      <c r="M632" s="10" t="s">
        <v>27</v>
      </c>
      <c r="N632" s="10">
        <v>82.2</v>
      </c>
      <c r="O632" s="10">
        <v>144</v>
      </c>
      <c r="P632" s="10">
        <v>0</v>
      </c>
      <c r="Q632" s="10" t="str">
        <f>+IF(Tabla2[[#This Row],[Demand_Forecast]]&lt;= 125,"Low demand",IF(Tabla2[[#This Row],[Demand_Forecast]] &gt;=285,"High demand","Mid demand"))</f>
        <v>Mid demand</v>
      </c>
    </row>
    <row r="633" spans="1:17" x14ac:dyDescent="0.25">
      <c r="A633" s="11">
        <v>45393.201527777775</v>
      </c>
      <c r="B633" s="10" t="s">
        <v>56</v>
      </c>
      <c r="C633" s="10" t="s">
        <v>1298</v>
      </c>
      <c r="D633" s="10" t="s">
        <v>1299</v>
      </c>
      <c r="E633" s="10">
        <v>131</v>
      </c>
      <c r="F633" s="10" t="s">
        <v>19</v>
      </c>
      <c r="G633" s="10">
        <v>19.100000000000001</v>
      </c>
      <c r="H633" s="10">
        <v>73.3</v>
      </c>
      <c r="I633" s="10" t="s">
        <v>26</v>
      </c>
      <c r="J633" s="10">
        <v>10</v>
      </c>
      <c r="K633" s="10">
        <v>353</v>
      </c>
      <c r="L633" s="10">
        <v>3</v>
      </c>
      <c r="M633" s="10" t="s">
        <v>27</v>
      </c>
      <c r="N633" s="10">
        <v>89.4</v>
      </c>
      <c r="O633" s="10">
        <v>149</v>
      </c>
      <c r="P633" s="10">
        <v>1</v>
      </c>
      <c r="Q633" s="10" t="str">
        <f>+IF(Tabla2[[#This Row],[Demand_Forecast]]&lt;= 125,"Low demand",IF(Tabla2[[#This Row],[Demand_Forecast]] &gt;=285,"High demand","Mid demand"))</f>
        <v>Mid demand</v>
      </c>
    </row>
    <row r="634" spans="1:17" x14ac:dyDescent="0.25">
      <c r="A634" s="11">
        <v>45443.630046296297</v>
      </c>
      <c r="B634" s="10" t="s">
        <v>95</v>
      </c>
      <c r="C634" s="10" t="s">
        <v>1300</v>
      </c>
      <c r="D634" s="10" t="s">
        <v>1301</v>
      </c>
      <c r="E634" s="10">
        <v>224</v>
      </c>
      <c r="F634" s="10" t="s">
        <v>19</v>
      </c>
      <c r="G634" s="10">
        <v>20.2</v>
      </c>
      <c r="H634" s="10">
        <v>58.9</v>
      </c>
      <c r="I634" s="10" t="s">
        <v>26</v>
      </c>
      <c r="J634" s="10">
        <v>34</v>
      </c>
      <c r="K634" s="10">
        <v>166</v>
      </c>
      <c r="L634" s="10">
        <v>6</v>
      </c>
      <c r="M634" s="10" t="s">
        <v>51</v>
      </c>
      <c r="N634" s="10">
        <v>84.6</v>
      </c>
      <c r="O634" s="10">
        <v>105</v>
      </c>
      <c r="P634" s="10">
        <v>1</v>
      </c>
      <c r="Q634" s="10" t="str">
        <f>+IF(Tabla2[[#This Row],[Demand_Forecast]]&lt;= 125,"Low demand",IF(Tabla2[[#This Row],[Demand_Forecast]] &gt;=285,"High demand","Mid demand"))</f>
        <v>Low demand</v>
      </c>
    </row>
    <row r="635" spans="1:17" x14ac:dyDescent="0.25">
      <c r="A635" s="11">
        <v>45394.656099537038</v>
      </c>
      <c r="B635" s="10" t="s">
        <v>28</v>
      </c>
      <c r="C635" s="10" t="s">
        <v>1302</v>
      </c>
      <c r="D635" s="10" t="s">
        <v>1303</v>
      </c>
      <c r="E635" s="10">
        <v>120</v>
      </c>
      <c r="F635" s="10" t="s">
        <v>34</v>
      </c>
      <c r="G635" s="10">
        <v>22.6</v>
      </c>
      <c r="H635" s="10">
        <v>56.4</v>
      </c>
      <c r="I635" s="10" t="s">
        <v>38</v>
      </c>
      <c r="J635" s="10">
        <v>60</v>
      </c>
      <c r="K635" s="10">
        <v>151</v>
      </c>
      <c r="L635" s="10">
        <v>9</v>
      </c>
      <c r="M635" s="10" t="s">
        <v>27</v>
      </c>
      <c r="N635" s="10">
        <v>69.900000000000006</v>
      </c>
      <c r="O635" s="10">
        <v>194</v>
      </c>
      <c r="P635" s="10">
        <v>0</v>
      </c>
      <c r="Q635" s="10" t="str">
        <f>+IF(Tabla2[[#This Row],[Demand_Forecast]]&lt;= 125,"Low demand",IF(Tabla2[[#This Row],[Demand_Forecast]] &gt;=285,"High demand","Mid demand"))</f>
        <v>Mid demand</v>
      </c>
    </row>
    <row r="636" spans="1:17" x14ac:dyDescent="0.25">
      <c r="A636" s="11">
        <v>45365.753784722219</v>
      </c>
      <c r="B636" s="10" t="s">
        <v>41</v>
      </c>
      <c r="C636" s="10" t="s">
        <v>1304</v>
      </c>
      <c r="D636" s="10" t="s">
        <v>1305</v>
      </c>
      <c r="E636" s="10">
        <v>321</v>
      </c>
      <c r="F636" s="10" t="s">
        <v>19</v>
      </c>
      <c r="G636" s="10">
        <v>30</v>
      </c>
      <c r="H636" s="10">
        <v>75.400000000000006</v>
      </c>
      <c r="I636" s="10" t="s">
        <v>26</v>
      </c>
      <c r="J636" s="10">
        <v>14</v>
      </c>
      <c r="K636" s="10">
        <v>391</v>
      </c>
      <c r="L636" s="10">
        <v>1</v>
      </c>
      <c r="M636" s="10" t="s">
        <v>21</v>
      </c>
      <c r="N636" s="10">
        <v>67.3</v>
      </c>
      <c r="O636" s="10">
        <v>138</v>
      </c>
      <c r="P636" s="10">
        <v>1</v>
      </c>
      <c r="Q636" s="10" t="str">
        <f>+IF(Tabla2[[#This Row],[Demand_Forecast]]&lt;= 125,"Low demand",IF(Tabla2[[#This Row],[Demand_Forecast]] &gt;=285,"High demand","Mid demand"))</f>
        <v>Mid demand</v>
      </c>
    </row>
    <row r="637" spans="1:17" x14ac:dyDescent="0.25">
      <c r="A637" s="11">
        <v>45513.882118055553</v>
      </c>
      <c r="B637" s="10" t="s">
        <v>95</v>
      </c>
      <c r="C637" s="10" t="s">
        <v>1306</v>
      </c>
      <c r="D637" s="10" t="s">
        <v>1307</v>
      </c>
      <c r="E637" s="10">
        <v>238</v>
      </c>
      <c r="F637" s="10" t="s">
        <v>34</v>
      </c>
      <c r="G637" s="10">
        <v>26.6</v>
      </c>
      <c r="H637" s="10">
        <v>50.9</v>
      </c>
      <c r="I637" s="10" t="s">
        <v>26</v>
      </c>
      <c r="J637" s="10">
        <v>59</v>
      </c>
      <c r="K637" s="10">
        <v>160</v>
      </c>
      <c r="L637" s="10">
        <v>1</v>
      </c>
      <c r="M637" s="10" t="s">
        <v>51</v>
      </c>
      <c r="N637" s="10">
        <v>76.8</v>
      </c>
      <c r="O637" s="10">
        <v>233</v>
      </c>
      <c r="P637" s="10">
        <v>1</v>
      </c>
      <c r="Q637" s="10" t="str">
        <f>+IF(Tabla2[[#This Row],[Demand_Forecast]]&lt;= 125,"Low demand",IF(Tabla2[[#This Row],[Demand_Forecast]] &gt;=285,"High demand","Mid demand"))</f>
        <v>Mid demand</v>
      </c>
    </row>
    <row r="638" spans="1:17" x14ac:dyDescent="0.25">
      <c r="A638" s="11">
        <v>45553.458136574074</v>
      </c>
      <c r="B638" s="10" t="s">
        <v>95</v>
      </c>
      <c r="C638" s="10" t="s">
        <v>1308</v>
      </c>
      <c r="D638" s="10" t="s">
        <v>1309</v>
      </c>
      <c r="E638" s="10">
        <v>297</v>
      </c>
      <c r="F638" s="10" t="s">
        <v>25</v>
      </c>
      <c r="G638" s="10">
        <v>18.100000000000001</v>
      </c>
      <c r="H638" s="10">
        <v>77.3</v>
      </c>
      <c r="I638" s="10" t="s">
        <v>38</v>
      </c>
      <c r="J638" s="10">
        <v>22</v>
      </c>
      <c r="K638" s="10">
        <v>376</v>
      </c>
      <c r="L638" s="10">
        <v>10</v>
      </c>
      <c r="M638" s="10" t="s">
        <v>21</v>
      </c>
      <c r="N638" s="10">
        <v>80.2</v>
      </c>
      <c r="O638" s="10">
        <v>168</v>
      </c>
      <c r="P638" s="10">
        <v>0</v>
      </c>
      <c r="Q638" s="10" t="str">
        <f>+IF(Tabla2[[#This Row],[Demand_Forecast]]&lt;= 125,"Low demand",IF(Tabla2[[#This Row],[Demand_Forecast]] &gt;=285,"High demand","Mid demand"))</f>
        <v>Mid demand</v>
      </c>
    </row>
    <row r="639" spans="1:17" x14ac:dyDescent="0.25">
      <c r="A639" s="11">
        <v>45364.905185185184</v>
      </c>
      <c r="B639" s="10" t="s">
        <v>48</v>
      </c>
      <c r="C639" s="10" t="s">
        <v>1310</v>
      </c>
      <c r="D639" s="10" t="s">
        <v>1311</v>
      </c>
      <c r="E639" s="10">
        <v>219</v>
      </c>
      <c r="F639" s="10" t="s">
        <v>34</v>
      </c>
      <c r="G639" s="10">
        <v>22.3</v>
      </c>
      <c r="H639" s="10">
        <v>56.9</v>
      </c>
      <c r="I639" s="10" t="s">
        <v>26</v>
      </c>
      <c r="J639" s="10">
        <v>44</v>
      </c>
      <c r="K639" s="10">
        <v>144</v>
      </c>
      <c r="L639" s="10">
        <v>8</v>
      </c>
      <c r="M639" s="10" t="s">
        <v>21</v>
      </c>
      <c r="N639" s="10">
        <v>62.2</v>
      </c>
      <c r="O639" s="10">
        <v>188</v>
      </c>
      <c r="P639" s="10">
        <v>1</v>
      </c>
      <c r="Q639" s="10" t="str">
        <f>+IF(Tabla2[[#This Row],[Demand_Forecast]]&lt;= 125,"Low demand",IF(Tabla2[[#This Row],[Demand_Forecast]] &gt;=285,"High demand","Mid demand"))</f>
        <v>Mid demand</v>
      </c>
    </row>
    <row r="640" spans="1:17" x14ac:dyDescent="0.25">
      <c r="A640" s="11">
        <v>45521.193958333337</v>
      </c>
      <c r="B640" s="10" t="s">
        <v>61</v>
      </c>
      <c r="C640" s="10" t="s">
        <v>1312</v>
      </c>
      <c r="D640" s="10" t="s">
        <v>1313</v>
      </c>
      <c r="E640" s="10">
        <v>204</v>
      </c>
      <c r="F640" s="10" t="s">
        <v>25</v>
      </c>
      <c r="G640" s="10">
        <v>29.8</v>
      </c>
      <c r="H640" s="10">
        <v>58.9</v>
      </c>
      <c r="I640" s="10" t="s">
        <v>26</v>
      </c>
      <c r="J640" s="10">
        <v>10</v>
      </c>
      <c r="K640" s="10">
        <v>484</v>
      </c>
      <c r="L640" s="10">
        <v>3</v>
      </c>
      <c r="M640" s="10" t="s">
        <v>27</v>
      </c>
      <c r="N640" s="10">
        <v>93</v>
      </c>
      <c r="O640" s="10">
        <v>238</v>
      </c>
      <c r="P640" s="10">
        <v>1</v>
      </c>
      <c r="Q640" s="10" t="str">
        <f>+IF(Tabla2[[#This Row],[Demand_Forecast]]&lt;= 125,"Low demand",IF(Tabla2[[#This Row],[Demand_Forecast]] &gt;=285,"High demand","Mid demand"))</f>
        <v>Mid demand</v>
      </c>
    </row>
    <row r="641" spans="1:17" x14ac:dyDescent="0.25">
      <c r="A641" s="11">
        <v>45322.001099537039</v>
      </c>
      <c r="B641" s="10" t="s">
        <v>95</v>
      </c>
      <c r="C641" s="10" t="s">
        <v>1314</v>
      </c>
      <c r="D641" s="10" t="s">
        <v>1315</v>
      </c>
      <c r="E641" s="10">
        <v>469</v>
      </c>
      <c r="F641" s="10" t="s">
        <v>25</v>
      </c>
      <c r="G641" s="10">
        <v>21.5</v>
      </c>
      <c r="H641" s="10">
        <v>52.2</v>
      </c>
      <c r="I641" s="10" t="s">
        <v>26</v>
      </c>
      <c r="J641" s="10">
        <v>56</v>
      </c>
      <c r="K641" s="10">
        <v>405</v>
      </c>
      <c r="L641" s="10">
        <v>10</v>
      </c>
      <c r="M641" s="10" t="s">
        <v>27</v>
      </c>
      <c r="N641" s="10">
        <v>95.5</v>
      </c>
      <c r="O641" s="10">
        <v>135</v>
      </c>
      <c r="P641" s="10">
        <v>1</v>
      </c>
      <c r="Q641" s="10" t="str">
        <f>+IF(Tabla2[[#This Row],[Demand_Forecast]]&lt;= 125,"Low demand",IF(Tabla2[[#This Row],[Demand_Forecast]] &gt;=285,"High demand","Mid demand"))</f>
        <v>Mid demand</v>
      </c>
    </row>
    <row r="642" spans="1:17" x14ac:dyDescent="0.25">
      <c r="A642" s="11">
        <v>45349.729594907411</v>
      </c>
      <c r="B642" s="10" t="s">
        <v>31</v>
      </c>
      <c r="C642" s="10" t="s">
        <v>1316</v>
      </c>
      <c r="D642" s="10" t="s">
        <v>1317</v>
      </c>
      <c r="E642" s="10">
        <v>146</v>
      </c>
      <c r="F642" s="10" t="s">
        <v>19</v>
      </c>
      <c r="G642" s="10">
        <v>24.2</v>
      </c>
      <c r="H642" s="10">
        <v>72.400000000000006</v>
      </c>
      <c r="I642" s="10" t="s">
        <v>38</v>
      </c>
      <c r="J642" s="10">
        <v>22</v>
      </c>
      <c r="K642" s="10">
        <v>321</v>
      </c>
      <c r="L642" s="10">
        <v>9</v>
      </c>
      <c r="M642" s="10" t="s">
        <v>51</v>
      </c>
      <c r="N642" s="10">
        <v>88.2</v>
      </c>
      <c r="O642" s="10">
        <v>190</v>
      </c>
      <c r="P642" s="10">
        <v>1</v>
      </c>
      <c r="Q642" s="10" t="str">
        <f>+IF(Tabla2[[#This Row],[Demand_Forecast]]&lt;= 125,"Low demand",IF(Tabla2[[#This Row],[Demand_Forecast]] &gt;=285,"High demand","Mid demand"))</f>
        <v>Mid demand</v>
      </c>
    </row>
    <row r="643" spans="1:17" x14ac:dyDescent="0.25">
      <c r="A643" s="11">
        <v>45557.023657407408</v>
      </c>
      <c r="B643" s="10" t="s">
        <v>61</v>
      </c>
      <c r="C643" s="10" t="s">
        <v>1318</v>
      </c>
      <c r="D643" s="10" t="s">
        <v>1319</v>
      </c>
      <c r="E643" s="10">
        <v>215</v>
      </c>
      <c r="F643" s="10" t="s">
        <v>34</v>
      </c>
      <c r="G643" s="10">
        <v>18.899999999999999</v>
      </c>
      <c r="H643" s="10">
        <v>63.4</v>
      </c>
      <c r="I643" s="10" t="s">
        <v>26</v>
      </c>
      <c r="J643" s="10">
        <v>57</v>
      </c>
      <c r="K643" s="10">
        <v>382</v>
      </c>
      <c r="L643" s="10">
        <v>4</v>
      </c>
      <c r="M643" s="10" t="s">
        <v>27</v>
      </c>
      <c r="N643" s="10">
        <v>71.2</v>
      </c>
      <c r="O643" s="10">
        <v>274</v>
      </c>
      <c r="P643" s="10">
        <v>1</v>
      </c>
      <c r="Q643" s="10" t="str">
        <f>+IF(Tabla2[[#This Row],[Demand_Forecast]]&lt;= 125,"Low demand",IF(Tabla2[[#This Row],[Demand_Forecast]] &gt;=285,"High demand","Mid demand"))</f>
        <v>Mid demand</v>
      </c>
    </row>
    <row r="644" spans="1:17" x14ac:dyDescent="0.25">
      <c r="A644" s="11">
        <v>45568.332465277781</v>
      </c>
      <c r="B644" s="10" t="s">
        <v>61</v>
      </c>
      <c r="C644" s="10" t="s">
        <v>1320</v>
      </c>
      <c r="D644" s="10" t="s">
        <v>1321</v>
      </c>
      <c r="E644" s="10">
        <v>454</v>
      </c>
      <c r="F644" s="10" t="s">
        <v>25</v>
      </c>
      <c r="G644" s="10">
        <v>22.8</v>
      </c>
      <c r="H644" s="10">
        <v>73.3</v>
      </c>
      <c r="I644" s="10" t="s">
        <v>26</v>
      </c>
      <c r="J644" s="10">
        <v>45</v>
      </c>
      <c r="K644" s="10">
        <v>276</v>
      </c>
      <c r="L644" s="10">
        <v>5</v>
      </c>
      <c r="M644" s="10" t="s">
        <v>27</v>
      </c>
      <c r="N644" s="10">
        <v>87.4</v>
      </c>
      <c r="O644" s="10">
        <v>261</v>
      </c>
      <c r="P644" s="10">
        <v>1</v>
      </c>
      <c r="Q644" s="10" t="str">
        <f>+IF(Tabla2[[#This Row],[Demand_Forecast]]&lt;= 125,"Low demand",IF(Tabla2[[#This Row],[Demand_Forecast]] &gt;=285,"High demand","Mid demand"))</f>
        <v>Mid demand</v>
      </c>
    </row>
    <row r="645" spans="1:17" x14ac:dyDescent="0.25">
      <c r="A645" s="11">
        <v>45518.809733796297</v>
      </c>
      <c r="B645" s="10" t="s">
        <v>41</v>
      </c>
      <c r="C645" s="10" t="s">
        <v>1322</v>
      </c>
      <c r="D645" s="10" t="s">
        <v>1323</v>
      </c>
      <c r="E645" s="10">
        <v>145</v>
      </c>
      <c r="F645" s="10" t="s">
        <v>34</v>
      </c>
      <c r="G645" s="10">
        <v>29.2</v>
      </c>
      <c r="H645" s="10">
        <v>67.3</v>
      </c>
      <c r="I645" s="10" t="s">
        <v>38</v>
      </c>
      <c r="J645" s="10">
        <v>36</v>
      </c>
      <c r="K645" s="10">
        <v>230</v>
      </c>
      <c r="L645" s="10">
        <v>4</v>
      </c>
      <c r="M645" s="10" t="s">
        <v>35</v>
      </c>
      <c r="N645" s="10">
        <v>85.3</v>
      </c>
      <c r="O645" s="10">
        <v>269</v>
      </c>
      <c r="P645" s="10">
        <v>0</v>
      </c>
      <c r="Q645" s="10" t="str">
        <f>+IF(Tabla2[[#This Row],[Demand_Forecast]]&lt;= 125,"Low demand",IF(Tabla2[[#This Row],[Demand_Forecast]] &gt;=285,"High demand","Mid demand"))</f>
        <v>Mid demand</v>
      </c>
    </row>
    <row r="646" spans="1:17" x14ac:dyDescent="0.25">
      <c r="A646" s="11">
        <v>45650.895868055559</v>
      </c>
      <c r="B646" s="10" t="s">
        <v>28</v>
      </c>
      <c r="C646" s="10" t="s">
        <v>1324</v>
      </c>
      <c r="D646" s="10" t="s">
        <v>1325</v>
      </c>
      <c r="E646" s="10">
        <v>410</v>
      </c>
      <c r="F646" s="10" t="s">
        <v>34</v>
      </c>
      <c r="G646" s="10">
        <v>18.8</v>
      </c>
      <c r="H646" s="10">
        <v>78</v>
      </c>
      <c r="I646" s="10" t="s">
        <v>26</v>
      </c>
      <c r="J646" s="10">
        <v>35</v>
      </c>
      <c r="K646" s="10">
        <v>228</v>
      </c>
      <c r="L646" s="10">
        <v>2</v>
      </c>
      <c r="M646" s="10" t="s">
        <v>51</v>
      </c>
      <c r="N646" s="10">
        <v>92.1</v>
      </c>
      <c r="O646" s="10">
        <v>111</v>
      </c>
      <c r="P646" s="10">
        <v>1</v>
      </c>
      <c r="Q646" s="10" t="str">
        <f>+IF(Tabla2[[#This Row],[Demand_Forecast]]&lt;= 125,"Low demand",IF(Tabla2[[#This Row],[Demand_Forecast]] &gt;=285,"High demand","Mid demand"))</f>
        <v>Low demand</v>
      </c>
    </row>
    <row r="647" spans="1:17" x14ac:dyDescent="0.25">
      <c r="A647" s="11">
        <v>45489.884745370371</v>
      </c>
      <c r="B647" s="10" t="s">
        <v>41</v>
      </c>
      <c r="C647" s="10" t="s">
        <v>1326</v>
      </c>
      <c r="D647" s="10" t="s">
        <v>1327</v>
      </c>
      <c r="E647" s="10">
        <v>350</v>
      </c>
      <c r="F647" s="10" t="s">
        <v>19</v>
      </c>
      <c r="G647" s="10">
        <v>21.8</v>
      </c>
      <c r="H647" s="10">
        <v>60.4</v>
      </c>
      <c r="I647" s="10" t="s">
        <v>38</v>
      </c>
      <c r="J647" s="10">
        <v>15</v>
      </c>
      <c r="K647" s="10">
        <v>238</v>
      </c>
      <c r="L647" s="10">
        <v>3</v>
      </c>
      <c r="M647" s="10" t="s">
        <v>27</v>
      </c>
      <c r="N647" s="10">
        <v>81.099999999999994</v>
      </c>
      <c r="O647" s="10">
        <v>300</v>
      </c>
      <c r="P647" s="10">
        <v>1</v>
      </c>
      <c r="Q647" s="10" t="str">
        <f>+IF(Tabla2[[#This Row],[Demand_Forecast]]&lt;= 125,"Low demand",IF(Tabla2[[#This Row],[Demand_Forecast]] &gt;=285,"High demand","Mid demand"))</f>
        <v>High demand</v>
      </c>
    </row>
    <row r="648" spans="1:17" x14ac:dyDescent="0.25">
      <c r="A648" s="11">
        <v>45627.735347222224</v>
      </c>
      <c r="B648" s="10" t="s">
        <v>95</v>
      </c>
      <c r="C648" s="10" t="s">
        <v>1328</v>
      </c>
      <c r="D648" s="10" t="s">
        <v>1329</v>
      </c>
      <c r="E648" s="10">
        <v>474</v>
      </c>
      <c r="F648" s="10" t="s">
        <v>19</v>
      </c>
      <c r="G648" s="10">
        <v>29.5</v>
      </c>
      <c r="H648" s="10">
        <v>51.1</v>
      </c>
      <c r="I648" s="10" t="s">
        <v>20</v>
      </c>
      <c r="J648" s="10">
        <v>34</v>
      </c>
      <c r="K648" s="10">
        <v>136</v>
      </c>
      <c r="L648" s="10">
        <v>8</v>
      </c>
      <c r="M648" s="10" t="s">
        <v>21</v>
      </c>
      <c r="N648" s="10">
        <v>67.8</v>
      </c>
      <c r="O648" s="10">
        <v>268</v>
      </c>
      <c r="P648" s="10">
        <v>1</v>
      </c>
      <c r="Q648" s="10" t="str">
        <f>+IF(Tabla2[[#This Row],[Demand_Forecast]]&lt;= 125,"Low demand",IF(Tabla2[[#This Row],[Demand_Forecast]] &gt;=285,"High demand","Mid demand"))</f>
        <v>Mid demand</v>
      </c>
    </row>
    <row r="649" spans="1:17" x14ac:dyDescent="0.25">
      <c r="A649" s="11">
        <v>45573.525023148148</v>
      </c>
      <c r="B649" s="10" t="s">
        <v>95</v>
      </c>
      <c r="C649" s="10" t="s">
        <v>1330</v>
      </c>
      <c r="D649" s="10" t="s">
        <v>1331</v>
      </c>
      <c r="E649" s="10">
        <v>357</v>
      </c>
      <c r="F649" s="10" t="s">
        <v>34</v>
      </c>
      <c r="G649" s="10">
        <v>20.9</v>
      </c>
      <c r="H649" s="10">
        <v>50.9</v>
      </c>
      <c r="I649" s="10" t="s">
        <v>20</v>
      </c>
      <c r="J649" s="10">
        <v>30</v>
      </c>
      <c r="K649" s="10">
        <v>495</v>
      </c>
      <c r="L649" s="10">
        <v>1</v>
      </c>
      <c r="M649" s="10" t="s">
        <v>27</v>
      </c>
      <c r="N649" s="10">
        <v>65.599999999999994</v>
      </c>
      <c r="O649" s="10">
        <v>288</v>
      </c>
      <c r="P649" s="10">
        <v>0</v>
      </c>
      <c r="Q649" s="10" t="str">
        <f>+IF(Tabla2[[#This Row],[Demand_Forecast]]&lt;= 125,"Low demand",IF(Tabla2[[#This Row],[Demand_Forecast]] &gt;=285,"High demand","Mid demand"))</f>
        <v>High demand</v>
      </c>
    </row>
    <row r="650" spans="1:17" x14ac:dyDescent="0.25">
      <c r="A650" s="11">
        <v>45439.806550925925</v>
      </c>
      <c r="B650" s="10" t="s">
        <v>95</v>
      </c>
      <c r="C650" s="10" t="s">
        <v>1332</v>
      </c>
      <c r="D650" s="10" t="s">
        <v>1333</v>
      </c>
      <c r="E650" s="10">
        <v>171</v>
      </c>
      <c r="F650" s="10" t="s">
        <v>25</v>
      </c>
      <c r="G650" s="10">
        <v>28.8</v>
      </c>
      <c r="H650" s="10">
        <v>59.3</v>
      </c>
      <c r="I650" s="10" t="s">
        <v>38</v>
      </c>
      <c r="J650" s="10">
        <v>56</v>
      </c>
      <c r="K650" s="10">
        <v>437</v>
      </c>
      <c r="L650" s="10">
        <v>10</v>
      </c>
      <c r="M650" s="10" t="s">
        <v>21</v>
      </c>
      <c r="N650" s="10">
        <v>99.6</v>
      </c>
      <c r="O650" s="10">
        <v>235</v>
      </c>
      <c r="P650" s="10">
        <v>0</v>
      </c>
      <c r="Q650" s="10" t="str">
        <f>+IF(Tabla2[[#This Row],[Demand_Forecast]]&lt;= 125,"Low demand",IF(Tabla2[[#This Row],[Demand_Forecast]] &gt;=285,"High demand","Mid demand"))</f>
        <v>Mid demand</v>
      </c>
    </row>
    <row r="651" spans="1:17" x14ac:dyDescent="0.25">
      <c r="A651" s="11">
        <v>45372.932453703703</v>
      </c>
      <c r="B651" s="10" t="s">
        <v>61</v>
      </c>
      <c r="C651" s="10" t="s">
        <v>1334</v>
      </c>
      <c r="D651" s="10" t="s">
        <v>1335</v>
      </c>
      <c r="E651" s="10">
        <v>137</v>
      </c>
      <c r="F651" s="10" t="s">
        <v>34</v>
      </c>
      <c r="G651" s="10">
        <v>24</v>
      </c>
      <c r="H651" s="10">
        <v>78</v>
      </c>
      <c r="I651" s="10" t="s">
        <v>26</v>
      </c>
      <c r="J651" s="10">
        <v>29</v>
      </c>
      <c r="K651" s="10">
        <v>425</v>
      </c>
      <c r="L651" s="10">
        <v>7</v>
      </c>
      <c r="M651" s="10" t="s">
        <v>27</v>
      </c>
      <c r="N651" s="10">
        <v>69.400000000000006</v>
      </c>
      <c r="O651" s="10">
        <v>270</v>
      </c>
      <c r="P651" s="10">
        <v>1</v>
      </c>
      <c r="Q651" s="10" t="str">
        <f>+IF(Tabla2[[#This Row],[Demand_Forecast]]&lt;= 125,"Low demand",IF(Tabla2[[#This Row],[Demand_Forecast]] &gt;=285,"High demand","Mid demand"))</f>
        <v>Mid demand</v>
      </c>
    </row>
    <row r="652" spans="1:17" x14ac:dyDescent="0.25">
      <c r="A652" s="11">
        <v>45416.452893518515</v>
      </c>
      <c r="B652" s="10" t="s">
        <v>61</v>
      </c>
      <c r="C652" s="10" t="s">
        <v>1336</v>
      </c>
      <c r="D652" s="10" t="s">
        <v>1337</v>
      </c>
      <c r="E652" s="10">
        <v>147</v>
      </c>
      <c r="F652" s="10" t="s">
        <v>34</v>
      </c>
      <c r="G652" s="10">
        <v>24.9</v>
      </c>
      <c r="H652" s="10">
        <v>67.599999999999994</v>
      </c>
      <c r="I652" s="10" t="s">
        <v>26</v>
      </c>
      <c r="J652" s="10">
        <v>57</v>
      </c>
      <c r="K652" s="10">
        <v>157</v>
      </c>
      <c r="L652" s="10">
        <v>4</v>
      </c>
      <c r="M652" s="10" t="s">
        <v>35</v>
      </c>
      <c r="N652" s="10">
        <v>62.1</v>
      </c>
      <c r="O652" s="10">
        <v>261</v>
      </c>
      <c r="P652" s="10">
        <v>1</v>
      </c>
      <c r="Q652" s="10" t="str">
        <f>+IF(Tabla2[[#This Row],[Demand_Forecast]]&lt;= 125,"Low demand",IF(Tabla2[[#This Row],[Demand_Forecast]] &gt;=285,"High demand","Mid demand"))</f>
        <v>Mid demand</v>
      </c>
    </row>
    <row r="653" spans="1:17" x14ac:dyDescent="0.25">
      <c r="A653" s="11">
        <v>45423.509340277778</v>
      </c>
      <c r="B653" s="10" t="s">
        <v>64</v>
      </c>
      <c r="C653" s="10" t="s">
        <v>1338</v>
      </c>
      <c r="D653" s="10" t="s">
        <v>1339</v>
      </c>
      <c r="E653" s="10">
        <v>194</v>
      </c>
      <c r="F653" s="10" t="s">
        <v>25</v>
      </c>
      <c r="G653" s="10">
        <v>22.9</v>
      </c>
      <c r="H653" s="10">
        <v>69.7</v>
      </c>
      <c r="I653" s="10" t="s">
        <v>38</v>
      </c>
      <c r="J653" s="10">
        <v>11</v>
      </c>
      <c r="K653" s="10">
        <v>140</v>
      </c>
      <c r="L653" s="10">
        <v>4</v>
      </c>
      <c r="M653" s="10" t="s">
        <v>27</v>
      </c>
      <c r="N653" s="10">
        <v>84.7</v>
      </c>
      <c r="O653" s="10">
        <v>293</v>
      </c>
      <c r="P653" s="10">
        <v>0</v>
      </c>
      <c r="Q653" s="10" t="str">
        <f>+IF(Tabla2[[#This Row],[Demand_Forecast]]&lt;= 125,"Low demand",IF(Tabla2[[#This Row],[Demand_Forecast]] &gt;=285,"High demand","Mid demand"))</f>
        <v>High demand</v>
      </c>
    </row>
    <row r="654" spans="1:17" x14ac:dyDescent="0.25">
      <c r="A654" s="11">
        <v>45654.850914351853</v>
      </c>
      <c r="B654" s="10" t="s">
        <v>64</v>
      </c>
      <c r="C654" s="10" t="s">
        <v>1340</v>
      </c>
      <c r="D654" s="10" t="s">
        <v>1341</v>
      </c>
      <c r="E654" s="10">
        <v>291</v>
      </c>
      <c r="F654" s="10" t="s">
        <v>19</v>
      </c>
      <c r="G654" s="10">
        <v>24.1</v>
      </c>
      <c r="H654" s="10">
        <v>70.8</v>
      </c>
      <c r="I654" s="10" t="s">
        <v>26</v>
      </c>
      <c r="J654" s="10">
        <v>25</v>
      </c>
      <c r="K654" s="10">
        <v>414</v>
      </c>
      <c r="L654" s="10">
        <v>8</v>
      </c>
      <c r="M654" s="10" t="s">
        <v>21</v>
      </c>
      <c r="N654" s="10">
        <v>99.4</v>
      </c>
      <c r="O654" s="10">
        <v>225</v>
      </c>
      <c r="P654" s="10">
        <v>1</v>
      </c>
      <c r="Q654" s="10" t="str">
        <f>+IF(Tabla2[[#This Row],[Demand_Forecast]]&lt;= 125,"Low demand",IF(Tabla2[[#This Row],[Demand_Forecast]] &gt;=285,"High demand","Mid demand"))</f>
        <v>Mid demand</v>
      </c>
    </row>
    <row r="655" spans="1:17" x14ac:dyDescent="0.25">
      <c r="A655" s="11">
        <v>45388.075416666667</v>
      </c>
      <c r="B655" s="10" t="s">
        <v>61</v>
      </c>
      <c r="C655" s="10" t="s">
        <v>1342</v>
      </c>
      <c r="D655" s="10" t="s">
        <v>1343</v>
      </c>
      <c r="E655" s="10">
        <v>176</v>
      </c>
      <c r="F655" s="10" t="s">
        <v>34</v>
      </c>
      <c r="G655" s="10">
        <v>29.5</v>
      </c>
      <c r="H655" s="10">
        <v>61.9</v>
      </c>
      <c r="I655" s="10" t="s">
        <v>38</v>
      </c>
      <c r="J655" s="10">
        <v>31</v>
      </c>
      <c r="K655" s="10">
        <v>306</v>
      </c>
      <c r="L655" s="10">
        <v>6</v>
      </c>
      <c r="M655" s="10" t="s">
        <v>27</v>
      </c>
      <c r="N655" s="10">
        <v>73.5</v>
      </c>
      <c r="O655" s="10">
        <v>217</v>
      </c>
      <c r="P655" s="10">
        <v>0</v>
      </c>
      <c r="Q655" s="10" t="str">
        <f>+IF(Tabla2[[#This Row],[Demand_Forecast]]&lt;= 125,"Low demand",IF(Tabla2[[#This Row],[Demand_Forecast]] &gt;=285,"High demand","Mid demand"))</f>
        <v>Mid demand</v>
      </c>
    </row>
    <row r="656" spans="1:17" x14ac:dyDescent="0.25">
      <c r="A656" s="11">
        <v>45516.424791666665</v>
      </c>
      <c r="B656" s="10" t="s">
        <v>41</v>
      </c>
      <c r="C656" s="10" t="s">
        <v>1344</v>
      </c>
      <c r="D656" s="10" t="s">
        <v>1345</v>
      </c>
      <c r="E656" s="10">
        <v>240</v>
      </c>
      <c r="F656" s="10" t="s">
        <v>25</v>
      </c>
      <c r="G656" s="10">
        <v>27.4</v>
      </c>
      <c r="H656" s="10">
        <v>72.900000000000006</v>
      </c>
      <c r="I656" s="10" t="s">
        <v>20</v>
      </c>
      <c r="J656" s="10">
        <v>29</v>
      </c>
      <c r="K656" s="10">
        <v>272</v>
      </c>
      <c r="L656" s="10">
        <v>8</v>
      </c>
      <c r="M656" s="10" t="s">
        <v>51</v>
      </c>
      <c r="N656" s="10">
        <v>72.3</v>
      </c>
      <c r="O656" s="10">
        <v>106</v>
      </c>
      <c r="P656" s="10">
        <v>0</v>
      </c>
      <c r="Q656" s="10" t="str">
        <f>+IF(Tabla2[[#This Row],[Demand_Forecast]]&lt;= 125,"Low demand",IF(Tabla2[[#This Row],[Demand_Forecast]] &gt;=285,"High demand","Mid demand"))</f>
        <v>Low demand</v>
      </c>
    </row>
    <row r="657" spans="1:17" x14ac:dyDescent="0.25">
      <c r="A657" s="11">
        <v>45330.425150462965</v>
      </c>
      <c r="B657" s="10" t="s">
        <v>95</v>
      </c>
      <c r="C657" s="10" t="s">
        <v>1346</v>
      </c>
      <c r="D657" s="10" t="s">
        <v>1347</v>
      </c>
      <c r="E657" s="10">
        <v>412</v>
      </c>
      <c r="F657" s="10" t="s">
        <v>19</v>
      </c>
      <c r="G657" s="10">
        <v>23.8</v>
      </c>
      <c r="H657" s="10">
        <v>71.599999999999994</v>
      </c>
      <c r="I657" s="10" t="s">
        <v>26</v>
      </c>
      <c r="J657" s="10">
        <v>54</v>
      </c>
      <c r="K657" s="10">
        <v>301</v>
      </c>
      <c r="L657" s="10">
        <v>6</v>
      </c>
      <c r="M657" s="10" t="s">
        <v>27</v>
      </c>
      <c r="N657" s="10">
        <v>76.8</v>
      </c>
      <c r="O657" s="10">
        <v>183</v>
      </c>
      <c r="P657" s="10">
        <v>1</v>
      </c>
      <c r="Q657" s="10" t="str">
        <f>+IF(Tabla2[[#This Row],[Demand_Forecast]]&lt;= 125,"Low demand",IF(Tabla2[[#This Row],[Demand_Forecast]] &gt;=285,"High demand","Mid demand"))</f>
        <v>Mid demand</v>
      </c>
    </row>
    <row r="658" spans="1:17" x14ac:dyDescent="0.25">
      <c r="A658" s="11">
        <v>45567.771747685183</v>
      </c>
      <c r="B658" s="10" t="s">
        <v>48</v>
      </c>
      <c r="C658" s="10" t="s">
        <v>1348</v>
      </c>
      <c r="D658" s="10" t="s">
        <v>1349</v>
      </c>
      <c r="E658" s="10">
        <v>359</v>
      </c>
      <c r="F658" s="10" t="s">
        <v>34</v>
      </c>
      <c r="G658" s="10">
        <v>22.6</v>
      </c>
      <c r="H658" s="10">
        <v>72.900000000000006</v>
      </c>
      <c r="I658" s="10" t="s">
        <v>38</v>
      </c>
      <c r="J658" s="10">
        <v>60</v>
      </c>
      <c r="K658" s="10">
        <v>142</v>
      </c>
      <c r="L658" s="10">
        <v>4</v>
      </c>
      <c r="M658" s="10" t="s">
        <v>35</v>
      </c>
      <c r="N658" s="10">
        <v>78.5</v>
      </c>
      <c r="O658" s="10">
        <v>255</v>
      </c>
      <c r="P658" s="10">
        <v>0</v>
      </c>
      <c r="Q658" s="10" t="str">
        <f>+IF(Tabla2[[#This Row],[Demand_Forecast]]&lt;= 125,"Low demand",IF(Tabla2[[#This Row],[Demand_Forecast]] &gt;=285,"High demand","Mid demand"))</f>
        <v>Mid demand</v>
      </c>
    </row>
    <row r="659" spans="1:17" x14ac:dyDescent="0.25">
      <c r="A659" s="11">
        <v>45621.782013888886</v>
      </c>
      <c r="B659" s="10" t="s">
        <v>56</v>
      </c>
      <c r="C659" s="10" t="s">
        <v>1350</v>
      </c>
      <c r="D659" s="10" t="s">
        <v>1351</v>
      </c>
      <c r="E659" s="10">
        <v>491</v>
      </c>
      <c r="F659" s="10" t="s">
        <v>25</v>
      </c>
      <c r="G659" s="10">
        <v>20.6</v>
      </c>
      <c r="H659" s="10">
        <v>74.7</v>
      </c>
      <c r="I659" s="10" t="s">
        <v>20</v>
      </c>
      <c r="J659" s="10">
        <v>16</v>
      </c>
      <c r="K659" s="10">
        <v>183</v>
      </c>
      <c r="L659" s="10">
        <v>7</v>
      </c>
      <c r="M659" s="10" t="s">
        <v>27</v>
      </c>
      <c r="N659" s="10">
        <v>60.3</v>
      </c>
      <c r="O659" s="10">
        <v>273</v>
      </c>
      <c r="P659" s="10">
        <v>0</v>
      </c>
      <c r="Q659" s="10" t="str">
        <f>+IF(Tabla2[[#This Row],[Demand_Forecast]]&lt;= 125,"Low demand",IF(Tabla2[[#This Row],[Demand_Forecast]] &gt;=285,"High demand","Mid demand"))</f>
        <v>Mid demand</v>
      </c>
    </row>
    <row r="660" spans="1:17" x14ac:dyDescent="0.25">
      <c r="A660" s="11">
        <v>45379.60670138889</v>
      </c>
      <c r="B660" s="10" t="s">
        <v>61</v>
      </c>
      <c r="C660" s="10" t="s">
        <v>1352</v>
      </c>
      <c r="D660" s="10" t="s">
        <v>1353</v>
      </c>
      <c r="E660" s="10">
        <v>130</v>
      </c>
      <c r="F660" s="10" t="s">
        <v>19</v>
      </c>
      <c r="G660" s="10">
        <v>29.9</v>
      </c>
      <c r="H660" s="10">
        <v>65</v>
      </c>
      <c r="I660" s="10" t="s">
        <v>20</v>
      </c>
      <c r="J660" s="10">
        <v>50</v>
      </c>
      <c r="K660" s="10">
        <v>385</v>
      </c>
      <c r="L660" s="10">
        <v>10</v>
      </c>
      <c r="M660" s="10" t="s">
        <v>35</v>
      </c>
      <c r="N660" s="10">
        <v>72.599999999999994</v>
      </c>
      <c r="O660" s="10">
        <v>106</v>
      </c>
      <c r="P660" s="10">
        <v>1</v>
      </c>
      <c r="Q660" s="10" t="str">
        <f>+IF(Tabla2[[#This Row],[Demand_Forecast]]&lt;= 125,"Low demand",IF(Tabla2[[#This Row],[Demand_Forecast]] &gt;=285,"High demand","Mid demand"))</f>
        <v>Low demand</v>
      </c>
    </row>
    <row r="661" spans="1:17" x14ac:dyDescent="0.25">
      <c r="A661" s="11">
        <v>45640.529374999998</v>
      </c>
      <c r="B661" s="10" t="s">
        <v>56</v>
      </c>
      <c r="C661" s="10" t="s">
        <v>1354</v>
      </c>
      <c r="D661" s="10" t="s">
        <v>1355</v>
      </c>
      <c r="E661" s="10">
        <v>336</v>
      </c>
      <c r="F661" s="10" t="s">
        <v>25</v>
      </c>
      <c r="G661" s="10">
        <v>22.1</v>
      </c>
      <c r="H661" s="10">
        <v>75.2</v>
      </c>
      <c r="I661" s="10" t="s">
        <v>20</v>
      </c>
      <c r="J661" s="10">
        <v>33</v>
      </c>
      <c r="K661" s="10">
        <v>443</v>
      </c>
      <c r="L661" s="10">
        <v>5</v>
      </c>
      <c r="M661" s="10" t="s">
        <v>51</v>
      </c>
      <c r="N661" s="10">
        <v>73.2</v>
      </c>
      <c r="O661" s="10">
        <v>186</v>
      </c>
      <c r="P661" s="10">
        <v>0</v>
      </c>
      <c r="Q661" s="10" t="str">
        <f>+IF(Tabla2[[#This Row],[Demand_Forecast]]&lt;= 125,"Low demand",IF(Tabla2[[#This Row],[Demand_Forecast]] &gt;=285,"High demand","Mid demand"))</f>
        <v>Mid demand</v>
      </c>
    </row>
    <row r="662" spans="1:17" x14ac:dyDescent="0.25">
      <c r="A662" s="11">
        <v>45364.782754629632</v>
      </c>
      <c r="B662" s="10" t="s">
        <v>31</v>
      </c>
      <c r="C662" s="10" t="s">
        <v>1356</v>
      </c>
      <c r="D662" s="10" t="s">
        <v>1357</v>
      </c>
      <c r="E662" s="10">
        <v>330</v>
      </c>
      <c r="F662" s="10" t="s">
        <v>25</v>
      </c>
      <c r="G662" s="10">
        <v>29.5</v>
      </c>
      <c r="H662" s="10">
        <v>68.5</v>
      </c>
      <c r="I662" s="10" t="s">
        <v>38</v>
      </c>
      <c r="J662" s="10">
        <v>14</v>
      </c>
      <c r="K662" s="10">
        <v>358</v>
      </c>
      <c r="L662" s="10">
        <v>1</v>
      </c>
      <c r="M662" s="10" t="s">
        <v>51</v>
      </c>
      <c r="N662" s="10">
        <v>70</v>
      </c>
      <c r="O662" s="10">
        <v>283</v>
      </c>
      <c r="P662" s="10">
        <v>0</v>
      </c>
      <c r="Q662" s="10" t="str">
        <f>+IF(Tabla2[[#This Row],[Demand_Forecast]]&lt;= 125,"Low demand",IF(Tabla2[[#This Row],[Demand_Forecast]] &gt;=285,"High demand","Mid demand"))</f>
        <v>Mid demand</v>
      </c>
    </row>
    <row r="663" spans="1:17" x14ac:dyDescent="0.25">
      <c r="A663" s="11">
        <v>45350.037210648145</v>
      </c>
      <c r="B663" s="10" t="s">
        <v>22</v>
      </c>
      <c r="C663" s="10" t="s">
        <v>1358</v>
      </c>
      <c r="D663" s="10" t="s">
        <v>1359</v>
      </c>
      <c r="E663" s="10">
        <v>118</v>
      </c>
      <c r="F663" s="10" t="s">
        <v>25</v>
      </c>
      <c r="G663" s="10">
        <v>25.1</v>
      </c>
      <c r="H663" s="10">
        <v>59.5</v>
      </c>
      <c r="I663" s="10" t="s">
        <v>38</v>
      </c>
      <c r="J663" s="10">
        <v>36</v>
      </c>
      <c r="K663" s="10">
        <v>200</v>
      </c>
      <c r="L663" s="10">
        <v>1</v>
      </c>
      <c r="M663" s="10" t="s">
        <v>21</v>
      </c>
      <c r="N663" s="10">
        <v>80.599999999999994</v>
      </c>
      <c r="O663" s="10">
        <v>239</v>
      </c>
      <c r="P663" s="10">
        <v>0</v>
      </c>
      <c r="Q663" s="10" t="str">
        <f>+IF(Tabla2[[#This Row],[Demand_Forecast]]&lt;= 125,"Low demand",IF(Tabla2[[#This Row],[Demand_Forecast]] &gt;=285,"High demand","Mid demand"))</f>
        <v>Mid demand</v>
      </c>
    </row>
    <row r="664" spans="1:17" x14ac:dyDescent="0.25">
      <c r="A664" s="11">
        <v>45583.893368055556</v>
      </c>
      <c r="B664" s="10" t="s">
        <v>48</v>
      </c>
      <c r="C664" s="10" t="s">
        <v>1360</v>
      </c>
      <c r="D664" s="10" t="s">
        <v>1361</v>
      </c>
      <c r="E664" s="10">
        <v>147</v>
      </c>
      <c r="F664" s="10" t="s">
        <v>25</v>
      </c>
      <c r="G664" s="10">
        <v>21.6</v>
      </c>
      <c r="H664" s="10">
        <v>52</v>
      </c>
      <c r="I664" s="10" t="s">
        <v>38</v>
      </c>
      <c r="J664" s="10">
        <v>24</v>
      </c>
      <c r="K664" s="10">
        <v>187</v>
      </c>
      <c r="L664" s="10">
        <v>7</v>
      </c>
      <c r="M664" s="10" t="s">
        <v>35</v>
      </c>
      <c r="N664" s="10">
        <v>71</v>
      </c>
      <c r="O664" s="10">
        <v>173</v>
      </c>
      <c r="P664" s="10">
        <v>0</v>
      </c>
      <c r="Q664" s="10" t="str">
        <f>+IF(Tabla2[[#This Row],[Demand_Forecast]]&lt;= 125,"Low demand",IF(Tabla2[[#This Row],[Demand_Forecast]] &gt;=285,"High demand","Mid demand"))</f>
        <v>Mid demand</v>
      </c>
    </row>
    <row r="665" spans="1:17" x14ac:dyDescent="0.25">
      <c r="A665" s="11">
        <v>45302.131655092591</v>
      </c>
      <c r="B665" s="10" t="s">
        <v>61</v>
      </c>
      <c r="C665" s="10" t="s">
        <v>1362</v>
      </c>
      <c r="D665" s="10" t="s">
        <v>1363</v>
      </c>
      <c r="E665" s="10">
        <v>258</v>
      </c>
      <c r="F665" s="10" t="s">
        <v>34</v>
      </c>
      <c r="G665" s="10">
        <v>23.3</v>
      </c>
      <c r="H665" s="10">
        <v>71.8</v>
      </c>
      <c r="I665" s="10" t="s">
        <v>26</v>
      </c>
      <c r="J665" s="10">
        <v>20</v>
      </c>
      <c r="K665" s="10">
        <v>466</v>
      </c>
      <c r="L665" s="10">
        <v>7</v>
      </c>
      <c r="M665" s="10" t="s">
        <v>35</v>
      </c>
      <c r="N665" s="10">
        <v>80.599999999999994</v>
      </c>
      <c r="O665" s="10">
        <v>277</v>
      </c>
      <c r="P665" s="10">
        <v>1</v>
      </c>
      <c r="Q665" s="10" t="str">
        <f>+IF(Tabla2[[#This Row],[Demand_Forecast]]&lt;= 125,"Low demand",IF(Tabla2[[#This Row],[Demand_Forecast]] &gt;=285,"High demand","Mid demand"))</f>
        <v>Mid demand</v>
      </c>
    </row>
    <row r="666" spans="1:17" x14ac:dyDescent="0.25">
      <c r="A666" s="11">
        <v>45560.406134259261</v>
      </c>
      <c r="B666" s="10" t="s">
        <v>16</v>
      </c>
      <c r="C666" s="10" t="s">
        <v>1364</v>
      </c>
      <c r="D666" s="10" t="s">
        <v>1365</v>
      </c>
      <c r="E666" s="10">
        <v>315</v>
      </c>
      <c r="F666" s="10" t="s">
        <v>19</v>
      </c>
      <c r="G666" s="10">
        <v>21.7</v>
      </c>
      <c r="H666" s="10">
        <v>54.9</v>
      </c>
      <c r="I666" s="10" t="s">
        <v>26</v>
      </c>
      <c r="J666" s="10">
        <v>51</v>
      </c>
      <c r="K666" s="10">
        <v>479</v>
      </c>
      <c r="L666" s="10">
        <v>7</v>
      </c>
      <c r="M666" s="10" t="s">
        <v>35</v>
      </c>
      <c r="N666" s="10">
        <v>83.7</v>
      </c>
      <c r="O666" s="10">
        <v>293</v>
      </c>
      <c r="P666" s="10">
        <v>1</v>
      </c>
      <c r="Q666" s="10" t="str">
        <f>+IF(Tabla2[[#This Row],[Demand_Forecast]]&lt;= 125,"Low demand",IF(Tabla2[[#This Row],[Demand_Forecast]] &gt;=285,"High demand","Mid demand"))</f>
        <v>High demand</v>
      </c>
    </row>
    <row r="667" spans="1:17" x14ac:dyDescent="0.25">
      <c r="A667" s="11">
        <v>45469.866423611114</v>
      </c>
      <c r="B667" s="10" t="s">
        <v>56</v>
      </c>
      <c r="C667" s="10" t="s">
        <v>1366</v>
      </c>
      <c r="D667" s="10" t="s">
        <v>1367</v>
      </c>
      <c r="E667" s="10">
        <v>233</v>
      </c>
      <c r="F667" s="10" t="s">
        <v>19</v>
      </c>
      <c r="G667" s="10">
        <v>25.3</v>
      </c>
      <c r="H667" s="10">
        <v>52.8</v>
      </c>
      <c r="I667" s="10" t="s">
        <v>20</v>
      </c>
      <c r="J667" s="10">
        <v>19</v>
      </c>
      <c r="K667" s="10">
        <v>123</v>
      </c>
      <c r="L667" s="10">
        <v>7</v>
      </c>
      <c r="M667" s="10" t="s">
        <v>27</v>
      </c>
      <c r="N667" s="10">
        <v>92.3</v>
      </c>
      <c r="O667" s="10">
        <v>192</v>
      </c>
      <c r="P667" s="10">
        <v>1</v>
      </c>
      <c r="Q667" s="10" t="str">
        <f>+IF(Tabla2[[#This Row],[Demand_Forecast]]&lt;= 125,"Low demand",IF(Tabla2[[#This Row],[Demand_Forecast]] &gt;=285,"High demand","Mid demand"))</f>
        <v>Mid demand</v>
      </c>
    </row>
    <row r="668" spans="1:17" x14ac:dyDescent="0.25">
      <c r="A668" s="11">
        <v>45346.308252314811</v>
      </c>
      <c r="B668" s="10" t="s">
        <v>41</v>
      </c>
      <c r="C668" s="10" t="s">
        <v>1368</v>
      </c>
      <c r="D668" s="10" t="s">
        <v>1369</v>
      </c>
      <c r="E668" s="10">
        <v>282</v>
      </c>
      <c r="F668" s="10" t="s">
        <v>34</v>
      </c>
      <c r="G668" s="10">
        <v>18.399999999999999</v>
      </c>
      <c r="H668" s="10">
        <v>68.8</v>
      </c>
      <c r="I668" s="10" t="s">
        <v>26</v>
      </c>
      <c r="J668" s="10">
        <v>16</v>
      </c>
      <c r="K668" s="10">
        <v>281</v>
      </c>
      <c r="L668" s="10">
        <v>4</v>
      </c>
      <c r="M668" s="10" t="s">
        <v>51</v>
      </c>
      <c r="N668" s="10">
        <v>78.8</v>
      </c>
      <c r="O668" s="10">
        <v>285</v>
      </c>
      <c r="P668" s="10">
        <v>1</v>
      </c>
      <c r="Q668" s="10" t="str">
        <f>+IF(Tabla2[[#This Row],[Demand_Forecast]]&lt;= 125,"Low demand",IF(Tabla2[[#This Row],[Demand_Forecast]] &gt;=285,"High demand","Mid demand"))</f>
        <v>High demand</v>
      </c>
    </row>
    <row r="669" spans="1:17" x14ac:dyDescent="0.25">
      <c r="A669" s="11">
        <v>45326.862013888887</v>
      </c>
      <c r="B669" s="10" t="s">
        <v>48</v>
      </c>
      <c r="C669" s="10" t="s">
        <v>1370</v>
      </c>
      <c r="D669" s="10" t="s">
        <v>1371</v>
      </c>
      <c r="E669" s="10">
        <v>117</v>
      </c>
      <c r="F669" s="10" t="s">
        <v>19</v>
      </c>
      <c r="G669" s="10">
        <v>28</v>
      </c>
      <c r="H669" s="10">
        <v>73.900000000000006</v>
      </c>
      <c r="I669" s="10" t="s">
        <v>26</v>
      </c>
      <c r="J669" s="10">
        <v>55</v>
      </c>
      <c r="K669" s="10">
        <v>156</v>
      </c>
      <c r="L669" s="10">
        <v>10</v>
      </c>
      <c r="M669" s="10" t="s">
        <v>27</v>
      </c>
      <c r="N669" s="10">
        <v>63.7</v>
      </c>
      <c r="O669" s="10">
        <v>277</v>
      </c>
      <c r="P669" s="10">
        <v>1</v>
      </c>
      <c r="Q669" s="10" t="str">
        <f>+IF(Tabla2[[#This Row],[Demand_Forecast]]&lt;= 125,"Low demand",IF(Tabla2[[#This Row],[Demand_Forecast]] &gt;=285,"High demand","Mid demand"))</f>
        <v>Mid demand</v>
      </c>
    </row>
    <row r="670" spans="1:17" x14ac:dyDescent="0.25">
      <c r="A670" s="11">
        <v>45350.759212962963</v>
      </c>
      <c r="B670" s="10" t="s">
        <v>95</v>
      </c>
      <c r="C670" s="10" t="s">
        <v>1372</v>
      </c>
      <c r="D670" s="10" t="s">
        <v>1373</v>
      </c>
      <c r="E670" s="10">
        <v>242</v>
      </c>
      <c r="F670" s="10" t="s">
        <v>25</v>
      </c>
      <c r="G670" s="10">
        <v>23.7</v>
      </c>
      <c r="H670" s="10">
        <v>56</v>
      </c>
      <c r="I670" s="10" t="s">
        <v>20</v>
      </c>
      <c r="J670" s="10">
        <v>41</v>
      </c>
      <c r="K670" s="10">
        <v>190</v>
      </c>
      <c r="L670" s="10">
        <v>5</v>
      </c>
      <c r="M670" s="10" t="s">
        <v>35</v>
      </c>
      <c r="N670" s="10">
        <v>61.8</v>
      </c>
      <c r="O670" s="10">
        <v>265</v>
      </c>
      <c r="P670" s="10">
        <v>0</v>
      </c>
      <c r="Q670" s="10" t="str">
        <f>+IF(Tabla2[[#This Row],[Demand_Forecast]]&lt;= 125,"Low demand",IF(Tabla2[[#This Row],[Demand_Forecast]] &gt;=285,"High demand","Mid demand"))</f>
        <v>Mid demand</v>
      </c>
    </row>
    <row r="671" spans="1:17" x14ac:dyDescent="0.25">
      <c r="A671" s="11">
        <v>45409.647962962961</v>
      </c>
      <c r="B671" s="10" t="s">
        <v>56</v>
      </c>
      <c r="C671" s="10" t="s">
        <v>1374</v>
      </c>
      <c r="D671" s="10" t="s">
        <v>1375</v>
      </c>
      <c r="E671" s="10">
        <v>497</v>
      </c>
      <c r="F671" s="10" t="s">
        <v>34</v>
      </c>
      <c r="G671" s="10">
        <v>24.1</v>
      </c>
      <c r="H671" s="10">
        <v>77.5</v>
      </c>
      <c r="I671" s="10" t="s">
        <v>38</v>
      </c>
      <c r="J671" s="10">
        <v>39</v>
      </c>
      <c r="K671" s="10">
        <v>319</v>
      </c>
      <c r="L671" s="10">
        <v>10</v>
      </c>
      <c r="M671" s="10" t="s">
        <v>35</v>
      </c>
      <c r="N671" s="10">
        <v>60</v>
      </c>
      <c r="O671" s="10">
        <v>224</v>
      </c>
      <c r="P671" s="10">
        <v>0</v>
      </c>
      <c r="Q671" s="10" t="str">
        <f>+IF(Tabla2[[#This Row],[Demand_Forecast]]&lt;= 125,"Low demand",IF(Tabla2[[#This Row],[Demand_Forecast]] &gt;=285,"High demand","Mid demand"))</f>
        <v>Mid demand</v>
      </c>
    </row>
    <row r="672" spans="1:17" x14ac:dyDescent="0.25">
      <c r="A672" s="11">
        <v>45592.025682870371</v>
      </c>
      <c r="B672" s="10" t="s">
        <v>28</v>
      </c>
      <c r="C672" s="10" t="s">
        <v>1376</v>
      </c>
      <c r="D672" s="10" t="s">
        <v>1377</v>
      </c>
      <c r="E672" s="10">
        <v>384</v>
      </c>
      <c r="F672" s="10" t="s">
        <v>19</v>
      </c>
      <c r="G672" s="10">
        <v>25.6</v>
      </c>
      <c r="H672" s="10">
        <v>78.8</v>
      </c>
      <c r="I672" s="10" t="s">
        <v>20</v>
      </c>
      <c r="J672" s="10">
        <v>52</v>
      </c>
      <c r="K672" s="10">
        <v>161</v>
      </c>
      <c r="L672" s="10">
        <v>10</v>
      </c>
      <c r="M672" s="10" t="s">
        <v>51</v>
      </c>
      <c r="N672" s="10">
        <v>83.6</v>
      </c>
      <c r="O672" s="10">
        <v>161</v>
      </c>
      <c r="P672" s="10">
        <v>1</v>
      </c>
      <c r="Q672" s="10" t="str">
        <f>+IF(Tabla2[[#This Row],[Demand_Forecast]]&lt;= 125,"Low demand",IF(Tabla2[[#This Row],[Demand_Forecast]] &gt;=285,"High demand","Mid demand"))</f>
        <v>Mid demand</v>
      </c>
    </row>
    <row r="673" spans="1:17" x14ac:dyDescent="0.25">
      <c r="A673" s="11">
        <v>45299.391342592593</v>
      </c>
      <c r="B673" s="10" t="s">
        <v>31</v>
      </c>
      <c r="C673" s="10" t="s">
        <v>1378</v>
      </c>
      <c r="D673" s="10" t="s">
        <v>1379</v>
      </c>
      <c r="E673" s="10">
        <v>258</v>
      </c>
      <c r="F673" s="10" t="s">
        <v>34</v>
      </c>
      <c r="G673" s="10">
        <v>26.8</v>
      </c>
      <c r="H673" s="10">
        <v>60.5</v>
      </c>
      <c r="I673" s="10" t="s">
        <v>38</v>
      </c>
      <c r="J673" s="10">
        <v>12</v>
      </c>
      <c r="K673" s="10">
        <v>413</v>
      </c>
      <c r="L673" s="10">
        <v>8</v>
      </c>
      <c r="M673" s="10" t="s">
        <v>27</v>
      </c>
      <c r="N673" s="10">
        <v>86.9</v>
      </c>
      <c r="O673" s="10">
        <v>207</v>
      </c>
      <c r="P673" s="10">
        <v>0</v>
      </c>
      <c r="Q673" s="10" t="str">
        <f>+IF(Tabla2[[#This Row],[Demand_Forecast]]&lt;= 125,"Low demand",IF(Tabla2[[#This Row],[Demand_Forecast]] &gt;=285,"High demand","Mid demand"))</f>
        <v>Mid demand</v>
      </c>
    </row>
    <row r="674" spans="1:17" x14ac:dyDescent="0.25">
      <c r="A674" s="11">
        <v>45383.774733796294</v>
      </c>
      <c r="B674" s="10" t="s">
        <v>41</v>
      </c>
      <c r="C674" s="10" t="s">
        <v>1380</v>
      </c>
      <c r="D674" s="10" t="s">
        <v>1381</v>
      </c>
      <c r="E674" s="10">
        <v>258</v>
      </c>
      <c r="F674" s="10" t="s">
        <v>34</v>
      </c>
      <c r="G674" s="10">
        <v>29.4</v>
      </c>
      <c r="H674" s="10">
        <v>66.099999999999994</v>
      </c>
      <c r="I674" s="10" t="s">
        <v>26</v>
      </c>
      <c r="J674" s="10">
        <v>54</v>
      </c>
      <c r="K674" s="10">
        <v>395</v>
      </c>
      <c r="L674" s="10">
        <v>2</v>
      </c>
      <c r="M674" s="10" t="s">
        <v>51</v>
      </c>
      <c r="N674" s="10">
        <v>71.400000000000006</v>
      </c>
      <c r="O674" s="10">
        <v>256</v>
      </c>
      <c r="P674" s="10">
        <v>1</v>
      </c>
      <c r="Q674" s="10" t="str">
        <f>+IF(Tabla2[[#This Row],[Demand_Forecast]]&lt;= 125,"Low demand",IF(Tabla2[[#This Row],[Demand_Forecast]] &gt;=285,"High demand","Mid demand"))</f>
        <v>Mid demand</v>
      </c>
    </row>
    <row r="675" spans="1:17" x14ac:dyDescent="0.25">
      <c r="A675" s="11">
        <v>45356.524629629632</v>
      </c>
      <c r="B675" s="10" t="s">
        <v>16</v>
      </c>
      <c r="C675" s="10" t="s">
        <v>1382</v>
      </c>
      <c r="D675" s="10" t="s">
        <v>1383</v>
      </c>
      <c r="E675" s="10">
        <v>291</v>
      </c>
      <c r="F675" s="10" t="s">
        <v>25</v>
      </c>
      <c r="G675" s="10">
        <v>26.9</v>
      </c>
      <c r="H675" s="10">
        <v>52.3</v>
      </c>
      <c r="I675" s="10" t="s">
        <v>26</v>
      </c>
      <c r="J675" s="10">
        <v>34</v>
      </c>
      <c r="K675" s="10">
        <v>253</v>
      </c>
      <c r="L675" s="10">
        <v>2</v>
      </c>
      <c r="M675" s="10" t="s">
        <v>35</v>
      </c>
      <c r="N675" s="10">
        <v>94.9</v>
      </c>
      <c r="O675" s="10">
        <v>228</v>
      </c>
      <c r="P675" s="10">
        <v>1</v>
      </c>
      <c r="Q675" s="10" t="str">
        <f>+IF(Tabla2[[#This Row],[Demand_Forecast]]&lt;= 125,"Low demand",IF(Tabla2[[#This Row],[Demand_Forecast]] &gt;=285,"High demand","Mid demand"))</f>
        <v>Mid demand</v>
      </c>
    </row>
    <row r="676" spans="1:17" x14ac:dyDescent="0.25">
      <c r="A676" s="11">
        <v>45526.276562500003</v>
      </c>
      <c r="B676" s="10" t="s">
        <v>31</v>
      </c>
      <c r="C676" s="10" t="s">
        <v>1384</v>
      </c>
      <c r="D676" s="10" t="s">
        <v>1385</v>
      </c>
      <c r="E676" s="10">
        <v>135</v>
      </c>
      <c r="F676" s="10" t="s">
        <v>19</v>
      </c>
      <c r="G676" s="10">
        <v>29</v>
      </c>
      <c r="H676" s="10">
        <v>62.2</v>
      </c>
      <c r="I676" s="10" t="s">
        <v>26</v>
      </c>
      <c r="J676" s="10">
        <v>24</v>
      </c>
      <c r="K676" s="10">
        <v>155</v>
      </c>
      <c r="L676" s="10">
        <v>3</v>
      </c>
      <c r="M676" s="10" t="s">
        <v>51</v>
      </c>
      <c r="N676" s="10">
        <v>69.400000000000006</v>
      </c>
      <c r="O676" s="10">
        <v>196</v>
      </c>
      <c r="P676" s="10">
        <v>1</v>
      </c>
      <c r="Q676" s="10" t="str">
        <f>+IF(Tabla2[[#This Row],[Demand_Forecast]]&lt;= 125,"Low demand",IF(Tabla2[[#This Row],[Demand_Forecast]] &gt;=285,"High demand","Mid demand"))</f>
        <v>Mid demand</v>
      </c>
    </row>
    <row r="677" spans="1:17" x14ac:dyDescent="0.25">
      <c r="A677" s="11">
        <v>45311.610358796293</v>
      </c>
      <c r="B677" s="10" t="s">
        <v>28</v>
      </c>
      <c r="C677" s="10" t="s">
        <v>1386</v>
      </c>
      <c r="D677" s="10" t="s">
        <v>1387</v>
      </c>
      <c r="E677" s="10">
        <v>437</v>
      </c>
      <c r="F677" s="10" t="s">
        <v>19</v>
      </c>
      <c r="G677" s="10">
        <v>23.3</v>
      </c>
      <c r="H677" s="10">
        <v>61.6</v>
      </c>
      <c r="I677" s="10" t="s">
        <v>26</v>
      </c>
      <c r="J677" s="10">
        <v>45</v>
      </c>
      <c r="K677" s="10">
        <v>177</v>
      </c>
      <c r="L677" s="10">
        <v>5</v>
      </c>
      <c r="M677" s="10" t="s">
        <v>51</v>
      </c>
      <c r="N677" s="10">
        <v>93.3</v>
      </c>
      <c r="O677" s="10">
        <v>106</v>
      </c>
      <c r="P677" s="10">
        <v>1</v>
      </c>
      <c r="Q677" s="10" t="str">
        <f>+IF(Tabla2[[#This Row],[Demand_Forecast]]&lt;= 125,"Low demand",IF(Tabla2[[#This Row],[Demand_Forecast]] &gt;=285,"High demand","Mid demand"))</f>
        <v>Low demand</v>
      </c>
    </row>
    <row r="678" spans="1:17" x14ac:dyDescent="0.25">
      <c r="A678" s="11">
        <v>45479.753738425927</v>
      </c>
      <c r="B678" s="10" t="s">
        <v>31</v>
      </c>
      <c r="C678" s="10" t="s">
        <v>1388</v>
      </c>
      <c r="D678" s="10" t="s">
        <v>1389</v>
      </c>
      <c r="E678" s="10">
        <v>441</v>
      </c>
      <c r="F678" s="10" t="s">
        <v>19</v>
      </c>
      <c r="G678" s="10">
        <v>23.1</v>
      </c>
      <c r="H678" s="10">
        <v>57.1</v>
      </c>
      <c r="I678" s="10" t="s">
        <v>38</v>
      </c>
      <c r="J678" s="10">
        <v>55</v>
      </c>
      <c r="K678" s="10">
        <v>490</v>
      </c>
      <c r="L678" s="10">
        <v>10</v>
      </c>
      <c r="M678" s="10" t="s">
        <v>27</v>
      </c>
      <c r="N678" s="10">
        <v>65.099999999999994</v>
      </c>
      <c r="O678" s="10">
        <v>289</v>
      </c>
      <c r="P678" s="10">
        <v>1</v>
      </c>
      <c r="Q678" s="10" t="str">
        <f>+IF(Tabla2[[#This Row],[Demand_Forecast]]&lt;= 125,"Low demand",IF(Tabla2[[#This Row],[Demand_Forecast]] &gt;=285,"High demand","Mid demand"))</f>
        <v>High demand</v>
      </c>
    </row>
    <row r="679" spans="1:17" x14ac:dyDescent="0.25">
      <c r="A679" s="11">
        <v>45424.858483796299</v>
      </c>
      <c r="B679" s="10" t="s">
        <v>22</v>
      </c>
      <c r="C679" s="10" t="s">
        <v>1390</v>
      </c>
      <c r="D679" s="10" t="s">
        <v>1391</v>
      </c>
      <c r="E679" s="10">
        <v>268</v>
      </c>
      <c r="F679" s="10" t="s">
        <v>19</v>
      </c>
      <c r="G679" s="10">
        <v>20.3</v>
      </c>
      <c r="H679" s="10">
        <v>78.099999999999994</v>
      </c>
      <c r="I679" s="10" t="s">
        <v>20</v>
      </c>
      <c r="J679" s="10">
        <v>30</v>
      </c>
      <c r="K679" s="10">
        <v>102</v>
      </c>
      <c r="L679" s="10">
        <v>6</v>
      </c>
      <c r="M679" s="10" t="s">
        <v>27</v>
      </c>
      <c r="N679" s="10">
        <v>91.7</v>
      </c>
      <c r="O679" s="10">
        <v>132</v>
      </c>
      <c r="P679" s="10">
        <v>1</v>
      </c>
      <c r="Q679" s="10" t="str">
        <f>+IF(Tabla2[[#This Row],[Demand_Forecast]]&lt;= 125,"Low demand",IF(Tabla2[[#This Row],[Demand_Forecast]] &gt;=285,"High demand","Mid demand"))</f>
        <v>Mid demand</v>
      </c>
    </row>
    <row r="680" spans="1:17" x14ac:dyDescent="0.25">
      <c r="A680" s="11">
        <v>45616.644131944442</v>
      </c>
      <c r="B680" s="10" t="s">
        <v>48</v>
      </c>
      <c r="C680" s="10" t="s">
        <v>1392</v>
      </c>
      <c r="D680" s="10" t="s">
        <v>1393</v>
      </c>
      <c r="E680" s="10">
        <v>142</v>
      </c>
      <c r="F680" s="10" t="s">
        <v>19</v>
      </c>
      <c r="G680" s="10">
        <v>24</v>
      </c>
      <c r="H680" s="10">
        <v>51.6</v>
      </c>
      <c r="I680" s="10" t="s">
        <v>38</v>
      </c>
      <c r="J680" s="10">
        <v>40</v>
      </c>
      <c r="K680" s="10">
        <v>160</v>
      </c>
      <c r="L680" s="10">
        <v>7</v>
      </c>
      <c r="M680" s="10" t="s">
        <v>21</v>
      </c>
      <c r="N680" s="10">
        <v>70</v>
      </c>
      <c r="O680" s="10">
        <v>276</v>
      </c>
      <c r="P680" s="10">
        <v>1</v>
      </c>
      <c r="Q680" s="10" t="str">
        <f>+IF(Tabla2[[#This Row],[Demand_Forecast]]&lt;= 125,"Low demand",IF(Tabla2[[#This Row],[Demand_Forecast]] &gt;=285,"High demand","Mid demand"))</f>
        <v>Mid demand</v>
      </c>
    </row>
    <row r="681" spans="1:17" x14ac:dyDescent="0.25">
      <c r="A681" s="11">
        <v>45518.789421296293</v>
      </c>
      <c r="B681" s="10" t="s">
        <v>31</v>
      </c>
      <c r="C681" s="10" t="s">
        <v>1394</v>
      </c>
      <c r="D681" s="10" t="s">
        <v>1395</v>
      </c>
      <c r="E681" s="10">
        <v>264</v>
      </c>
      <c r="F681" s="10" t="s">
        <v>25</v>
      </c>
      <c r="G681" s="10">
        <v>25.3</v>
      </c>
      <c r="H681" s="10">
        <v>55.2</v>
      </c>
      <c r="I681" s="10" t="s">
        <v>38</v>
      </c>
      <c r="J681" s="10">
        <v>51</v>
      </c>
      <c r="K681" s="10">
        <v>213</v>
      </c>
      <c r="L681" s="10">
        <v>10</v>
      </c>
      <c r="M681" s="10" t="s">
        <v>51</v>
      </c>
      <c r="N681" s="10">
        <v>85.5</v>
      </c>
      <c r="O681" s="10">
        <v>173</v>
      </c>
      <c r="P681" s="10">
        <v>0</v>
      </c>
      <c r="Q681" s="10" t="str">
        <f>+IF(Tabla2[[#This Row],[Demand_Forecast]]&lt;= 125,"Low demand",IF(Tabla2[[#This Row],[Demand_Forecast]] &gt;=285,"High demand","Mid demand"))</f>
        <v>Mid demand</v>
      </c>
    </row>
    <row r="682" spans="1:17" x14ac:dyDescent="0.25">
      <c r="A682" s="11">
        <v>45567.425347222219</v>
      </c>
      <c r="B682" s="10" t="s">
        <v>61</v>
      </c>
      <c r="C682" s="10" t="s">
        <v>1396</v>
      </c>
      <c r="D682" s="10" t="s">
        <v>1397</v>
      </c>
      <c r="E682" s="10">
        <v>426</v>
      </c>
      <c r="F682" s="10" t="s">
        <v>19</v>
      </c>
      <c r="G682" s="10">
        <v>25.3</v>
      </c>
      <c r="H682" s="10">
        <v>56.8</v>
      </c>
      <c r="I682" s="10" t="s">
        <v>38</v>
      </c>
      <c r="J682" s="10">
        <v>15</v>
      </c>
      <c r="K682" s="10">
        <v>241</v>
      </c>
      <c r="L682" s="10">
        <v>5</v>
      </c>
      <c r="M682" s="10" t="s">
        <v>35</v>
      </c>
      <c r="N682" s="10">
        <v>83.5</v>
      </c>
      <c r="O682" s="10">
        <v>224</v>
      </c>
      <c r="P682" s="10">
        <v>1</v>
      </c>
      <c r="Q682" s="10" t="str">
        <f>+IF(Tabla2[[#This Row],[Demand_Forecast]]&lt;= 125,"Low demand",IF(Tabla2[[#This Row],[Demand_Forecast]] &gt;=285,"High demand","Mid demand"))</f>
        <v>Mid demand</v>
      </c>
    </row>
    <row r="683" spans="1:17" x14ac:dyDescent="0.25">
      <c r="A683" s="11">
        <v>45386.730613425927</v>
      </c>
      <c r="B683" s="10" t="s">
        <v>56</v>
      </c>
      <c r="C683" s="10" t="s">
        <v>1398</v>
      </c>
      <c r="D683" s="10" t="s">
        <v>1399</v>
      </c>
      <c r="E683" s="10">
        <v>214</v>
      </c>
      <c r="F683" s="10" t="s">
        <v>19</v>
      </c>
      <c r="G683" s="10">
        <v>24.3</v>
      </c>
      <c r="H683" s="10">
        <v>56.9</v>
      </c>
      <c r="I683" s="10" t="s">
        <v>38</v>
      </c>
      <c r="J683" s="10">
        <v>35</v>
      </c>
      <c r="K683" s="10">
        <v>497</v>
      </c>
      <c r="L683" s="10">
        <v>6</v>
      </c>
      <c r="M683" s="10" t="s">
        <v>27</v>
      </c>
      <c r="N683" s="10">
        <v>70.2</v>
      </c>
      <c r="O683" s="10">
        <v>111</v>
      </c>
      <c r="P683" s="10">
        <v>1</v>
      </c>
      <c r="Q683" s="10" t="str">
        <f>+IF(Tabla2[[#This Row],[Demand_Forecast]]&lt;= 125,"Low demand",IF(Tabla2[[#This Row],[Demand_Forecast]] &gt;=285,"High demand","Mid demand"))</f>
        <v>Low demand</v>
      </c>
    </row>
    <row r="684" spans="1:17" x14ac:dyDescent="0.25">
      <c r="A684" s="11">
        <v>45299.886631944442</v>
      </c>
      <c r="B684" s="10" t="s">
        <v>64</v>
      </c>
      <c r="C684" s="10" t="s">
        <v>1400</v>
      </c>
      <c r="D684" s="10" t="s">
        <v>1401</v>
      </c>
      <c r="E684" s="10">
        <v>123</v>
      </c>
      <c r="F684" s="10" t="s">
        <v>34</v>
      </c>
      <c r="G684" s="10">
        <v>19.3</v>
      </c>
      <c r="H684" s="10">
        <v>63.4</v>
      </c>
      <c r="I684" s="10" t="s">
        <v>20</v>
      </c>
      <c r="J684" s="10">
        <v>35</v>
      </c>
      <c r="K684" s="10">
        <v>303</v>
      </c>
      <c r="L684" s="10">
        <v>3</v>
      </c>
      <c r="M684" s="10" t="s">
        <v>21</v>
      </c>
      <c r="N684" s="10">
        <v>64.900000000000006</v>
      </c>
      <c r="O684" s="10">
        <v>240</v>
      </c>
      <c r="P684" s="10">
        <v>0</v>
      </c>
      <c r="Q684" s="10" t="str">
        <f>+IF(Tabla2[[#This Row],[Demand_Forecast]]&lt;= 125,"Low demand",IF(Tabla2[[#This Row],[Demand_Forecast]] &gt;=285,"High demand","Mid demand"))</f>
        <v>Mid demand</v>
      </c>
    </row>
    <row r="685" spans="1:17" x14ac:dyDescent="0.25">
      <c r="A685" s="11">
        <v>45384.947534722225</v>
      </c>
      <c r="B685" s="10" t="s">
        <v>16</v>
      </c>
      <c r="C685" s="10" t="s">
        <v>1402</v>
      </c>
      <c r="D685" s="10" t="s">
        <v>1403</v>
      </c>
      <c r="E685" s="10">
        <v>295</v>
      </c>
      <c r="F685" s="10" t="s">
        <v>25</v>
      </c>
      <c r="G685" s="10">
        <v>22.2</v>
      </c>
      <c r="H685" s="10">
        <v>64.900000000000006</v>
      </c>
      <c r="I685" s="10" t="s">
        <v>26</v>
      </c>
      <c r="J685" s="10">
        <v>19</v>
      </c>
      <c r="K685" s="10">
        <v>385</v>
      </c>
      <c r="L685" s="10">
        <v>9</v>
      </c>
      <c r="M685" s="10" t="s">
        <v>27</v>
      </c>
      <c r="N685" s="10">
        <v>77.099999999999994</v>
      </c>
      <c r="O685" s="10">
        <v>235</v>
      </c>
      <c r="P685" s="10">
        <v>1</v>
      </c>
      <c r="Q685" s="10" t="str">
        <f>+IF(Tabla2[[#This Row],[Demand_Forecast]]&lt;= 125,"Low demand",IF(Tabla2[[#This Row],[Demand_Forecast]] &gt;=285,"High demand","Mid demand"))</f>
        <v>Mid demand</v>
      </c>
    </row>
    <row r="686" spans="1:17" x14ac:dyDescent="0.25">
      <c r="A686" s="11">
        <v>45391.925162037034</v>
      </c>
      <c r="B686" s="10" t="s">
        <v>64</v>
      </c>
      <c r="C686" s="10" t="s">
        <v>1404</v>
      </c>
      <c r="D686" s="10" t="s">
        <v>1405</v>
      </c>
      <c r="E686" s="10">
        <v>378</v>
      </c>
      <c r="F686" s="10" t="s">
        <v>25</v>
      </c>
      <c r="G686" s="10">
        <v>23.3</v>
      </c>
      <c r="H686" s="10">
        <v>78.7</v>
      </c>
      <c r="I686" s="10" t="s">
        <v>38</v>
      </c>
      <c r="J686" s="10">
        <v>17</v>
      </c>
      <c r="K686" s="10">
        <v>364</v>
      </c>
      <c r="L686" s="10">
        <v>8</v>
      </c>
      <c r="M686" s="10" t="s">
        <v>51</v>
      </c>
      <c r="N686" s="10">
        <v>96.1</v>
      </c>
      <c r="O686" s="10">
        <v>230</v>
      </c>
      <c r="P686" s="10">
        <v>0</v>
      </c>
      <c r="Q686" s="10" t="str">
        <f>+IF(Tabla2[[#This Row],[Demand_Forecast]]&lt;= 125,"Low demand",IF(Tabla2[[#This Row],[Demand_Forecast]] &gt;=285,"High demand","Mid demand"))</f>
        <v>Mid demand</v>
      </c>
    </row>
    <row r="687" spans="1:17" x14ac:dyDescent="0.25">
      <c r="A687" s="11">
        <v>45481.459293981483</v>
      </c>
      <c r="B687" s="10" t="s">
        <v>41</v>
      </c>
      <c r="C687" s="10" t="s">
        <v>1406</v>
      </c>
      <c r="D687" s="10" t="s">
        <v>1407</v>
      </c>
      <c r="E687" s="10">
        <v>209</v>
      </c>
      <c r="F687" s="10" t="s">
        <v>19</v>
      </c>
      <c r="G687" s="10">
        <v>19.3</v>
      </c>
      <c r="H687" s="10">
        <v>51</v>
      </c>
      <c r="I687" s="10" t="s">
        <v>20</v>
      </c>
      <c r="J687" s="10">
        <v>18</v>
      </c>
      <c r="K687" s="10">
        <v>443</v>
      </c>
      <c r="L687" s="10">
        <v>2</v>
      </c>
      <c r="M687" s="10" t="s">
        <v>51</v>
      </c>
      <c r="N687" s="10">
        <v>91.5</v>
      </c>
      <c r="O687" s="10">
        <v>213</v>
      </c>
      <c r="P687" s="10">
        <v>1</v>
      </c>
      <c r="Q687" s="10" t="str">
        <f>+IF(Tabla2[[#This Row],[Demand_Forecast]]&lt;= 125,"Low demand",IF(Tabla2[[#This Row],[Demand_Forecast]] &gt;=285,"High demand","Mid demand"))</f>
        <v>Mid demand</v>
      </c>
    </row>
    <row r="688" spans="1:17" x14ac:dyDescent="0.25">
      <c r="A688" s="11">
        <v>45372.451863425929</v>
      </c>
      <c r="B688" s="10" t="s">
        <v>22</v>
      </c>
      <c r="C688" s="10" t="s">
        <v>1408</v>
      </c>
      <c r="D688" s="10" t="s">
        <v>1409</v>
      </c>
      <c r="E688" s="10">
        <v>325</v>
      </c>
      <c r="F688" s="10" t="s">
        <v>19</v>
      </c>
      <c r="G688" s="10">
        <v>28.8</v>
      </c>
      <c r="H688" s="10">
        <v>55</v>
      </c>
      <c r="I688" s="10" t="s">
        <v>38</v>
      </c>
      <c r="J688" s="10">
        <v>56</v>
      </c>
      <c r="K688" s="10">
        <v>316</v>
      </c>
      <c r="L688" s="10">
        <v>4</v>
      </c>
      <c r="M688" s="10" t="s">
        <v>27</v>
      </c>
      <c r="N688" s="10">
        <v>77.8</v>
      </c>
      <c r="O688" s="10">
        <v>300</v>
      </c>
      <c r="P688" s="10">
        <v>1</v>
      </c>
      <c r="Q688" s="10" t="str">
        <f>+IF(Tabla2[[#This Row],[Demand_Forecast]]&lt;= 125,"Low demand",IF(Tabla2[[#This Row],[Demand_Forecast]] &gt;=285,"High demand","Mid demand"))</f>
        <v>High demand</v>
      </c>
    </row>
    <row r="689" spans="1:17" x14ac:dyDescent="0.25">
      <c r="A689" s="11">
        <v>45618.9296412037</v>
      </c>
      <c r="B689" s="10" t="s">
        <v>22</v>
      </c>
      <c r="C689" s="10" t="s">
        <v>1410</v>
      </c>
      <c r="D689" s="10" t="s">
        <v>1411</v>
      </c>
      <c r="E689" s="10">
        <v>362</v>
      </c>
      <c r="F689" s="10" t="s">
        <v>19</v>
      </c>
      <c r="G689" s="10">
        <v>21.7</v>
      </c>
      <c r="H689" s="10">
        <v>54.6</v>
      </c>
      <c r="I689" s="10" t="s">
        <v>26</v>
      </c>
      <c r="J689" s="10">
        <v>22</v>
      </c>
      <c r="K689" s="10">
        <v>441</v>
      </c>
      <c r="L689" s="10">
        <v>3</v>
      </c>
      <c r="M689" s="10" t="s">
        <v>21</v>
      </c>
      <c r="N689" s="10">
        <v>74.599999999999994</v>
      </c>
      <c r="O689" s="10">
        <v>194</v>
      </c>
      <c r="P689" s="10">
        <v>1</v>
      </c>
      <c r="Q689" s="10" t="str">
        <f>+IF(Tabla2[[#This Row],[Demand_Forecast]]&lt;= 125,"Low demand",IF(Tabla2[[#This Row],[Demand_Forecast]] &gt;=285,"High demand","Mid demand"))</f>
        <v>Mid demand</v>
      </c>
    </row>
    <row r="690" spans="1:17" x14ac:dyDescent="0.25">
      <c r="A690" s="11">
        <v>45406.00613425926</v>
      </c>
      <c r="B690" s="10" t="s">
        <v>41</v>
      </c>
      <c r="C690" s="10" t="s">
        <v>1412</v>
      </c>
      <c r="D690" s="10" t="s">
        <v>1413</v>
      </c>
      <c r="E690" s="10">
        <v>451</v>
      </c>
      <c r="F690" s="10" t="s">
        <v>34</v>
      </c>
      <c r="G690" s="10">
        <v>27.5</v>
      </c>
      <c r="H690" s="10">
        <v>56.7</v>
      </c>
      <c r="I690" s="10" t="s">
        <v>38</v>
      </c>
      <c r="J690" s="10">
        <v>23</v>
      </c>
      <c r="K690" s="10">
        <v>446</v>
      </c>
      <c r="L690" s="10">
        <v>6</v>
      </c>
      <c r="M690" s="10" t="s">
        <v>35</v>
      </c>
      <c r="N690" s="10">
        <v>62.1</v>
      </c>
      <c r="O690" s="10">
        <v>203</v>
      </c>
      <c r="P690" s="10">
        <v>0</v>
      </c>
      <c r="Q690" s="10" t="str">
        <f>+IF(Tabla2[[#This Row],[Demand_Forecast]]&lt;= 125,"Low demand",IF(Tabla2[[#This Row],[Demand_Forecast]] &gt;=285,"High demand","Mid demand"))</f>
        <v>Mid demand</v>
      </c>
    </row>
    <row r="691" spans="1:17" x14ac:dyDescent="0.25">
      <c r="A691" s="11">
        <v>45448.368784722225</v>
      </c>
      <c r="B691" s="10" t="s">
        <v>31</v>
      </c>
      <c r="C691" s="10" t="s">
        <v>1414</v>
      </c>
      <c r="D691" s="10" t="s">
        <v>1415</v>
      </c>
      <c r="E691" s="10">
        <v>201</v>
      </c>
      <c r="F691" s="10" t="s">
        <v>25</v>
      </c>
      <c r="G691" s="10">
        <v>27.5</v>
      </c>
      <c r="H691" s="10">
        <v>53.1</v>
      </c>
      <c r="I691" s="10" t="s">
        <v>38</v>
      </c>
      <c r="J691" s="10">
        <v>10</v>
      </c>
      <c r="K691" s="10">
        <v>169</v>
      </c>
      <c r="L691" s="10">
        <v>3</v>
      </c>
      <c r="M691" s="10" t="s">
        <v>21</v>
      </c>
      <c r="N691" s="10">
        <v>65.099999999999994</v>
      </c>
      <c r="O691" s="10">
        <v>242</v>
      </c>
      <c r="P691" s="10">
        <v>0</v>
      </c>
      <c r="Q691" s="10" t="str">
        <f>+IF(Tabla2[[#This Row],[Demand_Forecast]]&lt;= 125,"Low demand",IF(Tabla2[[#This Row],[Demand_Forecast]] &gt;=285,"High demand","Mid demand"))</f>
        <v>Mid demand</v>
      </c>
    </row>
    <row r="692" spans="1:17" x14ac:dyDescent="0.25">
      <c r="A692" s="11">
        <v>45352.423796296294</v>
      </c>
      <c r="B692" s="10" t="s">
        <v>61</v>
      </c>
      <c r="C692" s="10" t="s">
        <v>1416</v>
      </c>
      <c r="D692" s="10" t="s">
        <v>1417</v>
      </c>
      <c r="E692" s="10">
        <v>442</v>
      </c>
      <c r="F692" s="10" t="s">
        <v>19</v>
      </c>
      <c r="G692" s="10">
        <v>23.6</v>
      </c>
      <c r="H692" s="10">
        <v>58.1</v>
      </c>
      <c r="I692" s="10" t="s">
        <v>38</v>
      </c>
      <c r="J692" s="10">
        <v>47</v>
      </c>
      <c r="K692" s="10">
        <v>165</v>
      </c>
      <c r="L692" s="10">
        <v>1</v>
      </c>
      <c r="M692" s="10" t="s">
        <v>35</v>
      </c>
      <c r="N692" s="10">
        <v>93.3</v>
      </c>
      <c r="O692" s="10">
        <v>191</v>
      </c>
      <c r="P692" s="10">
        <v>1</v>
      </c>
      <c r="Q692" s="10" t="str">
        <f>+IF(Tabla2[[#This Row],[Demand_Forecast]]&lt;= 125,"Low demand",IF(Tabla2[[#This Row],[Demand_Forecast]] &gt;=285,"High demand","Mid demand"))</f>
        <v>Mid demand</v>
      </c>
    </row>
    <row r="693" spans="1:17" x14ac:dyDescent="0.25">
      <c r="A693" s="11">
        <v>45479.881562499999</v>
      </c>
      <c r="B693" s="10" t="s">
        <v>95</v>
      </c>
      <c r="C693" s="10" t="s">
        <v>1418</v>
      </c>
      <c r="D693" s="10" t="s">
        <v>1419</v>
      </c>
      <c r="E693" s="10">
        <v>274</v>
      </c>
      <c r="F693" s="10" t="s">
        <v>25</v>
      </c>
      <c r="G693" s="10">
        <v>19.3</v>
      </c>
      <c r="H693" s="10">
        <v>70.3</v>
      </c>
      <c r="I693" s="10" t="s">
        <v>20</v>
      </c>
      <c r="J693" s="10">
        <v>26</v>
      </c>
      <c r="K693" s="10">
        <v>404</v>
      </c>
      <c r="L693" s="10">
        <v>7</v>
      </c>
      <c r="M693" s="10" t="s">
        <v>27</v>
      </c>
      <c r="N693" s="10">
        <v>81</v>
      </c>
      <c r="O693" s="10">
        <v>141</v>
      </c>
      <c r="P693" s="10">
        <v>0</v>
      </c>
      <c r="Q693" s="10" t="str">
        <f>+IF(Tabla2[[#This Row],[Demand_Forecast]]&lt;= 125,"Low demand",IF(Tabla2[[#This Row],[Demand_Forecast]] &gt;=285,"High demand","Mid demand"))</f>
        <v>Mid demand</v>
      </c>
    </row>
    <row r="694" spans="1:17" x14ac:dyDescent="0.25">
      <c r="A694" s="11">
        <v>45624.67082175926</v>
      </c>
      <c r="B694" s="10" t="s">
        <v>64</v>
      </c>
      <c r="C694" s="10" t="s">
        <v>1420</v>
      </c>
      <c r="D694" s="10" t="s">
        <v>1421</v>
      </c>
      <c r="E694" s="10">
        <v>180</v>
      </c>
      <c r="F694" s="10" t="s">
        <v>25</v>
      </c>
      <c r="G694" s="10">
        <v>24.9</v>
      </c>
      <c r="H694" s="10">
        <v>68.900000000000006</v>
      </c>
      <c r="I694" s="10" t="s">
        <v>38</v>
      </c>
      <c r="J694" s="10">
        <v>14</v>
      </c>
      <c r="K694" s="10">
        <v>189</v>
      </c>
      <c r="L694" s="10">
        <v>3</v>
      </c>
      <c r="M694" s="10" t="s">
        <v>35</v>
      </c>
      <c r="N694" s="10">
        <v>89.4</v>
      </c>
      <c r="O694" s="10">
        <v>275</v>
      </c>
      <c r="P694" s="10">
        <v>0</v>
      </c>
      <c r="Q694" s="10" t="str">
        <f>+IF(Tabla2[[#This Row],[Demand_Forecast]]&lt;= 125,"Low demand",IF(Tabla2[[#This Row],[Demand_Forecast]] &gt;=285,"High demand","Mid demand"))</f>
        <v>Mid demand</v>
      </c>
    </row>
    <row r="695" spans="1:17" x14ac:dyDescent="0.25">
      <c r="A695" s="11">
        <v>45374.890636574077</v>
      </c>
      <c r="B695" s="10" t="s">
        <v>95</v>
      </c>
      <c r="C695" s="10" t="s">
        <v>1422</v>
      </c>
      <c r="D695" s="10" t="s">
        <v>1423</v>
      </c>
      <c r="E695" s="10">
        <v>213</v>
      </c>
      <c r="F695" s="10" t="s">
        <v>19</v>
      </c>
      <c r="G695" s="10">
        <v>22.8</v>
      </c>
      <c r="H695" s="10">
        <v>65</v>
      </c>
      <c r="I695" s="10" t="s">
        <v>20</v>
      </c>
      <c r="J695" s="10">
        <v>51</v>
      </c>
      <c r="K695" s="10">
        <v>361</v>
      </c>
      <c r="L695" s="10">
        <v>6</v>
      </c>
      <c r="M695" s="10" t="s">
        <v>21</v>
      </c>
      <c r="N695" s="10">
        <v>74.5</v>
      </c>
      <c r="O695" s="10">
        <v>274</v>
      </c>
      <c r="P695" s="10">
        <v>1</v>
      </c>
      <c r="Q695" s="10" t="str">
        <f>+IF(Tabla2[[#This Row],[Demand_Forecast]]&lt;= 125,"Low demand",IF(Tabla2[[#This Row],[Demand_Forecast]] &gt;=285,"High demand","Mid demand"))</f>
        <v>Mid demand</v>
      </c>
    </row>
    <row r="696" spans="1:17" x14ac:dyDescent="0.25">
      <c r="A696" s="11">
        <v>45406.238946759258</v>
      </c>
      <c r="B696" s="10" t="s">
        <v>28</v>
      </c>
      <c r="C696" s="10" t="s">
        <v>1424</v>
      </c>
      <c r="D696" s="10" t="s">
        <v>1425</v>
      </c>
      <c r="E696" s="10">
        <v>353</v>
      </c>
      <c r="F696" s="10" t="s">
        <v>25</v>
      </c>
      <c r="G696" s="10">
        <v>22</v>
      </c>
      <c r="H696" s="10">
        <v>66.8</v>
      </c>
      <c r="I696" s="10" t="s">
        <v>26</v>
      </c>
      <c r="J696" s="10">
        <v>27</v>
      </c>
      <c r="K696" s="10">
        <v>327</v>
      </c>
      <c r="L696" s="10">
        <v>9</v>
      </c>
      <c r="M696" s="10" t="s">
        <v>35</v>
      </c>
      <c r="N696" s="10">
        <v>71.2</v>
      </c>
      <c r="O696" s="10">
        <v>146</v>
      </c>
      <c r="P696" s="10">
        <v>1</v>
      </c>
      <c r="Q696" s="10" t="str">
        <f>+IF(Tabla2[[#This Row],[Demand_Forecast]]&lt;= 125,"Low demand",IF(Tabla2[[#This Row],[Demand_Forecast]] &gt;=285,"High demand","Mid demand"))</f>
        <v>Mid demand</v>
      </c>
    </row>
    <row r="697" spans="1:17" x14ac:dyDescent="0.25">
      <c r="A697" s="11">
        <v>45454.199386574073</v>
      </c>
      <c r="B697" s="10" t="s">
        <v>56</v>
      </c>
      <c r="C697" s="10" t="s">
        <v>1426</v>
      </c>
      <c r="D697" s="10" t="s">
        <v>1427</v>
      </c>
      <c r="E697" s="10">
        <v>495</v>
      </c>
      <c r="F697" s="10" t="s">
        <v>34</v>
      </c>
      <c r="G697" s="10">
        <v>20.6</v>
      </c>
      <c r="H697" s="10">
        <v>71.5</v>
      </c>
      <c r="I697" s="10" t="s">
        <v>26</v>
      </c>
      <c r="J697" s="10">
        <v>32</v>
      </c>
      <c r="K697" s="10">
        <v>166</v>
      </c>
      <c r="L697" s="10">
        <v>2</v>
      </c>
      <c r="M697" s="10" t="s">
        <v>27</v>
      </c>
      <c r="N697" s="10">
        <v>62.5</v>
      </c>
      <c r="O697" s="10">
        <v>282</v>
      </c>
      <c r="P697" s="10">
        <v>1</v>
      </c>
      <c r="Q697" s="10" t="str">
        <f>+IF(Tabla2[[#This Row],[Demand_Forecast]]&lt;= 125,"Low demand",IF(Tabla2[[#This Row],[Demand_Forecast]] &gt;=285,"High demand","Mid demand"))</f>
        <v>Mid demand</v>
      </c>
    </row>
    <row r="698" spans="1:17" x14ac:dyDescent="0.25">
      <c r="A698" s="11">
        <v>45516.037592592591</v>
      </c>
      <c r="B698" s="10" t="s">
        <v>95</v>
      </c>
      <c r="C698" s="10" t="s">
        <v>1428</v>
      </c>
      <c r="D698" s="10" t="s">
        <v>1429</v>
      </c>
      <c r="E698" s="10">
        <v>162</v>
      </c>
      <c r="F698" s="10" t="s">
        <v>19</v>
      </c>
      <c r="G698" s="10">
        <v>21.3</v>
      </c>
      <c r="H698" s="10">
        <v>76.8</v>
      </c>
      <c r="I698" s="10" t="s">
        <v>20</v>
      </c>
      <c r="J698" s="10">
        <v>53</v>
      </c>
      <c r="K698" s="10">
        <v>164</v>
      </c>
      <c r="L698" s="10">
        <v>3</v>
      </c>
      <c r="M698" s="10" t="s">
        <v>21</v>
      </c>
      <c r="N698" s="10">
        <v>61.6</v>
      </c>
      <c r="O698" s="10">
        <v>104</v>
      </c>
      <c r="P698" s="10">
        <v>1</v>
      </c>
      <c r="Q698" s="10" t="str">
        <f>+IF(Tabla2[[#This Row],[Demand_Forecast]]&lt;= 125,"Low demand",IF(Tabla2[[#This Row],[Demand_Forecast]] &gt;=285,"High demand","Mid demand"))</f>
        <v>Low demand</v>
      </c>
    </row>
    <row r="699" spans="1:17" x14ac:dyDescent="0.25">
      <c r="A699" s="11">
        <v>45443.128842592596</v>
      </c>
      <c r="B699" s="10" t="s">
        <v>61</v>
      </c>
      <c r="C699" s="10" t="s">
        <v>1430</v>
      </c>
      <c r="D699" s="10" t="s">
        <v>1431</v>
      </c>
      <c r="E699" s="10">
        <v>252</v>
      </c>
      <c r="F699" s="10" t="s">
        <v>19</v>
      </c>
      <c r="G699" s="10">
        <v>28</v>
      </c>
      <c r="H699" s="10">
        <v>66.5</v>
      </c>
      <c r="I699" s="10" t="s">
        <v>20</v>
      </c>
      <c r="J699" s="10">
        <v>44</v>
      </c>
      <c r="K699" s="10">
        <v>298</v>
      </c>
      <c r="L699" s="10">
        <v>6</v>
      </c>
      <c r="M699" s="10" t="s">
        <v>35</v>
      </c>
      <c r="N699" s="10">
        <v>72.8</v>
      </c>
      <c r="O699" s="10">
        <v>150</v>
      </c>
      <c r="P699" s="10">
        <v>1</v>
      </c>
      <c r="Q699" s="10" t="str">
        <f>+IF(Tabla2[[#This Row],[Demand_Forecast]]&lt;= 125,"Low demand",IF(Tabla2[[#This Row],[Demand_Forecast]] &gt;=285,"High demand","Mid demand"))</f>
        <v>Mid demand</v>
      </c>
    </row>
    <row r="700" spans="1:17" x14ac:dyDescent="0.25">
      <c r="A700" s="11">
        <v>45387.435104166667</v>
      </c>
      <c r="B700" s="10" t="s">
        <v>48</v>
      </c>
      <c r="C700" s="10" t="s">
        <v>1432</v>
      </c>
      <c r="D700" s="10" t="s">
        <v>1433</v>
      </c>
      <c r="E700" s="10">
        <v>361</v>
      </c>
      <c r="F700" s="10" t="s">
        <v>34</v>
      </c>
      <c r="G700" s="10">
        <v>19.5</v>
      </c>
      <c r="H700" s="10">
        <v>78.599999999999994</v>
      </c>
      <c r="I700" s="10" t="s">
        <v>38</v>
      </c>
      <c r="J700" s="10">
        <v>21</v>
      </c>
      <c r="K700" s="10">
        <v>358</v>
      </c>
      <c r="L700" s="10">
        <v>9</v>
      </c>
      <c r="M700" s="10" t="s">
        <v>27</v>
      </c>
      <c r="N700" s="10">
        <v>93</v>
      </c>
      <c r="O700" s="10">
        <v>235</v>
      </c>
      <c r="P700" s="10">
        <v>0</v>
      </c>
      <c r="Q700" s="10" t="str">
        <f>+IF(Tabla2[[#This Row],[Demand_Forecast]]&lt;= 125,"Low demand",IF(Tabla2[[#This Row],[Demand_Forecast]] &gt;=285,"High demand","Mid demand"))</f>
        <v>Mid demand</v>
      </c>
    </row>
    <row r="701" spans="1:17" x14ac:dyDescent="0.25">
      <c r="A701" s="11">
        <v>45638.681296296294</v>
      </c>
      <c r="B701" s="10" t="s">
        <v>22</v>
      </c>
      <c r="C701" s="10" t="s">
        <v>1434</v>
      </c>
      <c r="D701" s="10" t="s">
        <v>1435</v>
      </c>
      <c r="E701" s="10">
        <v>115</v>
      </c>
      <c r="F701" s="10" t="s">
        <v>34</v>
      </c>
      <c r="G701" s="10">
        <v>29.3</v>
      </c>
      <c r="H701" s="10">
        <v>65.099999999999994</v>
      </c>
      <c r="I701" s="10" t="s">
        <v>26</v>
      </c>
      <c r="J701" s="10">
        <v>32</v>
      </c>
      <c r="K701" s="10">
        <v>445</v>
      </c>
      <c r="L701" s="10">
        <v>1</v>
      </c>
      <c r="M701" s="10" t="s">
        <v>27</v>
      </c>
      <c r="N701" s="10">
        <v>79.400000000000006</v>
      </c>
      <c r="O701" s="10">
        <v>123</v>
      </c>
      <c r="P701" s="10">
        <v>1</v>
      </c>
      <c r="Q701" s="10" t="str">
        <f>+IF(Tabla2[[#This Row],[Demand_Forecast]]&lt;= 125,"Low demand",IF(Tabla2[[#This Row],[Demand_Forecast]] &gt;=285,"High demand","Mid demand"))</f>
        <v>Low demand</v>
      </c>
    </row>
    <row r="702" spans="1:17" x14ac:dyDescent="0.25">
      <c r="A702" s="11">
        <v>45333.345902777779</v>
      </c>
      <c r="B702" s="10" t="s">
        <v>61</v>
      </c>
      <c r="C702" s="10" t="s">
        <v>1436</v>
      </c>
      <c r="D702" s="10" t="s">
        <v>1437</v>
      </c>
      <c r="E702" s="10">
        <v>172</v>
      </c>
      <c r="F702" s="10" t="s">
        <v>34</v>
      </c>
      <c r="G702" s="10">
        <v>22.5</v>
      </c>
      <c r="H702" s="10">
        <v>69.7</v>
      </c>
      <c r="I702" s="10" t="s">
        <v>26</v>
      </c>
      <c r="J702" s="10">
        <v>55</v>
      </c>
      <c r="K702" s="10">
        <v>216</v>
      </c>
      <c r="L702" s="10">
        <v>9</v>
      </c>
      <c r="M702" s="10" t="s">
        <v>27</v>
      </c>
      <c r="N702" s="10">
        <v>72.099999999999994</v>
      </c>
      <c r="O702" s="10">
        <v>106</v>
      </c>
      <c r="P702" s="10">
        <v>1</v>
      </c>
      <c r="Q702" s="10" t="str">
        <f>+IF(Tabla2[[#This Row],[Demand_Forecast]]&lt;= 125,"Low demand",IF(Tabla2[[#This Row],[Demand_Forecast]] &gt;=285,"High demand","Mid demand"))</f>
        <v>Low demand</v>
      </c>
    </row>
    <row r="703" spans="1:17" x14ac:dyDescent="0.25">
      <c r="A703" s="11">
        <v>45576.641516203701</v>
      </c>
      <c r="B703" s="10" t="s">
        <v>56</v>
      </c>
      <c r="C703" s="10" t="s">
        <v>1438</v>
      </c>
      <c r="D703" s="10" t="s">
        <v>1439</v>
      </c>
      <c r="E703" s="10">
        <v>403</v>
      </c>
      <c r="F703" s="10" t="s">
        <v>25</v>
      </c>
      <c r="G703" s="10">
        <v>28.2</v>
      </c>
      <c r="H703" s="10">
        <v>76.099999999999994</v>
      </c>
      <c r="I703" s="10" t="s">
        <v>26</v>
      </c>
      <c r="J703" s="10">
        <v>51</v>
      </c>
      <c r="K703" s="10">
        <v>457</v>
      </c>
      <c r="L703" s="10">
        <v>7</v>
      </c>
      <c r="M703" s="10" t="s">
        <v>35</v>
      </c>
      <c r="N703" s="10">
        <v>73.900000000000006</v>
      </c>
      <c r="O703" s="10">
        <v>229</v>
      </c>
      <c r="P703" s="10">
        <v>1</v>
      </c>
      <c r="Q703" s="10" t="str">
        <f>+IF(Tabla2[[#This Row],[Demand_Forecast]]&lt;= 125,"Low demand",IF(Tabla2[[#This Row],[Demand_Forecast]] &gt;=285,"High demand","Mid demand"))</f>
        <v>Mid demand</v>
      </c>
    </row>
    <row r="704" spans="1:17" x14ac:dyDescent="0.25">
      <c r="A704" s="11">
        <v>45470.685648148145</v>
      </c>
      <c r="B704" s="10" t="s">
        <v>48</v>
      </c>
      <c r="C704" s="10" t="s">
        <v>1440</v>
      </c>
      <c r="D704" s="10" t="s">
        <v>1441</v>
      </c>
      <c r="E704" s="10">
        <v>426</v>
      </c>
      <c r="F704" s="10" t="s">
        <v>25</v>
      </c>
      <c r="G704" s="10">
        <v>22</v>
      </c>
      <c r="H704" s="10">
        <v>73.099999999999994</v>
      </c>
      <c r="I704" s="10" t="s">
        <v>38</v>
      </c>
      <c r="J704" s="10">
        <v>29</v>
      </c>
      <c r="K704" s="10">
        <v>392</v>
      </c>
      <c r="L704" s="10">
        <v>5</v>
      </c>
      <c r="M704" s="10" t="s">
        <v>21</v>
      </c>
      <c r="N704" s="10">
        <v>94.6</v>
      </c>
      <c r="O704" s="10">
        <v>236</v>
      </c>
      <c r="P704" s="10">
        <v>0</v>
      </c>
      <c r="Q704" s="10" t="str">
        <f>+IF(Tabla2[[#This Row],[Demand_Forecast]]&lt;= 125,"Low demand",IF(Tabla2[[#This Row],[Demand_Forecast]] &gt;=285,"High demand","Mid demand"))</f>
        <v>Mid demand</v>
      </c>
    </row>
    <row r="705" spans="1:17" x14ac:dyDescent="0.25">
      <c r="A705" s="11">
        <v>45545.824594907404</v>
      </c>
      <c r="B705" s="10" t="s">
        <v>16</v>
      </c>
      <c r="C705" s="10" t="s">
        <v>1442</v>
      </c>
      <c r="D705" s="10" t="s">
        <v>1443</v>
      </c>
      <c r="E705" s="10">
        <v>368</v>
      </c>
      <c r="F705" s="10" t="s">
        <v>19</v>
      </c>
      <c r="G705" s="10">
        <v>26.6</v>
      </c>
      <c r="H705" s="10">
        <v>74.900000000000006</v>
      </c>
      <c r="I705" s="10" t="s">
        <v>20</v>
      </c>
      <c r="J705" s="10">
        <v>28</v>
      </c>
      <c r="K705" s="10">
        <v>341</v>
      </c>
      <c r="L705" s="10">
        <v>6</v>
      </c>
      <c r="M705" s="10" t="s">
        <v>21</v>
      </c>
      <c r="N705" s="10">
        <v>97.1</v>
      </c>
      <c r="O705" s="10">
        <v>217</v>
      </c>
      <c r="P705" s="10">
        <v>1</v>
      </c>
      <c r="Q705" s="10" t="str">
        <f>+IF(Tabla2[[#This Row],[Demand_Forecast]]&lt;= 125,"Low demand",IF(Tabla2[[#This Row],[Demand_Forecast]] &gt;=285,"High demand","Mid demand"))</f>
        <v>Mid demand</v>
      </c>
    </row>
    <row r="706" spans="1:17" x14ac:dyDescent="0.25">
      <c r="A706" s="11">
        <v>45475.546423611115</v>
      </c>
      <c r="B706" s="10" t="s">
        <v>31</v>
      </c>
      <c r="C706" s="10" t="s">
        <v>1444</v>
      </c>
      <c r="D706" s="10" t="s">
        <v>1445</v>
      </c>
      <c r="E706" s="10">
        <v>173</v>
      </c>
      <c r="F706" s="10" t="s">
        <v>19</v>
      </c>
      <c r="G706" s="10">
        <v>24.9</v>
      </c>
      <c r="H706" s="10">
        <v>58.1</v>
      </c>
      <c r="I706" s="10" t="s">
        <v>38</v>
      </c>
      <c r="J706" s="10">
        <v>34</v>
      </c>
      <c r="K706" s="10">
        <v>287</v>
      </c>
      <c r="L706" s="10">
        <v>9</v>
      </c>
      <c r="M706" s="10" t="s">
        <v>51</v>
      </c>
      <c r="N706" s="10">
        <v>96.8</v>
      </c>
      <c r="O706" s="10">
        <v>131</v>
      </c>
      <c r="P706" s="10">
        <v>1</v>
      </c>
      <c r="Q706" s="10" t="str">
        <f>+IF(Tabla2[[#This Row],[Demand_Forecast]]&lt;= 125,"Low demand",IF(Tabla2[[#This Row],[Demand_Forecast]] &gt;=285,"High demand","Mid demand"))</f>
        <v>Mid demand</v>
      </c>
    </row>
    <row r="707" spans="1:17" x14ac:dyDescent="0.25">
      <c r="A707" s="11">
        <v>45535.846493055556</v>
      </c>
      <c r="B707" s="10" t="s">
        <v>31</v>
      </c>
      <c r="C707" s="10" t="s">
        <v>1446</v>
      </c>
      <c r="D707" s="10" t="s">
        <v>1447</v>
      </c>
      <c r="E707" s="10">
        <v>371</v>
      </c>
      <c r="F707" s="10" t="s">
        <v>25</v>
      </c>
      <c r="G707" s="10">
        <v>22.9</v>
      </c>
      <c r="H707" s="10">
        <v>67.2</v>
      </c>
      <c r="I707" s="10" t="s">
        <v>26</v>
      </c>
      <c r="J707" s="10">
        <v>35</v>
      </c>
      <c r="K707" s="10">
        <v>121</v>
      </c>
      <c r="L707" s="10">
        <v>8</v>
      </c>
      <c r="M707" s="10" t="s">
        <v>27</v>
      </c>
      <c r="N707" s="10">
        <v>90.9</v>
      </c>
      <c r="O707" s="10">
        <v>213</v>
      </c>
      <c r="P707" s="10">
        <v>1</v>
      </c>
      <c r="Q707" s="10" t="str">
        <f>+IF(Tabla2[[#This Row],[Demand_Forecast]]&lt;= 125,"Low demand",IF(Tabla2[[#This Row],[Demand_Forecast]] &gt;=285,"High demand","Mid demand"))</f>
        <v>Mid demand</v>
      </c>
    </row>
    <row r="708" spans="1:17" x14ac:dyDescent="0.25">
      <c r="A708" s="11">
        <v>45486.016655092593</v>
      </c>
      <c r="B708" s="10" t="s">
        <v>41</v>
      </c>
      <c r="C708" s="10" t="s">
        <v>1448</v>
      </c>
      <c r="D708" s="10" t="s">
        <v>1449</v>
      </c>
      <c r="E708" s="10">
        <v>199</v>
      </c>
      <c r="F708" s="10" t="s">
        <v>19</v>
      </c>
      <c r="G708" s="10">
        <v>28.5</v>
      </c>
      <c r="H708" s="10">
        <v>68.8</v>
      </c>
      <c r="I708" s="10" t="s">
        <v>26</v>
      </c>
      <c r="J708" s="10">
        <v>18</v>
      </c>
      <c r="K708" s="10">
        <v>201</v>
      </c>
      <c r="L708" s="10">
        <v>2</v>
      </c>
      <c r="M708" s="10" t="s">
        <v>51</v>
      </c>
      <c r="N708" s="10">
        <v>71.2</v>
      </c>
      <c r="O708" s="10">
        <v>181</v>
      </c>
      <c r="P708" s="10">
        <v>1</v>
      </c>
      <c r="Q708" s="10" t="str">
        <f>+IF(Tabla2[[#This Row],[Demand_Forecast]]&lt;= 125,"Low demand",IF(Tabla2[[#This Row],[Demand_Forecast]] &gt;=285,"High demand","Mid demand"))</f>
        <v>Mid demand</v>
      </c>
    </row>
    <row r="709" spans="1:17" x14ac:dyDescent="0.25">
      <c r="A709" s="11">
        <v>45482.425486111111</v>
      </c>
      <c r="B709" s="10" t="s">
        <v>41</v>
      </c>
      <c r="C709" s="10" t="s">
        <v>1450</v>
      </c>
      <c r="D709" s="10" t="s">
        <v>1451</v>
      </c>
      <c r="E709" s="10">
        <v>319</v>
      </c>
      <c r="F709" s="10" t="s">
        <v>25</v>
      </c>
      <c r="G709" s="10">
        <v>22.3</v>
      </c>
      <c r="H709" s="10">
        <v>50.8</v>
      </c>
      <c r="I709" s="10" t="s">
        <v>38</v>
      </c>
      <c r="J709" s="10">
        <v>52</v>
      </c>
      <c r="K709" s="10">
        <v>188</v>
      </c>
      <c r="L709" s="10">
        <v>8</v>
      </c>
      <c r="M709" s="10" t="s">
        <v>35</v>
      </c>
      <c r="N709" s="10">
        <v>66.400000000000006</v>
      </c>
      <c r="O709" s="10">
        <v>153</v>
      </c>
      <c r="P709" s="10">
        <v>0</v>
      </c>
      <c r="Q709" s="10" t="str">
        <f>+IF(Tabla2[[#This Row],[Demand_Forecast]]&lt;= 125,"Low demand",IF(Tabla2[[#This Row],[Demand_Forecast]] &gt;=285,"High demand","Mid demand"))</f>
        <v>Mid demand</v>
      </c>
    </row>
    <row r="710" spans="1:17" x14ac:dyDescent="0.25">
      <c r="A710" s="11">
        <v>45418.998773148145</v>
      </c>
      <c r="B710" s="10" t="s">
        <v>41</v>
      </c>
      <c r="C710" s="10" t="s">
        <v>1452</v>
      </c>
      <c r="D710" s="10" t="s">
        <v>1453</v>
      </c>
      <c r="E710" s="10">
        <v>437</v>
      </c>
      <c r="F710" s="10" t="s">
        <v>25</v>
      </c>
      <c r="G710" s="10">
        <v>29.1</v>
      </c>
      <c r="H710" s="10">
        <v>76.5</v>
      </c>
      <c r="I710" s="10" t="s">
        <v>38</v>
      </c>
      <c r="J710" s="10">
        <v>46</v>
      </c>
      <c r="K710" s="10">
        <v>122</v>
      </c>
      <c r="L710" s="10">
        <v>10</v>
      </c>
      <c r="M710" s="10" t="s">
        <v>21</v>
      </c>
      <c r="N710" s="10">
        <v>73.599999999999994</v>
      </c>
      <c r="O710" s="10">
        <v>111</v>
      </c>
      <c r="P710" s="10">
        <v>0</v>
      </c>
      <c r="Q710" s="10" t="str">
        <f>+IF(Tabla2[[#This Row],[Demand_Forecast]]&lt;= 125,"Low demand",IF(Tabla2[[#This Row],[Demand_Forecast]] &gt;=285,"High demand","Mid demand"))</f>
        <v>Low demand</v>
      </c>
    </row>
    <row r="711" spans="1:17" x14ac:dyDescent="0.25">
      <c r="A711" s="11">
        <v>45298.625439814816</v>
      </c>
      <c r="B711" s="10" t="s">
        <v>31</v>
      </c>
      <c r="C711" s="10" t="s">
        <v>1454</v>
      </c>
      <c r="D711" s="10" t="s">
        <v>1455</v>
      </c>
      <c r="E711" s="10">
        <v>203</v>
      </c>
      <c r="F711" s="10" t="s">
        <v>19</v>
      </c>
      <c r="G711" s="10">
        <v>19.2</v>
      </c>
      <c r="H711" s="10">
        <v>63.6</v>
      </c>
      <c r="I711" s="10" t="s">
        <v>26</v>
      </c>
      <c r="J711" s="10">
        <v>31</v>
      </c>
      <c r="K711" s="10">
        <v>123</v>
      </c>
      <c r="L711" s="10">
        <v>9</v>
      </c>
      <c r="M711" s="10" t="s">
        <v>51</v>
      </c>
      <c r="N711" s="10">
        <v>84.1</v>
      </c>
      <c r="O711" s="10">
        <v>270</v>
      </c>
      <c r="P711" s="10">
        <v>1</v>
      </c>
      <c r="Q711" s="10" t="str">
        <f>+IF(Tabla2[[#This Row],[Demand_Forecast]]&lt;= 125,"Low demand",IF(Tabla2[[#This Row],[Demand_Forecast]] &gt;=285,"High demand","Mid demand"))</f>
        <v>Mid demand</v>
      </c>
    </row>
    <row r="712" spans="1:17" x14ac:dyDescent="0.25">
      <c r="A712" s="11">
        <v>45359.751921296294</v>
      </c>
      <c r="B712" s="10" t="s">
        <v>56</v>
      </c>
      <c r="C712" s="10" t="s">
        <v>1456</v>
      </c>
      <c r="D712" s="10" t="s">
        <v>1457</v>
      </c>
      <c r="E712" s="10">
        <v>466</v>
      </c>
      <c r="F712" s="10" t="s">
        <v>25</v>
      </c>
      <c r="G712" s="10">
        <v>26.3</v>
      </c>
      <c r="H712" s="10">
        <v>70.400000000000006</v>
      </c>
      <c r="I712" s="10" t="s">
        <v>26</v>
      </c>
      <c r="J712" s="10">
        <v>53</v>
      </c>
      <c r="K712" s="10">
        <v>291</v>
      </c>
      <c r="L712" s="10">
        <v>8</v>
      </c>
      <c r="M712" s="10" t="s">
        <v>27</v>
      </c>
      <c r="N712" s="10">
        <v>62.1</v>
      </c>
      <c r="O712" s="10">
        <v>287</v>
      </c>
      <c r="P712" s="10">
        <v>1</v>
      </c>
      <c r="Q712" s="10" t="str">
        <f>+IF(Tabla2[[#This Row],[Demand_Forecast]]&lt;= 125,"Low demand",IF(Tabla2[[#This Row],[Demand_Forecast]] &gt;=285,"High demand","Mid demand"))</f>
        <v>High demand</v>
      </c>
    </row>
    <row r="713" spans="1:17" x14ac:dyDescent="0.25">
      <c r="A713" s="11">
        <v>45355.393275462964</v>
      </c>
      <c r="B713" s="10" t="s">
        <v>56</v>
      </c>
      <c r="C713" s="10" t="s">
        <v>1458</v>
      </c>
      <c r="D713" s="10" t="s">
        <v>1459</v>
      </c>
      <c r="E713" s="10">
        <v>418</v>
      </c>
      <c r="F713" s="10" t="s">
        <v>25</v>
      </c>
      <c r="G713" s="10">
        <v>22.9</v>
      </c>
      <c r="H713" s="10">
        <v>62</v>
      </c>
      <c r="I713" s="10" t="s">
        <v>20</v>
      </c>
      <c r="J713" s="10">
        <v>26</v>
      </c>
      <c r="K713" s="10">
        <v>405</v>
      </c>
      <c r="L713" s="10">
        <v>1</v>
      </c>
      <c r="M713" s="10" t="s">
        <v>21</v>
      </c>
      <c r="N713" s="10">
        <v>62.3</v>
      </c>
      <c r="O713" s="10">
        <v>124</v>
      </c>
      <c r="P713" s="10">
        <v>0</v>
      </c>
      <c r="Q713" s="10" t="str">
        <f>+IF(Tabla2[[#This Row],[Demand_Forecast]]&lt;= 125,"Low demand",IF(Tabla2[[#This Row],[Demand_Forecast]] &gt;=285,"High demand","Mid demand"))</f>
        <v>Low demand</v>
      </c>
    </row>
    <row r="714" spans="1:17" x14ac:dyDescent="0.25">
      <c r="A714" s="11">
        <v>45577.296620370369</v>
      </c>
      <c r="B714" s="10" t="s">
        <v>16</v>
      </c>
      <c r="C714" s="10" t="s">
        <v>1460</v>
      </c>
      <c r="D714" s="10" t="s">
        <v>1461</v>
      </c>
      <c r="E714" s="10">
        <v>124</v>
      </c>
      <c r="F714" s="10" t="s">
        <v>19</v>
      </c>
      <c r="G714" s="10">
        <v>26.7</v>
      </c>
      <c r="H714" s="10">
        <v>50.1</v>
      </c>
      <c r="I714" s="10" t="s">
        <v>38</v>
      </c>
      <c r="J714" s="10">
        <v>10</v>
      </c>
      <c r="K714" s="10">
        <v>460</v>
      </c>
      <c r="L714" s="10">
        <v>5</v>
      </c>
      <c r="M714" s="10" t="s">
        <v>51</v>
      </c>
      <c r="N714" s="10">
        <v>69.400000000000006</v>
      </c>
      <c r="O714" s="10">
        <v>130</v>
      </c>
      <c r="P714" s="10">
        <v>1</v>
      </c>
      <c r="Q714" s="10" t="str">
        <f>+IF(Tabla2[[#This Row],[Demand_Forecast]]&lt;= 125,"Low demand",IF(Tabla2[[#This Row],[Demand_Forecast]] &gt;=285,"High demand","Mid demand"))</f>
        <v>Mid demand</v>
      </c>
    </row>
    <row r="715" spans="1:17" x14ac:dyDescent="0.25">
      <c r="A715" s="11">
        <v>45511.220231481479</v>
      </c>
      <c r="B715" s="10" t="s">
        <v>95</v>
      </c>
      <c r="C715" s="10" t="s">
        <v>1462</v>
      </c>
      <c r="D715" s="10" t="s">
        <v>1463</v>
      </c>
      <c r="E715" s="10">
        <v>322</v>
      </c>
      <c r="F715" s="10" t="s">
        <v>19</v>
      </c>
      <c r="G715" s="10">
        <v>25</v>
      </c>
      <c r="H715" s="10">
        <v>57.7</v>
      </c>
      <c r="I715" s="10" t="s">
        <v>38</v>
      </c>
      <c r="J715" s="10">
        <v>15</v>
      </c>
      <c r="K715" s="10">
        <v>190</v>
      </c>
      <c r="L715" s="10">
        <v>4</v>
      </c>
      <c r="M715" s="10" t="s">
        <v>35</v>
      </c>
      <c r="N715" s="10">
        <v>86.8</v>
      </c>
      <c r="O715" s="10">
        <v>159</v>
      </c>
      <c r="P715" s="10">
        <v>1</v>
      </c>
      <c r="Q715" s="10" t="str">
        <f>+IF(Tabla2[[#This Row],[Demand_Forecast]]&lt;= 125,"Low demand",IF(Tabla2[[#This Row],[Demand_Forecast]] &gt;=285,"High demand","Mid demand"))</f>
        <v>Mid demand</v>
      </c>
    </row>
    <row r="716" spans="1:17" x14ac:dyDescent="0.25">
      <c r="A716" s="11">
        <v>45378.875509259262</v>
      </c>
      <c r="B716" s="10" t="s">
        <v>56</v>
      </c>
      <c r="C716" s="10" t="s">
        <v>1464</v>
      </c>
      <c r="D716" s="10" t="s">
        <v>1465</v>
      </c>
      <c r="E716" s="10">
        <v>351</v>
      </c>
      <c r="F716" s="10" t="s">
        <v>34</v>
      </c>
      <c r="G716" s="10">
        <v>25.1</v>
      </c>
      <c r="H716" s="10">
        <v>74.2</v>
      </c>
      <c r="I716" s="10" t="s">
        <v>26</v>
      </c>
      <c r="J716" s="10">
        <v>54</v>
      </c>
      <c r="K716" s="10">
        <v>223</v>
      </c>
      <c r="L716" s="10">
        <v>9</v>
      </c>
      <c r="M716" s="10" t="s">
        <v>35</v>
      </c>
      <c r="N716" s="10">
        <v>62.2</v>
      </c>
      <c r="O716" s="10">
        <v>267</v>
      </c>
      <c r="P716" s="10">
        <v>1</v>
      </c>
      <c r="Q716" s="10" t="str">
        <f>+IF(Tabla2[[#This Row],[Demand_Forecast]]&lt;= 125,"Low demand",IF(Tabla2[[#This Row],[Demand_Forecast]] &gt;=285,"High demand","Mid demand"))</f>
        <v>Mid demand</v>
      </c>
    </row>
    <row r="717" spans="1:17" x14ac:dyDescent="0.25">
      <c r="A717" s="11">
        <v>45568.31890046296</v>
      </c>
      <c r="B717" s="10" t="s">
        <v>41</v>
      </c>
      <c r="C717" s="10" t="s">
        <v>1466</v>
      </c>
      <c r="D717" s="10" t="s">
        <v>1467</v>
      </c>
      <c r="E717" s="10">
        <v>350</v>
      </c>
      <c r="F717" s="10" t="s">
        <v>25</v>
      </c>
      <c r="G717" s="10">
        <v>27</v>
      </c>
      <c r="H717" s="10">
        <v>66.7</v>
      </c>
      <c r="I717" s="10" t="s">
        <v>20</v>
      </c>
      <c r="J717" s="10">
        <v>56</v>
      </c>
      <c r="K717" s="10">
        <v>207</v>
      </c>
      <c r="L717" s="10">
        <v>2</v>
      </c>
      <c r="M717" s="10" t="s">
        <v>51</v>
      </c>
      <c r="N717" s="10">
        <v>64</v>
      </c>
      <c r="O717" s="10">
        <v>248</v>
      </c>
      <c r="P717" s="10">
        <v>0</v>
      </c>
      <c r="Q717" s="10" t="str">
        <f>+IF(Tabla2[[#This Row],[Demand_Forecast]]&lt;= 125,"Low demand",IF(Tabla2[[#This Row],[Demand_Forecast]] &gt;=285,"High demand","Mid demand"))</f>
        <v>Mid demand</v>
      </c>
    </row>
    <row r="718" spans="1:17" x14ac:dyDescent="0.25">
      <c r="A718" s="11">
        <v>45467.05914351852</v>
      </c>
      <c r="B718" s="10" t="s">
        <v>16</v>
      </c>
      <c r="C718" s="10" t="s">
        <v>1468</v>
      </c>
      <c r="D718" s="10" t="s">
        <v>1469</v>
      </c>
      <c r="E718" s="10">
        <v>179</v>
      </c>
      <c r="F718" s="10" t="s">
        <v>34</v>
      </c>
      <c r="G718" s="10">
        <v>20.6</v>
      </c>
      <c r="H718" s="10">
        <v>53.6</v>
      </c>
      <c r="I718" s="10" t="s">
        <v>26</v>
      </c>
      <c r="J718" s="10">
        <v>36</v>
      </c>
      <c r="K718" s="10">
        <v>480</v>
      </c>
      <c r="L718" s="10">
        <v>7</v>
      </c>
      <c r="M718" s="10" t="s">
        <v>51</v>
      </c>
      <c r="N718" s="10">
        <v>72.099999999999994</v>
      </c>
      <c r="O718" s="10">
        <v>246</v>
      </c>
      <c r="P718" s="10">
        <v>1</v>
      </c>
      <c r="Q718" s="10" t="str">
        <f>+IF(Tabla2[[#This Row],[Demand_Forecast]]&lt;= 125,"Low demand",IF(Tabla2[[#This Row],[Demand_Forecast]] &gt;=285,"High demand","Mid demand"))</f>
        <v>Mid demand</v>
      </c>
    </row>
    <row r="719" spans="1:17" x14ac:dyDescent="0.25">
      <c r="A719" s="11">
        <v>45321.356168981481</v>
      </c>
      <c r="B719" s="10" t="s">
        <v>22</v>
      </c>
      <c r="C719" s="10" t="s">
        <v>1470</v>
      </c>
      <c r="D719" s="10" t="s">
        <v>1471</v>
      </c>
      <c r="E719" s="10">
        <v>338</v>
      </c>
      <c r="F719" s="10" t="s">
        <v>34</v>
      </c>
      <c r="G719" s="10">
        <v>27.3</v>
      </c>
      <c r="H719" s="10">
        <v>70.099999999999994</v>
      </c>
      <c r="I719" s="10" t="s">
        <v>26</v>
      </c>
      <c r="J719" s="10">
        <v>29</v>
      </c>
      <c r="K719" s="10">
        <v>129</v>
      </c>
      <c r="L719" s="10">
        <v>1</v>
      </c>
      <c r="M719" s="10" t="s">
        <v>21</v>
      </c>
      <c r="N719" s="10">
        <v>82.4</v>
      </c>
      <c r="O719" s="10">
        <v>281</v>
      </c>
      <c r="P719" s="10">
        <v>1</v>
      </c>
      <c r="Q719" s="10" t="str">
        <f>+IF(Tabla2[[#This Row],[Demand_Forecast]]&lt;= 125,"Low demand",IF(Tabla2[[#This Row],[Demand_Forecast]] &gt;=285,"High demand","Mid demand"))</f>
        <v>Mid demand</v>
      </c>
    </row>
    <row r="720" spans="1:17" x14ac:dyDescent="0.25">
      <c r="A720" s="11">
        <v>45306.325439814813</v>
      </c>
      <c r="B720" s="10" t="s">
        <v>28</v>
      </c>
      <c r="C720" s="10" t="s">
        <v>1472</v>
      </c>
      <c r="D720" s="10" t="s">
        <v>1473</v>
      </c>
      <c r="E720" s="10">
        <v>334</v>
      </c>
      <c r="F720" s="10" t="s">
        <v>34</v>
      </c>
      <c r="G720" s="10">
        <v>28.9</v>
      </c>
      <c r="H720" s="10">
        <v>62.8</v>
      </c>
      <c r="I720" s="10" t="s">
        <v>38</v>
      </c>
      <c r="J720" s="10">
        <v>15</v>
      </c>
      <c r="K720" s="10">
        <v>106</v>
      </c>
      <c r="L720" s="10">
        <v>5</v>
      </c>
      <c r="M720" s="10" t="s">
        <v>27</v>
      </c>
      <c r="N720" s="10">
        <v>97.2</v>
      </c>
      <c r="O720" s="10">
        <v>127</v>
      </c>
      <c r="P720" s="10">
        <v>0</v>
      </c>
      <c r="Q720" s="10" t="str">
        <f>+IF(Tabla2[[#This Row],[Demand_Forecast]]&lt;= 125,"Low demand",IF(Tabla2[[#This Row],[Demand_Forecast]] &gt;=285,"High demand","Mid demand"))</f>
        <v>Mid demand</v>
      </c>
    </row>
    <row r="721" spans="1:17" x14ac:dyDescent="0.25">
      <c r="A721" s="11">
        <v>45656.344282407408</v>
      </c>
      <c r="B721" s="10" t="s">
        <v>28</v>
      </c>
      <c r="C721" s="10" t="s">
        <v>1474</v>
      </c>
      <c r="D721" s="10" t="s">
        <v>1475</v>
      </c>
      <c r="E721" s="10">
        <v>411</v>
      </c>
      <c r="F721" s="10" t="s">
        <v>25</v>
      </c>
      <c r="G721" s="10">
        <v>19</v>
      </c>
      <c r="H721" s="10">
        <v>55.4</v>
      </c>
      <c r="I721" s="10" t="s">
        <v>38</v>
      </c>
      <c r="J721" s="10">
        <v>14</v>
      </c>
      <c r="K721" s="10">
        <v>409</v>
      </c>
      <c r="L721" s="10">
        <v>7</v>
      </c>
      <c r="M721" s="10" t="s">
        <v>21</v>
      </c>
      <c r="N721" s="10">
        <v>94.5</v>
      </c>
      <c r="O721" s="10">
        <v>192</v>
      </c>
      <c r="P721" s="10">
        <v>0</v>
      </c>
      <c r="Q721" s="10" t="str">
        <f>+IF(Tabla2[[#This Row],[Demand_Forecast]]&lt;= 125,"Low demand",IF(Tabla2[[#This Row],[Demand_Forecast]] &gt;=285,"High demand","Mid demand"))</f>
        <v>Mid demand</v>
      </c>
    </row>
    <row r="722" spans="1:17" x14ac:dyDescent="0.25">
      <c r="A722" s="11">
        <v>45505.904722222222</v>
      </c>
      <c r="B722" s="10" t="s">
        <v>16</v>
      </c>
      <c r="C722" s="10" t="s">
        <v>1476</v>
      </c>
      <c r="D722" s="10" t="s">
        <v>1477</v>
      </c>
      <c r="E722" s="10">
        <v>481</v>
      </c>
      <c r="F722" s="10" t="s">
        <v>19</v>
      </c>
      <c r="G722" s="10">
        <v>22.8</v>
      </c>
      <c r="H722" s="10">
        <v>74.7</v>
      </c>
      <c r="I722" s="10" t="s">
        <v>20</v>
      </c>
      <c r="J722" s="10">
        <v>42</v>
      </c>
      <c r="K722" s="10">
        <v>157</v>
      </c>
      <c r="L722" s="10">
        <v>1</v>
      </c>
      <c r="M722" s="10" t="s">
        <v>27</v>
      </c>
      <c r="N722" s="10">
        <v>65.2</v>
      </c>
      <c r="O722" s="10">
        <v>259</v>
      </c>
      <c r="P722" s="10">
        <v>1</v>
      </c>
      <c r="Q722" s="10" t="str">
        <f>+IF(Tabla2[[#This Row],[Demand_Forecast]]&lt;= 125,"Low demand",IF(Tabla2[[#This Row],[Demand_Forecast]] &gt;=285,"High demand","Mid demand"))</f>
        <v>Mid demand</v>
      </c>
    </row>
    <row r="723" spans="1:17" x14ac:dyDescent="0.25">
      <c r="A723" s="11">
        <v>45429.828819444447</v>
      </c>
      <c r="B723" s="10" t="s">
        <v>48</v>
      </c>
      <c r="C723" s="10" t="s">
        <v>1478</v>
      </c>
      <c r="D723" s="10" t="s">
        <v>1479</v>
      </c>
      <c r="E723" s="10">
        <v>224</v>
      </c>
      <c r="F723" s="10" t="s">
        <v>19</v>
      </c>
      <c r="G723" s="10">
        <v>26.4</v>
      </c>
      <c r="H723" s="10">
        <v>75.400000000000006</v>
      </c>
      <c r="I723" s="10" t="s">
        <v>20</v>
      </c>
      <c r="J723" s="10">
        <v>23</v>
      </c>
      <c r="K723" s="10">
        <v>234</v>
      </c>
      <c r="L723" s="10">
        <v>4</v>
      </c>
      <c r="M723" s="10" t="s">
        <v>51</v>
      </c>
      <c r="N723" s="10">
        <v>86.6</v>
      </c>
      <c r="O723" s="10">
        <v>131</v>
      </c>
      <c r="P723" s="10">
        <v>1</v>
      </c>
      <c r="Q723" s="10" t="str">
        <f>+IF(Tabla2[[#This Row],[Demand_Forecast]]&lt;= 125,"Low demand",IF(Tabla2[[#This Row],[Demand_Forecast]] &gt;=285,"High demand","Mid demand"))</f>
        <v>Mid demand</v>
      </c>
    </row>
    <row r="724" spans="1:17" x14ac:dyDescent="0.25">
      <c r="A724" s="11">
        <v>45326.226805555554</v>
      </c>
      <c r="B724" s="10" t="s">
        <v>56</v>
      </c>
      <c r="C724" s="10" t="s">
        <v>1480</v>
      </c>
      <c r="D724" s="10" t="s">
        <v>1481</v>
      </c>
      <c r="E724" s="10">
        <v>377</v>
      </c>
      <c r="F724" s="10" t="s">
        <v>19</v>
      </c>
      <c r="G724" s="10">
        <v>19.5</v>
      </c>
      <c r="H724" s="10">
        <v>51</v>
      </c>
      <c r="I724" s="10" t="s">
        <v>20</v>
      </c>
      <c r="J724" s="10">
        <v>11</v>
      </c>
      <c r="K724" s="10">
        <v>226</v>
      </c>
      <c r="L724" s="10">
        <v>8</v>
      </c>
      <c r="M724" s="10" t="s">
        <v>27</v>
      </c>
      <c r="N724" s="10">
        <v>64.099999999999994</v>
      </c>
      <c r="O724" s="10">
        <v>266</v>
      </c>
      <c r="P724" s="10">
        <v>1</v>
      </c>
      <c r="Q724" s="10" t="str">
        <f>+IF(Tabla2[[#This Row],[Demand_Forecast]]&lt;= 125,"Low demand",IF(Tabla2[[#This Row],[Demand_Forecast]] &gt;=285,"High demand","Mid demand"))</f>
        <v>Mid demand</v>
      </c>
    </row>
    <row r="725" spans="1:17" x14ac:dyDescent="0.25">
      <c r="A725" s="11">
        <v>45491.550532407404</v>
      </c>
      <c r="B725" s="10" t="s">
        <v>16</v>
      </c>
      <c r="C725" s="10" t="s">
        <v>1482</v>
      </c>
      <c r="D725" s="10" t="s">
        <v>1483</v>
      </c>
      <c r="E725" s="10">
        <v>283</v>
      </c>
      <c r="F725" s="10" t="s">
        <v>19</v>
      </c>
      <c r="G725" s="10">
        <v>19.600000000000001</v>
      </c>
      <c r="H725" s="10">
        <v>75.5</v>
      </c>
      <c r="I725" s="10" t="s">
        <v>26</v>
      </c>
      <c r="J725" s="10">
        <v>49</v>
      </c>
      <c r="K725" s="10">
        <v>496</v>
      </c>
      <c r="L725" s="10">
        <v>6</v>
      </c>
      <c r="M725" s="10" t="s">
        <v>27</v>
      </c>
      <c r="N725" s="10">
        <v>78.900000000000006</v>
      </c>
      <c r="O725" s="10">
        <v>130</v>
      </c>
      <c r="P725" s="10">
        <v>1</v>
      </c>
      <c r="Q725" s="10" t="str">
        <f>+IF(Tabla2[[#This Row],[Demand_Forecast]]&lt;= 125,"Low demand",IF(Tabla2[[#This Row],[Demand_Forecast]] &gt;=285,"High demand","Mid demand"))</f>
        <v>Mid demand</v>
      </c>
    </row>
    <row r="726" spans="1:17" x14ac:dyDescent="0.25">
      <c r="A726" s="11">
        <v>45292.732499999998</v>
      </c>
      <c r="B726" s="10" t="s">
        <v>28</v>
      </c>
      <c r="C726" s="10" t="s">
        <v>1484</v>
      </c>
      <c r="D726" s="10" t="s">
        <v>1485</v>
      </c>
      <c r="E726" s="10">
        <v>174</v>
      </c>
      <c r="F726" s="10" t="s">
        <v>19</v>
      </c>
      <c r="G726" s="10">
        <v>20.2</v>
      </c>
      <c r="H726" s="10">
        <v>74.2</v>
      </c>
      <c r="I726" s="10" t="s">
        <v>20</v>
      </c>
      <c r="J726" s="10">
        <v>49</v>
      </c>
      <c r="K726" s="10">
        <v>403</v>
      </c>
      <c r="L726" s="10">
        <v>5</v>
      </c>
      <c r="M726" s="10" t="s">
        <v>21</v>
      </c>
      <c r="N726" s="10">
        <v>83.5</v>
      </c>
      <c r="O726" s="10">
        <v>227</v>
      </c>
      <c r="P726" s="10">
        <v>1</v>
      </c>
      <c r="Q726" s="10" t="str">
        <f>+IF(Tabla2[[#This Row],[Demand_Forecast]]&lt;= 125,"Low demand",IF(Tabla2[[#This Row],[Demand_Forecast]] &gt;=285,"High demand","Mid demand"))</f>
        <v>Mid demand</v>
      </c>
    </row>
    <row r="727" spans="1:17" x14ac:dyDescent="0.25">
      <c r="A727" s="11">
        <v>45543.603668981479</v>
      </c>
      <c r="B727" s="10" t="s">
        <v>41</v>
      </c>
      <c r="C727" s="10" t="s">
        <v>1486</v>
      </c>
      <c r="D727" s="10" t="s">
        <v>1487</v>
      </c>
      <c r="E727" s="10">
        <v>440</v>
      </c>
      <c r="F727" s="10" t="s">
        <v>34</v>
      </c>
      <c r="G727" s="10">
        <v>20.399999999999999</v>
      </c>
      <c r="H727" s="10">
        <v>62.4</v>
      </c>
      <c r="I727" s="10" t="s">
        <v>38</v>
      </c>
      <c r="J727" s="10">
        <v>35</v>
      </c>
      <c r="K727" s="10">
        <v>199</v>
      </c>
      <c r="L727" s="10">
        <v>10</v>
      </c>
      <c r="M727" s="10" t="s">
        <v>21</v>
      </c>
      <c r="N727" s="10">
        <v>80.3</v>
      </c>
      <c r="O727" s="10">
        <v>269</v>
      </c>
      <c r="P727" s="10">
        <v>0</v>
      </c>
      <c r="Q727" s="10" t="str">
        <f>+IF(Tabla2[[#This Row],[Demand_Forecast]]&lt;= 125,"Low demand",IF(Tabla2[[#This Row],[Demand_Forecast]] &gt;=285,"High demand","Mid demand"))</f>
        <v>Mid demand</v>
      </c>
    </row>
    <row r="728" spans="1:17" x14ac:dyDescent="0.25">
      <c r="A728" s="11">
        <v>45348.142789351848</v>
      </c>
      <c r="B728" s="10" t="s">
        <v>48</v>
      </c>
      <c r="C728" s="10" t="s">
        <v>1488</v>
      </c>
      <c r="D728" s="10" t="s">
        <v>1489</v>
      </c>
      <c r="E728" s="10">
        <v>497</v>
      </c>
      <c r="F728" s="10" t="s">
        <v>19</v>
      </c>
      <c r="G728" s="10">
        <v>21.8</v>
      </c>
      <c r="H728" s="10">
        <v>71.3</v>
      </c>
      <c r="I728" s="10" t="s">
        <v>26</v>
      </c>
      <c r="J728" s="10">
        <v>22</v>
      </c>
      <c r="K728" s="10">
        <v>424</v>
      </c>
      <c r="L728" s="10">
        <v>2</v>
      </c>
      <c r="M728" s="10" t="s">
        <v>27</v>
      </c>
      <c r="N728" s="10">
        <v>79.8</v>
      </c>
      <c r="O728" s="10">
        <v>168</v>
      </c>
      <c r="P728" s="10">
        <v>1</v>
      </c>
      <c r="Q728" s="10" t="str">
        <f>+IF(Tabla2[[#This Row],[Demand_Forecast]]&lt;= 125,"Low demand",IF(Tabla2[[#This Row],[Demand_Forecast]] &gt;=285,"High demand","Mid demand"))</f>
        <v>Mid demand</v>
      </c>
    </row>
    <row r="729" spans="1:17" x14ac:dyDescent="0.25">
      <c r="A729" s="11">
        <v>45398.19263888889</v>
      </c>
      <c r="B729" s="10" t="s">
        <v>16</v>
      </c>
      <c r="C729" s="10" t="s">
        <v>1490</v>
      </c>
      <c r="D729" s="10" t="s">
        <v>1491</v>
      </c>
      <c r="E729" s="10">
        <v>337</v>
      </c>
      <c r="F729" s="10" t="s">
        <v>34</v>
      </c>
      <c r="G729" s="10">
        <v>21.1</v>
      </c>
      <c r="H729" s="10">
        <v>64.400000000000006</v>
      </c>
      <c r="I729" s="10" t="s">
        <v>20</v>
      </c>
      <c r="J729" s="10">
        <v>49</v>
      </c>
      <c r="K729" s="10">
        <v>226</v>
      </c>
      <c r="L729" s="10">
        <v>2</v>
      </c>
      <c r="M729" s="10" t="s">
        <v>35</v>
      </c>
      <c r="N729" s="10">
        <v>89.6</v>
      </c>
      <c r="O729" s="10">
        <v>298</v>
      </c>
      <c r="P729" s="10">
        <v>0</v>
      </c>
      <c r="Q729" s="10" t="str">
        <f>+IF(Tabla2[[#This Row],[Demand_Forecast]]&lt;= 125,"Low demand",IF(Tabla2[[#This Row],[Demand_Forecast]] &gt;=285,"High demand","Mid demand"))</f>
        <v>High demand</v>
      </c>
    </row>
    <row r="730" spans="1:17" x14ac:dyDescent="0.25">
      <c r="A730" s="11">
        <v>45637.736006944448</v>
      </c>
      <c r="B730" s="10" t="s">
        <v>28</v>
      </c>
      <c r="C730" s="10" t="s">
        <v>1492</v>
      </c>
      <c r="D730" s="10" t="s">
        <v>1493</v>
      </c>
      <c r="E730" s="10">
        <v>315</v>
      </c>
      <c r="F730" s="10" t="s">
        <v>34</v>
      </c>
      <c r="G730" s="10">
        <v>21.4</v>
      </c>
      <c r="H730" s="10">
        <v>62.6</v>
      </c>
      <c r="I730" s="10" t="s">
        <v>26</v>
      </c>
      <c r="J730" s="10">
        <v>27</v>
      </c>
      <c r="K730" s="10">
        <v>482</v>
      </c>
      <c r="L730" s="10">
        <v>9</v>
      </c>
      <c r="M730" s="10" t="s">
        <v>35</v>
      </c>
      <c r="N730" s="10">
        <v>77.2</v>
      </c>
      <c r="O730" s="10">
        <v>153</v>
      </c>
      <c r="P730" s="10">
        <v>1</v>
      </c>
      <c r="Q730" s="10" t="str">
        <f>+IF(Tabla2[[#This Row],[Demand_Forecast]]&lt;= 125,"Low demand",IF(Tabla2[[#This Row],[Demand_Forecast]] &gt;=285,"High demand","Mid demand"))</f>
        <v>Mid demand</v>
      </c>
    </row>
    <row r="731" spans="1:17" x14ac:dyDescent="0.25">
      <c r="A731" s="11">
        <v>45551.532094907408</v>
      </c>
      <c r="B731" s="10" t="s">
        <v>16</v>
      </c>
      <c r="C731" s="10" t="s">
        <v>1494</v>
      </c>
      <c r="D731" s="10" t="s">
        <v>1495</v>
      </c>
      <c r="E731" s="10">
        <v>219</v>
      </c>
      <c r="F731" s="10" t="s">
        <v>34</v>
      </c>
      <c r="G731" s="10">
        <v>18.100000000000001</v>
      </c>
      <c r="H731" s="10">
        <v>64.599999999999994</v>
      </c>
      <c r="I731" s="10" t="s">
        <v>38</v>
      </c>
      <c r="J731" s="10">
        <v>24</v>
      </c>
      <c r="K731" s="10">
        <v>179</v>
      </c>
      <c r="L731" s="10">
        <v>8</v>
      </c>
      <c r="M731" s="10" t="s">
        <v>27</v>
      </c>
      <c r="N731" s="10">
        <v>83.3</v>
      </c>
      <c r="O731" s="10">
        <v>202</v>
      </c>
      <c r="P731" s="10">
        <v>0</v>
      </c>
      <c r="Q731" s="10" t="str">
        <f>+IF(Tabla2[[#This Row],[Demand_Forecast]]&lt;= 125,"Low demand",IF(Tabla2[[#This Row],[Demand_Forecast]] &gt;=285,"High demand","Mid demand"))</f>
        <v>Mid demand</v>
      </c>
    </row>
    <row r="732" spans="1:17" x14ac:dyDescent="0.25">
      <c r="A732" s="11">
        <v>45314.786759259259</v>
      </c>
      <c r="B732" s="10" t="s">
        <v>56</v>
      </c>
      <c r="C732" s="10" t="s">
        <v>1496</v>
      </c>
      <c r="D732" s="10" t="s">
        <v>1497</v>
      </c>
      <c r="E732" s="10">
        <v>247</v>
      </c>
      <c r="F732" s="10" t="s">
        <v>19</v>
      </c>
      <c r="G732" s="10">
        <v>28.3</v>
      </c>
      <c r="H732" s="10">
        <v>76.2</v>
      </c>
      <c r="I732" s="10" t="s">
        <v>38</v>
      </c>
      <c r="J732" s="10">
        <v>53</v>
      </c>
      <c r="K732" s="10">
        <v>190</v>
      </c>
      <c r="L732" s="10">
        <v>10</v>
      </c>
      <c r="M732" s="10" t="s">
        <v>51</v>
      </c>
      <c r="N732" s="10">
        <v>93.6</v>
      </c>
      <c r="O732" s="10">
        <v>111</v>
      </c>
      <c r="P732" s="10">
        <v>1</v>
      </c>
      <c r="Q732" s="10" t="str">
        <f>+IF(Tabla2[[#This Row],[Demand_Forecast]]&lt;= 125,"Low demand",IF(Tabla2[[#This Row],[Demand_Forecast]] &gt;=285,"High demand","Mid demand"))</f>
        <v>Low demand</v>
      </c>
    </row>
    <row r="733" spans="1:17" x14ac:dyDescent="0.25">
      <c r="A733" s="11">
        <v>45379.306585648148</v>
      </c>
      <c r="B733" s="10" t="s">
        <v>31</v>
      </c>
      <c r="C733" s="10" t="s">
        <v>1498</v>
      </c>
      <c r="D733" s="10" t="s">
        <v>1499</v>
      </c>
      <c r="E733" s="10">
        <v>148</v>
      </c>
      <c r="F733" s="10" t="s">
        <v>19</v>
      </c>
      <c r="G733" s="10">
        <v>19</v>
      </c>
      <c r="H733" s="10">
        <v>50.3</v>
      </c>
      <c r="I733" s="10" t="s">
        <v>20</v>
      </c>
      <c r="J733" s="10">
        <v>50</v>
      </c>
      <c r="K733" s="10">
        <v>481</v>
      </c>
      <c r="L733" s="10">
        <v>2</v>
      </c>
      <c r="M733" s="10" t="s">
        <v>51</v>
      </c>
      <c r="N733" s="10">
        <v>87.3</v>
      </c>
      <c r="O733" s="10">
        <v>243</v>
      </c>
      <c r="P733" s="10">
        <v>1</v>
      </c>
      <c r="Q733" s="10" t="str">
        <f>+IF(Tabla2[[#This Row],[Demand_Forecast]]&lt;= 125,"Low demand",IF(Tabla2[[#This Row],[Demand_Forecast]] &gt;=285,"High demand","Mid demand"))</f>
        <v>Mid demand</v>
      </c>
    </row>
    <row r="734" spans="1:17" x14ac:dyDescent="0.25">
      <c r="A734" s="11">
        <v>45410.150150462963</v>
      </c>
      <c r="B734" s="10" t="s">
        <v>22</v>
      </c>
      <c r="C734" s="10" t="s">
        <v>1500</v>
      </c>
      <c r="D734" s="10" t="s">
        <v>1501</v>
      </c>
      <c r="E734" s="10">
        <v>205</v>
      </c>
      <c r="F734" s="10" t="s">
        <v>25</v>
      </c>
      <c r="G734" s="10">
        <v>23.4</v>
      </c>
      <c r="H734" s="10">
        <v>61.4</v>
      </c>
      <c r="I734" s="10" t="s">
        <v>38</v>
      </c>
      <c r="J734" s="10">
        <v>31</v>
      </c>
      <c r="K734" s="10">
        <v>279</v>
      </c>
      <c r="L734" s="10">
        <v>2</v>
      </c>
      <c r="M734" s="10" t="s">
        <v>35</v>
      </c>
      <c r="N734" s="10">
        <v>79.099999999999994</v>
      </c>
      <c r="O734" s="10">
        <v>118</v>
      </c>
      <c r="P734" s="10">
        <v>0</v>
      </c>
      <c r="Q734" s="10" t="str">
        <f>+IF(Tabla2[[#This Row],[Demand_Forecast]]&lt;= 125,"Low demand",IF(Tabla2[[#This Row],[Demand_Forecast]] &gt;=285,"High demand","Mid demand"))</f>
        <v>Low demand</v>
      </c>
    </row>
    <row r="735" spans="1:17" x14ac:dyDescent="0.25">
      <c r="A735" s="11">
        <v>45394.823217592595</v>
      </c>
      <c r="B735" s="10" t="s">
        <v>48</v>
      </c>
      <c r="C735" s="10" t="s">
        <v>1502</v>
      </c>
      <c r="D735" s="10" t="s">
        <v>1503</v>
      </c>
      <c r="E735" s="10">
        <v>243</v>
      </c>
      <c r="F735" s="10" t="s">
        <v>25</v>
      </c>
      <c r="G735" s="10">
        <v>28.9</v>
      </c>
      <c r="H735" s="10">
        <v>57.8</v>
      </c>
      <c r="I735" s="10" t="s">
        <v>38</v>
      </c>
      <c r="J735" s="10">
        <v>33</v>
      </c>
      <c r="K735" s="10">
        <v>277</v>
      </c>
      <c r="L735" s="10">
        <v>10</v>
      </c>
      <c r="M735" s="10" t="s">
        <v>35</v>
      </c>
      <c r="N735" s="10">
        <v>84.4</v>
      </c>
      <c r="O735" s="10">
        <v>151</v>
      </c>
      <c r="P735" s="10">
        <v>0</v>
      </c>
      <c r="Q735" s="10" t="str">
        <f>+IF(Tabla2[[#This Row],[Demand_Forecast]]&lt;= 125,"Low demand",IF(Tabla2[[#This Row],[Demand_Forecast]] &gt;=285,"High demand","Mid demand"))</f>
        <v>Mid demand</v>
      </c>
    </row>
    <row r="736" spans="1:17" x14ac:dyDescent="0.25">
      <c r="A736" s="11">
        <v>45656.105219907404</v>
      </c>
      <c r="B736" s="10" t="s">
        <v>56</v>
      </c>
      <c r="C736" s="10" t="s">
        <v>1504</v>
      </c>
      <c r="D736" s="10" t="s">
        <v>1505</v>
      </c>
      <c r="E736" s="10">
        <v>226</v>
      </c>
      <c r="F736" s="10" t="s">
        <v>19</v>
      </c>
      <c r="G736" s="10">
        <v>21</v>
      </c>
      <c r="H736" s="10">
        <v>69.400000000000006</v>
      </c>
      <c r="I736" s="10" t="s">
        <v>20</v>
      </c>
      <c r="J736" s="10">
        <v>27</v>
      </c>
      <c r="K736" s="10">
        <v>406</v>
      </c>
      <c r="L736" s="10">
        <v>5</v>
      </c>
      <c r="M736" s="10" t="s">
        <v>21</v>
      </c>
      <c r="N736" s="10">
        <v>99.9</v>
      </c>
      <c r="O736" s="10">
        <v>285</v>
      </c>
      <c r="P736" s="10">
        <v>1</v>
      </c>
      <c r="Q736" s="10" t="str">
        <f>+IF(Tabla2[[#This Row],[Demand_Forecast]]&lt;= 125,"Low demand",IF(Tabla2[[#This Row],[Demand_Forecast]] &gt;=285,"High demand","Mid demand"))</f>
        <v>High demand</v>
      </c>
    </row>
    <row r="737" spans="1:17" x14ac:dyDescent="0.25">
      <c r="A737" s="11">
        <v>45504.716192129628</v>
      </c>
      <c r="B737" s="10" t="s">
        <v>48</v>
      </c>
      <c r="C737" s="10" t="s">
        <v>1506</v>
      </c>
      <c r="D737" s="10" t="s">
        <v>1507</v>
      </c>
      <c r="E737" s="10">
        <v>350</v>
      </c>
      <c r="F737" s="10" t="s">
        <v>34</v>
      </c>
      <c r="G737" s="10">
        <v>23.7</v>
      </c>
      <c r="H737" s="10">
        <v>59.8</v>
      </c>
      <c r="I737" s="10" t="s">
        <v>20</v>
      </c>
      <c r="J737" s="10">
        <v>42</v>
      </c>
      <c r="K737" s="10">
        <v>188</v>
      </c>
      <c r="L737" s="10">
        <v>10</v>
      </c>
      <c r="M737" s="10" t="s">
        <v>21</v>
      </c>
      <c r="N737" s="10">
        <v>98.6</v>
      </c>
      <c r="O737" s="10">
        <v>248</v>
      </c>
      <c r="P737" s="10">
        <v>0</v>
      </c>
      <c r="Q737" s="10" t="str">
        <f>+IF(Tabla2[[#This Row],[Demand_Forecast]]&lt;= 125,"Low demand",IF(Tabla2[[#This Row],[Demand_Forecast]] &gt;=285,"High demand","Mid demand"))</f>
        <v>Mid demand</v>
      </c>
    </row>
    <row r="738" spans="1:17" x14ac:dyDescent="0.25">
      <c r="A738" s="11">
        <v>45295.832118055558</v>
      </c>
      <c r="B738" s="10" t="s">
        <v>41</v>
      </c>
      <c r="C738" s="10" t="s">
        <v>1508</v>
      </c>
      <c r="D738" s="10" t="s">
        <v>1509</v>
      </c>
      <c r="E738" s="10">
        <v>272</v>
      </c>
      <c r="F738" s="10" t="s">
        <v>19</v>
      </c>
      <c r="G738" s="10">
        <v>23.4</v>
      </c>
      <c r="H738" s="10">
        <v>57.2</v>
      </c>
      <c r="I738" s="10" t="s">
        <v>38</v>
      </c>
      <c r="J738" s="10">
        <v>51</v>
      </c>
      <c r="K738" s="10">
        <v>419</v>
      </c>
      <c r="L738" s="10">
        <v>6</v>
      </c>
      <c r="M738" s="10" t="s">
        <v>51</v>
      </c>
      <c r="N738" s="10">
        <v>63.1</v>
      </c>
      <c r="O738" s="10">
        <v>159</v>
      </c>
      <c r="P738" s="10">
        <v>1</v>
      </c>
      <c r="Q738" s="10" t="str">
        <f>+IF(Tabla2[[#This Row],[Demand_Forecast]]&lt;= 125,"Low demand",IF(Tabla2[[#This Row],[Demand_Forecast]] &gt;=285,"High demand","Mid demand"))</f>
        <v>Mid demand</v>
      </c>
    </row>
    <row r="739" spans="1:17" x14ac:dyDescent="0.25">
      <c r="A739" s="11">
        <v>45327.033541666664</v>
      </c>
      <c r="B739" s="10" t="s">
        <v>48</v>
      </c>
      <c r="C739" s="10" t="s">
        <v>1510</v>
      </c>
      <c r="D739" s="10" t="s">
        <v>1511</v>
      </c>
      <c r="E739" s="10">
        <v>378</v>
      </c>
      <c r="F739" s="10" t="s">
        <v>25</v>
      </c>
      <c r="G739" s="10">
        <v>21</v>
      </c>
      <c r="H739" s="10">
        <v>60.8</v>
      </c>
      <c r="I739" s="10" t="s">
        <v>26</v>
      </c>
      <c r="J739" s="10">
        <v>30</v>
      </c>
      <c r="K739" s="10">
        <v>318</v>
      </c>
      <c r="L739" s="10">
        <v>3</v>
      </c>
      <c r="M739" s="10" t="s">
        <v>27</v>
      </c>
      <c r="N739" s="10">
        <v>84.8</v>
      </c>
      <c r="O739" s="10">
        <v>181</v>
      </c>
      <c r="P739" s="10">
        <v>1</v>
      </c>
      <c r="Q739" s="10" t="str">
        <f>+IF(Tabla2[[#This Row],[Demand_Forecast]]&lt;= 125,"Low demand",IF(Tabla2[[#This Row],[Demand_Forecast]] &gt;=285,"High demand","Mid demand"))</f>
        <v>Mid demand</v>
      </c>
    </row>
    <row r="740" spans="1:17" x14ac:dyDescent="0.25">
      <c r="A740" s="11">
        <v>45562.723703703705</v>
      </c>
      <c r="B740" s="10" t="s">
        <v>28</v>
      </c>
      <c r="C740" s="10" t="s">
        <v>1512</v>
      </c>
      <c r="D740" s="10" t="s">
        <v>1513</v>
      </c>
      <c r="E740" s="10">
        <v>127</v>
      </c>
      <c r="F740" s="10" t="s">
        <v>19</v>
      </c>
      <c r="G740" s="10">
        <v>23.7</v>
      </c>
      <c r="H740" s="10">
        <v>51.2</v>
      </c>
      <c r="I740" s="10" t="s">
        <v>26</v>
      </c>
      <c r="J740" s="10">
        <v>38</v>
      </c>
      <c r="K740" s="10">
        <v>463</v>
      </c>
      <c r="L740" s="10">
        <v>1</v>
      </c>
      <c r="M740" s="10" t="s">
        <v>35</v>
      </c>
      <c r="N740" s="10">
        <v>78.900000000000006</v>
      </c>
      <c r="O740" s="10">
        <v>272</v>
      </c>
      <c r="P740" s="10">
        <v>1</v>
      </c>
      <c r="Q740" s="10" t="str">
        <f>+IF(Tabla2[[#This Row],[Demand_Forecast]]&lt;= 125,"Low demand",IF(Tabla2[[#This Row],[Demand_Forecast]] &gt;=285,"High demand","Mid demand"))</f>
        <v>Mid demand</v>
      </c>
    </row>
    <row r="741" spans="1:17" x14ac:dyDescent="0.25">
      <c r="A741" s="11">
        <v>45572.601435185185</v>
      </c>
      <c r="B741" s="10" t="s">
        <v>41</v>
      </c>
      <c r="C741" s="10" t="s">
        <v>1514</v>
      </c>
      <c r="D741" s="10" t="s">
        <v>1515</v>
      </c>
      <c r="E741" s="10">
        <v>275</v>
      </c>
      <c r="F741" s="10" t="s">
        <v>25</v>
      </c>
      <c r="G741" s="10">
        <v>23</v>
      </c>
      <c r="H741" s="10">
        <v>55.7</v>
      </c>
      <c r="I741" s="10" t="s">
        <v>38</v>
      </c>
      <c r="J741" s="10">
        <v>39</v>
      </c>
      <c r="K741" s="10">
        <v>264</v>
      </c>
      <c r="L741" s="10">
        <v>1</v>
      </c>
      <c r="M741" s="10" t="s">
        <v>51</v>
      </c>
      <c r="N741" s="10">
        <v>64.400000000000006</v>
      </c>
      <c r="O741" s="10">
        <v>281</v>
      </c>
      <c r="P741" s="10">
        <v>0</v>
      </c>
      <c r="Q741" s="10" t="str">
        <f>+IF(Tabla2[[#This Row],[Demand_Forecast]]&lt;= 125,"Low demand",IF(Tabla2[[#This Row],[Demand_Forecast]] &gt;=285,"High demand","Mid demand"))</f>
        <v>Mid demand</v>
      </c>
    </row>
    <row r="742" spans="1:17" x14ac:dyDescent="0.25">
      <c r="A742" s="11">
        <v>45300.97111111111</v>
      </c>
      <c r="B742" s="10" t="s">
        <v>16</v>
      </c>
      <c r="C742" s="10" t="s">
        <v>1516</v>
      </c>
      <c r="D742" s="10" t="s">
        <v>1517</v>
      </c>
      <c r="E742" s="10">
        <v>483</v>
      </c>
      <c r="F742" s="10" t="s">
        <v>19</v>
      </c>
      <c r="G742" s="10">
        <v>28.6</v>
      </c>
      <c r="H742" s="10">
        <v>72.400000000000006</v>
      </c>
      <c r="I742" s="10" t="s">
        <v>38</v>
      </c>
      <c r="J742" s="10">
        <v>51</v>
      </c>
      <c r="K742" s="10">
        <v>243</v>
      </c>
      <c r="L742" s="10">
        <v>1</v>
      </c>
      <c r="M742" s="10" t="s">
        <v>35</v>
      </c>
      <c r="N742" s="10">
        <v>73.7</v>
      </c>
      <c r="O742" s="10">
        <v>167</v>
      </c>
      <c r="P742" s="10">
        <v>1</v>
      </c>
      <c r="Q742" s="10" t="str">
        <f>+IF(Tabla2[[#This Row],[Demand_Forecast]]&lt;= 125,"Low demand",IF(Tabla2[[#This Row],[Demand_Forecast]] &gt;=285,"High demand","Mid demand"))</f>
        <v>Mid demand</v>
      </c>
    </row>
    <row r="743" spans="1:17" x14ac:dyDescent="0.25">
      <c r="A743" s="11">
        <v>45292.770335648151</v>
      </c>
      <c r="B743" s="10" t="s">
        <v>61</v>
      </c>
      <c r="C743" s="10" t="s">
        <v>1518</v>
      </c>
      <c r="D743" s="10" t="s">
        <v>1519</v>
      </c>
      <c r="E743" s="10">
        <v>179</v>
      </c>
      <c r="F743" s="10" t="s">
        <v>19</v>
      </c>
      <c r="G743" s="10">
        <v>25.5</v>
      </c>
      <c r="H743" s="10">
        <v>70.900000000000006</v>
      </c>
      <c r="I743" s="10" t="s">
        <v>20</v>
      </c>
      <c r="J743" s="10">
        <v>12</v>
      </c>
      <c r="K743" s="10">
        <v>427</v>
      </c>
      <c r="L743" s="10">
        <v>9</v>
      </c>
      <c r="M743" s="10" t="s">
        <v>21</v>
      </c>
      <c r="N743" s="10">
        <v>60.3</v>
      </c>
      <c r="O743" s="10">
        <v>157</v>
      </c>
      <c r="P743" s="10">
        <v>1</v>
      </c>
      <c r="Q743" s="10" t="str">
        <f>+IF(Tabla2[[#This Row],[Demand_Forecast]]&lt;= 125,"Low demand",IF(Tabla2[[#This Row],[Demand_Forecast]] &gt;=285,"High demand","Mid demand"))</f>
        <v>Mid demand</v>
      </c>
    </row>
    <row r="744" spans="1:17" x14ac:dyDescent="0.25">
      <c r="A744" s="11">
        <v>45644.350648148145</v>
      </c>
      <c r="B744" s="10" t="s">
        <v>61</v>
      </c>
      <c r="C744" s="10" t="s">
        <v>1520</v>
      </c>
      <c r="D744" s="10" t="s">
        <v>1521</v>
      </c>
      <c r="E744" s="10">
        <v>325</v>
      </c>
      <c r="F744" s="10" t="s">
        <v>34</v>
      </c>
      <c r="G744" s="10">
        <v>26.4</v>
      </c>
      <c r="H744" s="10">
        <v>53.7</v>
      </c>
      <c r="I744" s="10" t="s">
        <v>20</v>
      </c>
      <c r="J744" s="10">
        <v>49</v>
      </c>
      <c r="K744" s="10">
        <v>495</v>
      </c>
      <c r="L744" s="10">
        <v>3</v>
      </c>
      <c r="M744" s="10" t="s">
        <v>27</v>
      </c>
      <c r="N744" s="10">
        <v>79.5</v>
      </c>
      <c r="O744" s="10">
        <v>145</v>
      </c>
      <c r="P744" s="10">
        <v>0</v>
      </c>
      <c r="Q744" s="10" t="str">
        <f>+IF(Tabla2[[#This Row],[Demand_Forecast]]&lt;= 125,"Low demand",IF(Tabla2[[#This Row],[Demand_Forecast]] &gt;=285,"High demand","Mid demand"))</f>
        <v>Mid demand</v>
      </c>
    </row>
    <row r="745" spans="1:17" x14ac:dyDescent="0.25">
      <c r="A745" s="11">
        <v>45307.407731481479</v>
      </c>
      <c r="B745" s="10" t="s">
        <v>28</v>
      </c>
      <c r="C745" s="10" t="s">
        <v>1522</v>
      </c>
      <c r="D745" s="10" t="s">
        <v>1523</v>
      </c>
      <c r="E745" s="10">
        <v>256</v>
      </c>
      <c r="F745" s="10" t="s">
        <v>34</v>
      </c>
      <c r="G745" s="10">
        <v>22.3</v>
      </c>
      <c r="H745" s="10">
        <v>66.3</v>
      </c>
      <c r="I745" s="10" t="s">
        <v>26</v>
      </c>
      <c r="J745" s="10">
        <v>10</v>
      </c>
      <c r="K745" s="10">
        <v>462</v>
      </c>
      <c r="L745" s="10">
        <v>1</v>
      </c>
      <c r="M745" s="10" t="s">
        <v>27</v>
      </c>
      <c r="N745" s="10">
        <v>95.5</v>
      </c>
      <c r="O745" s="10">
        <v>276</v>
      </c>
      <c r="P745" s="10">
        <v>1</v>
      </c>
      <c r="Q745" s="10" t="str">
        <f>+IF(Tabla2[[#This Row],[Demand_Forecast]]&lt;= 125,"Low demand",IF(Tabla2[[#This Row],[Demand_Forecast]] &gt;=285,"High demand","Mid demand"))</f>
        <v>Mid demand</v>
      </c>
    </row>
    <row r="746" spans="1:17" x14ac:dyDescent="0.25">
      <c r="A746" s="11">
        <v>45547.135000000002</v>
      </c>
      <c r="B746" s="10" t="s">
        <v>41</v>
      </c>
      <c r="C746" s="10" t="s">
        <v>1524</v>
      </c>
      <c r="D746" s="10" t="s">
        <v>1525</v>
      </c>
      <c r="E746" s="10">
        <v>405</v>
      </c>
      <c r="F746" s="10" t="s">
        <v>25</v>
      </c>
      <c r="G746" s="10">
        <v>20.5</v>
      </c>
      <c r="H746" s="10">
        <v>55.6</v>
      </c>
      <c r="I746" s="10" t="s">
        <v>26</v>
      </c>
      <c r="J746" s="10">
        <v>25</v>
      </c>
      <c r="K746" s="10">
        <v>442</v>
      </c>
      <c r="L746" s="10">
        <v>4</v>
      </c>
      <c r="M746" s="10" t="s">
        <v>35</v>
      </c>
      <c r="N746" s="10">
        <v>70.5</v>
      </c>
      <c r="O746" s="10">
        <v>269</v>
      </c>
      <c r="P746" s="10">
        <v>1</v>
      </c>
      <c r="Q746" s="10" t="str">
        <f>+IF(Tabla2[[#This Row],[Demand_Forecast]]&lt;= 125,"Low demand",IF(Tabla2[[#This Row],[Demand_Forecast]] &gt;=285,"High demand","Mid demand"))</f>
        <v>Mid demand</v>
      </c>
    </row>
    <row r="747" spans="1:17" x14ac:dyDescent="0.25">
      <c r="A747" s="11">
        <v>45612.074664351851</v>
      </c>
      <c r="B747" s="10" t="s">
        <v>64</v>
      </c>
      <c r="C747" s="10" t="s">
        <v>1526</v>
      </c>
      <c r="D747" s="10" t="s">
        <v>1527</v>
      </c>
      <c r="E747" s="10">
        <v>428</v>
      </c>
      <c r="F747" s="10" t="s">
        <v>19</v>
      </c>
      <c r="G747" s="10">
        <v>23.5</v>
      </c>
      <c r="H747" s="10">
        <v>67.3</v>
      </c>
      <c r="I747" s="10" t="s">
        <v>26</v>
      </c>
      <c r="J747" s="10">
        <v>33</v>
      </c>
      <c r="K747" s="10">
        <v>152</v>
      </c>
      <c r="L747" s="10">
        <v>8</v>
      </c>
      <c r="M747" s="10" t="s">
        <v>21</v>
      </c>
      <c r="N747" s="10">
        <v>71.3</v>
      </c>
      <c r="O747" s="10">
        <v>300</v>
      </c>
      <c r="P747" s="10">
        <v>1</v>
      </c>
      <c r="Q747" s="10" t="str">
        <f>+IF(Tabla2[[#This Row],[Demand_Forecast]]&lt;= 125,"Low demand",IF(Tabla2[[#This Row],[Demand_Forecast]] &gt;=285,"High demand","Mid demand"))</f>
        <v>High demand</v>
      </c>
    </row>
    <row r="748" spans="1:17" x14ac:dyDescent="0.25">
      <c r="A748" s="11">
        <v>45434.201550925929</v>
      </c>
      <c r="B748" s="10" t="s">
        <v>95</v>
      </c>
      <c r="C748" s="10" t="s">
        <v>1528</v>
      </c>
      <c r="D748" s="10" t="s">
        <v>1529</v>
      </c>
      <c r="E748" s="10">
        <v>247</v>
      </c>
      <c r="F748" s="10" t="s">
        <v>19</v>
      </c>
      <c r="G748" s="10">
        <v>18.3</v>
      </c>
      <c r="H748" s="10">
        <v>56.7</v>
      </c>
      <c r="I748" s="10" t="s">
        <v>26</v>
      </c>
      <c r="J748" s="10">
        <v>60</v>
      </c>
      <c r="K748" s="10">
        <v>194</v>
      </c>
      <c r="L748" s="10">
        <v>6</v>
      </c>
      <c r="M748" s="10" t="s">
        <v>21</v>
      </c>
      <c r="N748" s="10">
        <v>66.8</v>
      </c>
      <c r="O748" s="10">
        <v>192</v>
      </c>
      <c r="P748" s="10">
        <v>1</v>
      </c>
      <c r="Q748" s="10" t="str">
        <f>+IF(Tabla2[[#This Row],[Demand_Forecast]]&lt;= 125,"Low demand",IF(Tabla2[[#This Row],[Demand_Forecast]] &gt;=285,"High demand","Mid demand"))</f>
        <v>Mid demand</v>
      </c>
    </row>
    <row r="749" spans="1:17" x14ac:dyDescent="0.25">
      <c r="A749" s="11">
        <v>45446.845567129632</v>
      </c>
      <c r="B749" s="10" t="s">
        <v>56</v>
      </c>
      <c r="C749" s="10" t="s">
        <v>1530</v>
      </c>
      <c r="D749" s="10" t="s">
        <v>1531</v>
      </c>
      <c r="E749" s="10">
        <v>276</v>
      </c>
      <c r="F749" s="10" t="s">
        <v>34</v>
      </c>
      <c r="G749" s="10">
        <v>19.600000000000001</v>
      </c>
      <c r="H749" s="10">
        <v>53.4</v>
      </c>
      <c r="I749" s="10" t="s">
        <v>26</v>
      </c>
      <c r="J749" s="10">
        <v>38</v>
      </c>
      <c r="K749" s="10">
        <v>408</v>
      </c>
      <c r="L749" s="10">
        <v>2</v>
      </c>
      <c r="M749" s="10" t="s">
        <v>35</v>
      </c>
      <c r="N749" s="10">
        <v>89.2</v>
      </c>
      <c r="O749" s="10">
        <v>118</v>
      </c>
      <c r="P749" s="10">
        <v>1</v>
      </c>
      <c r="Q749" s="10" t="str">
        <f>+IF(Tabla2[[#This Row],[Demand_Forecast]]&lt;= 125,"Low demand",IF(Tabla2[[#This Row],[Demand_Forecast]] &gt;=285,"High demand","Mid demand"))</f>
        <v>Low demand</v>
      </c>
    </row>
    <row r="750" spans="1:17" x14ac:dyDescent="0.25">
      <c r="A750" s="11">
        <v>45368.012974537036</v>
      </c>
      <c r="B750" s="10" t="s">
        <v>56</v>
      </c>
      <c r="C750" s="10" t="s">
        <v>1532</v>
      </c>
      <c r="D750" s="10" t="s">
        <v>1533</v>
      </c>
      <c r="E750" s="10">
        <v>410</v>
      </c>
      <c r="F750" s="10" t="s">
        <v>34</v>
      </c>
      <c r="G750" s="10">
        <v>25</v>
      </c>
      <c r="H750" s="10">
        <v>72.900000000000006</v>
      </c>
      <c r="I750" s="10" t="s">
        <v>38</v>
      </c>
      <c r="J750" s="10">
        <v>21</v>
      </c>
      <c r="K750" s="10">
        <v>306</v>
      </c>
      <c r="L750" s="10">
        <v>2</v>
      </c>
      <c r="M750" s="10" t="s">
        <v>35</v>
      </c>
      <c r="N750" s="10">
        <v>71.2</v>
      </c>
      <c r="O750" s="10">
        <v>132</v>
      </c>
      <c r="P750" s="10">
        <v>0</v>
      </c>
      <c r="Q750" s="10" t="str">
        <f>+IF(Tabla2[[#This Row],[Demand_Forecast]]&lt;= 125,"Low demand",IF(Tabla2[[#This Row],[Demand_Forecast]] &gt;=285,"High demand","Mid demand"))</f>
        <v>Mid demand</v>
      </c>
    </row>
    <row r="751" spans="1:17" x14ac:dyDescent="0.25">
      <c r="A751" s="11">
        <v>45494.405474537038</v>
      </c>
      <c r="B751" s="10" t="s">
        <v>95</v>
      </c>
      <c r="C751" s="10" t="s">
        <v>1534</v>
      </c>
      <c r="D751" s="10" t="s">
        <v>1535</v>
      </c>
      <c r="E751" s="10">
        <v>449</v>
      </c>
      <c r="F751" s="10" t="s">
        <v>34</v>
      </c>
      <c r="G751" s="10">
        <v>28.8</v>
      </c>
      <c r="H751" s="10">
        <v>76.2</v>
      </c>
      <c r="I751" s="10" t="s">
        <v>38</v>
      </c>
      <c r="J751" s="10">
        <v>31</v>
      </c>
      <c r="K751" s="10">
        <v>234</v>
      </c>
      <c r="L751" s="10">
        <v>8</v>
      </c>
      <c r="M751" s="10" t="s">
        <v>35</v>
      </c>
      <c r="N751" s="10">
        <v>91.7</v>
      </c>
      <c r="O751" s="10">
        <v>129</v>
      </c>
      <c r="P751" s="10">
        <v>0</v>
      </c>
      <c r="Q751" s="10" t="str">
        <f>+IF(Tabla2[[#This Row],[Demand_Forecast]]&lt;= 125,"Low demand",IF(Tabla2[[#This Row],[Demand_Forecast]] &gt;=285,"High demand","Mid demand"))</f>
        <v>Mid demand</v>
      </c>
    </row>
    <row r="752" spans="1:17" x14ac:dyDescent="0.25">
      <c r="A752" s="11">
        <v>45387.281157407408</v>
      </c>
      <c r="B752" s="10" t="s">
        <v>22</v>
      </c>
      <c r="C752" s="10" t="s">
        <v>1536</v>
      </c>
      <c r="D752" s="10" t="s">
        <v>1537</v>
      </c>
      <c r="E752" s="10">
        <v>403</v>
      </c>
      <c r="F752" s="10" t="s">
        <v>34</v>
      </c>
      <c r="G752" s="10">
        <v>19.399999999999999</v>
      </c>
      <c r="H752" s="10">
        <v>70.3</v>
      </c>
      <c r="I752" s="10" t="s">
        <v>38</v>
      </c>
      <c r="J752" s="10">
        <v>43</v>
      </c>
      <c r="K752" s="10">
        <v>238</v>
      </c>
      <c r="L752" s="10">
        <v>5</v>
      </c>
      <c r="M752" s="10" t="s">
        <v>51</v>
      </c>
      <c r="N752" s="10">
        <v>79.7</v>
      </c>
      <c r="O752" s="10">
        <v>202</v>
      </c>
      <c r="P752" s="10">
        <v>0</v>
      </c>
      <c r="Q752" s="10" t="str">
        <f>+IF(Tabla2[[#This Row],[Demand_Forecast]]&lt;= 125,"Low demand",IF(Tabla2[[#This Row],[Demand_Forecast]] &gt;=285,"High demand","Mid demand"))</f>
        <v>Mid demand</v>
      </c>
    </row>
    <row r="753" spans="1:17" x14ac:dyDescent="0.25">
      <c r="A753" s="11">
        <v>45307.728414351855</v>
      </c>
      <c r="B753" s="10" t="s">
        <v>16</v>
      </c>
      <c r="C753" s="10" t="s">
        <v>1538</v>
      </c>
      <c r="D753" s="10" t="s">
        <v>1539</v>
      </c>
      <c r="E753" s="10">
        <v>380</v>
      </c>
      <c r="F753" s="10" t="s">
        <v>19</v>
      </c>
      <c r="G753" s="10">
        <v>27.1</v>
      </c>
      <c r="H753" s="10">
        <v>71.5</v>
      </c>
      <c r="I753" s="10" t="s">
        <v>38</v>
      </c>
      <c r="J753" s="10">
        <v>23</v>
      </c>
      <c r="K753" s="10">
        <v>373</v>
      </c>
      <c r="L753" s="10">
        <v>3</v>
      </c>
      <c r="M753" s="10" t="s">
        <v>51</v>
      </c>
      <c r="N753" s="10">
        <v>97.1</v>
      </c>
      <c r="O753" s="10">
        <v>286</v>
      </c>
      <c r="P753" s="10">
        <v>1</v>
      </c>
      <c r="Q753" s="10" t="str">
        <f>+IF(Tabla2[[#This Row],[Demand_Forecast]]&lt;= 125,"Low demand",IF(Tabla2[[#This Row],[Demand_Forecast]] &gt;=285,"High demand","Mid demand"))</f>
        <v>High demand</v>
      </c>
    </row>
    <row r="754" spans="1:17" x14ac:dyDescent="0.25">
      <c r="A754" s="11">
        <v>45644.058263888888</v>
      </c>
      <c r="B754" s="10" t="s">
        <v>64</v>
      </c>
      <c r="C754" s="10" t="s">
        <v>1540</v>
      </c>
      <c r="D754" s="10" t="s">
        <v>1541</v>
      </c>
      <c r="E754" s="10">
        <v>417</v>
      </c>
      <c r="F754" s="10" t="s">
        <v>25</v>
      </c>
      <c r="G754" s="10">
        <v>27</v>
      </c>
      <c r="H754" s="10">
        <v>62.8</v>
      </c>
      <c r="I754" s="10" t="s">
        <v>26</v>
      </c>
      <c r="J754" s="10">
        <v>33</v>
      </c>
      <c r="K754" s="10">
        <v>373</v>
      </c>
      <c r="L754" s="10">
        <v>1</v>
      </c>
      <c r="M754" s="10" t="s">
        <v>27</v>
      </c>
      <c r="N754" s="10">
        <v>74.099999999999994</v>
      </c>
      <c r="O754" s="10">
        <v>122</v>
      </c>
      <c r="P754" s="10">
        <v>1</v>
      </c>
      <c r="Q754" s="10" t="str">
        <f>+IF(Tabla2[[#This Row],[Demand_Forecast]]&lt;= 125,"Low demand",IF(Tabla2[[#This Row],[Demand_Forecast]] &gt;=285,"High demand","Mid demand"))</f>
        <v>Low demand</v>
      </c>
    </row>
    <row r="755" spans="1:17" x14ac:dyDescent="0.25">
      <c r="A755" s="11">
        <v>45644.611215277779</v>
      </c>
      <c r="B755" s="10" t="s">
        <v>95</v>
      </c>
      <c r="C755" s="10" t="s">
        <v>1542</v>
      </c>
      <c r="D755" s="10" t="s">
        <v>1543</v>
      </c>
      <c r="E755" s="10">
        <v>169</v>
      </c>
      <c r="F755" s="10" t="s">
        <v>19</v>
      </c>
      <c r="G755" s="10">
        <v>28.4</v>
      </c>
      <c r="H755" s="10">
        <v>74.400000000000006</v>
      </c>
      <c r="I755" s="10" t="s">
        <v>26</v>
      </c>
      <c r="J755" s="10">
        <v>53</v>
      </c>
      <c r="K755" s="10">
        <v>342</v>
      </c>
      <c r="L755" s="10">
        <v>6</v>
      </c>
      <c r="M755" s="10" t="s">
        <v>35</v>
      </c>
      <c r="N755" s="10">
        <v>98.1</v>
      </c>
      <c r="O755" s="10">
        <v>179</v>
      </c>
      <c r="P755" s="10">
        <v>1</v>
      </c>
      <c r="Q755" s="10" t="str">
        <f>+IF(Tabla2[[#This Row],[Demand_Forecast]]&lt;= 125,"Low demand",IF(Tabla2[[#This Row],[Demand_Forecast]] &gt;=285,"High demand","Mid demand"))</f>
        <v>Mid demand</v>
      </c>
    </row>
    <row r="756" spans="1:17" x14ac:dyDescent="0.25">
      <c r="A756" s="11">
        <v>45355.378217592595</v>
      </c>
      <c r="B756" s="10" t="s">
        <v>16</v>
      </c>
      <c r="C756" s="10" t="s">
        <v>1544</v>
      </c>
      <c r="D756" s="10" t="s">
        <v>1545</v>
      </c>
      <c r="E756" s="10">
        <v>382</v>
      </c>
      <c r="F756" s="10" t="s">
        <v>19</v>
      </c>
      <c r="G756" s="10">
        <v>22.2</v>
      </c>
      <c r="H756" s="10">
        <v>63.2</v>
      </c>
      <c r="I756" s="10" t="s">
        <v>38</v>
      </c>
      <c r="J756" s="10">
        <v>12</v>
      </c>
      <c r="K756" s="10">
        <v>467</v>
      </c>
      <c r="L756" s="10">
        <v>6</v>
      </c>
      <c r="M756" s="10" t="s">
        <v>21</v>
      </c>
      <c r="N756" s="10">
        <v>80.599999999999994</v>
      </c>
      <c r="O756" s="10">
        <v>210</v>
      </c>
      <c r="P756" s="10">
        <v>1</v>
      </c>
      <c r="Q756" s="10" t="str">
        <f>+IF(Tabla2[[#This Row],[Demand_Forecast]]&lt;= 125,"Low demand",IF(Tabla2[[#This Row],[Demand_Forecast]] &gt;=285,"High demand","Mid demand"))</f>
        <v>Mid demand</v>
      </c>
    </row>
    <row r="757" spans="1:17" x14ac:dyDescent="0.25">
      <c r="A757" s="11">
        <v>45604.089143518519</v>
      </c>
      <c r="B757" s="10" t="s">
        <v>22</v>
      </c>
      <c r="C757" s="10" t="s">
        <v>1546</v>
      </c>
      <c r="D757" s="10" t="s">
        <v>1547</v>
      </c>
      <c r="E757" s="10">
        <v>404</v>
      </c>
      <c r="F757" s="10" t="s">
        <v>19</v>
      </c>
      <c r="G757" s="10">
        <v>18.8</v>
      </c>
      <c r="H757" s="10">
        <v>69.3</v>
      </c>
      <c r="I757" s="10" t="s">
        <v>20</v>
      </c>
      <c r="J757" s="10">
        <v>59</v>
      </c>
      <c r="K757" s="10">
        <v>307</v>
      </c>
      <c r="L757" s="10">
        <v>10</v>
      </c>
      <c r="M757" s="10" t="s">
        <v>27</v>
      </c>
      <c r="N757" s="10">
        <v>67.7</v>
      </c>
      <c r="O757" s="10">
        <v>223</v>
      </c>
      <c r="P757" s="10">
        <v>1</v>
      </c>
      <c r="Q757" s="10" t="str">
        <f>+IF(Tabla2[[#This Row],[Demand_Forecast]]&lt;= 125,"Low demand",IF(Tabla2[[#This Row],[Demand_Forecast]] &gt;=285,"High demand","Mid demand"))</f>
        <v>Mid demand</v>
      </c>
    </row>
    <row r="758" spans="1:17" x14ac:dyDescent="0.25">
      <c r="A758" s="11">
        <v>45434.147349537037</v>
      </c>
      <c r="B758" s="10" t="s">
        <v>56</v>
      </c>
      <c r="C758" s="10" t="s">
        <v>1548</v>
      </c>
      <c r="D758" s="10" t="s">
        <v>1549</v>
      </c>
      <c r="E758" s="10">
        <v>399</v>
      </c>
      <c r="F758" s="10" t="s">
        <v>19</v>
      </c>
      <c r="G758" s="10">
        <v>20.100000000000001</v>
      </c>
      <c r="H758" s="10">
        <v>74.2</v>
      </c>
      <c r="I758" s="10" t="s">
        <v>20</v>
      </c>
      <c r="J758" s="10">
        <v>54</v>
      </c>
      <c r="K758" s="10">
        <v>317</v>
      </c>
      <c r="L758" s="10">
        <v>8</v>
      </c>
      <c r="M758" s="10" t="s">
        <v>51</v>
      </c>
      <c r="N758" s="10">
        <v>88.2</v>
      </c>
      <c r="O758" s="10">
        <v>143</v>
      </c>
      <c r="P758" s="10">
        <v>1</v>
      </c>
      <c r="Q758" s="10" t="str">
        <f>+IF(Tabla2[[#This Row],[Demand_Forecast]]&lt;= 125,"Low demand",IF(Tabla2[[#This Row],[Demand_Forecast]] &gt;=285,"High demand","Mid demand"))</f>
        <v>Mid demand</v>
      </c>
    </row>
    <row r="759" spans="1:17" x14ac:dyDescent="0.25">
      <c r="A759" s="11">
        <v>45489.102870370371</v>
      </c>
      <c r="B759" s="10" t="s">
        <v>95</v>
      </c>
      <c r="C759" s="10" t="s">
        <v>1550</v>
      </c>
      <c r="D759" s="10" t="s">
        <v>1551</v>
      </c>
      <c r="E759" s="10">
        <v>271</v>
      </c>
      <c r="F759" s="10" t="s">
        <v>34</v>
      </c>
      <c r="G759" s="10">
        <v>24.6</v>
      </c>
      <c r="H759" s="10">
        <v>73</v>
      </c>
      <c r="I759" s="10" t="s">
        <v>20</v>
      </c>
      <c r="J759" s="10">
        <v>53</v>
      </c>
      <c r="K759" s="10">
        <v>382</v>
      </c>
      <c r="L759" s="10">
        <v>3</v>
      </c>
      <c r="M759" s="10" t="s">
        <v>21</v>
      </c>
      <c r="N759" s="10">
        <v>94.1</v>
      </c>
      <c r="O759" s="10">
        <v>166</v>
      </c>
      <c r="P759" s="10">
        <v>0</v>
      </c>
      <c r="Q759" s="10" t="str">
        <f>+IF(Tabla2[[#This Row],[Demand_Forecast]]&lt;= 125,"Low demand",IF(Tabla2[[#This Row],[Demand_Forecast]] &gt;=285,"High demand","Mid demand"))</f>
        <v>Mid demand</v>
      </c>
    </row>
    <row r="760" spans="1:17" x14ac:dyDescent="0.25">
      <c r="A760" s="11">
        <v>45311.879224537035</v>
      </c>
      <c r="B760" s="10" t="s">
        <v>95</v>
      </c>
      <c r="C760" s="10" t="s">
        <v>1552</v>
      </c>
      <c r="D760" s="10" t="s">
        <v>1553</v>
      </c>
      <c r="E760" s="10">
        <v>332</v>
      </c>
      <c r="F760" s="10" t="s">
        <v>19</v>
      </c>
      <c r="G760" s="10">
        <v>18.8</v>
      </c>
      <c r="H760" s="10">
        <v>74.7</v>
      </c>
      <c r="I760" s="10" t="s">
        <v>26</v>
      </c>
      <c r="J760" s="10">
        <v>16</v>
      </c>
      <c r="K760" s="10">
        <v>279</v>
      </c>
      <c r="L760" s="10">
        <v>2</v>
      </c>
      <c r="M760" s="10" t="s">
        <v>21</v>
      </c>
      <c r="N760" s="10">
        <v>61.8</v>
      </c>
      <c r="O760" s="10">
        <v>289</v>
      </c>
      <c r="P760" s="10">
        <v>1</v>
      </c>
      <c r="Q760" s="10" t="str">
        <f>+IF(Tabla2[[#This Row],[Demand_Forecast]]&lt;= 125,"Low demand",IF(Tabla2[[#This Row],[Demand_Forecast]] &gt;=285,"High demand","Mid demand"))</f>
        <v>High demand</v>
      </c>
    </row>
    <row r="761" spans="1:17" x14ac:dyDescent="0.25">
      <c r="A761" s="11">
        <v>45398.127175925925</v>
      </c>
      <c r="B761" s="10" t="s">
        <v>64</v>
      </c>
      <c r="C761" s="10" t="s">
        <v>1554</v>
      </c>
      <c r="D761" s="10" t="s">
        <v>1555</v>
      </c>
      <c r="E761" s="10">
        <v>445</v>
      </c>
      <c r="F761" s="10" t="s">
        <v>34</v>
      </c>
      <c r="G761" s="10">
        <v>25.7</v>
      </c>
      <c r="H761" s="10">
        <v>50.8</v>
      </c>
      <c r="I761" s="10" t="s">
        <v>26</v>
      </c>
      <c r="J761" s="10">
        <v>28</v>
      </c>
      <c r="K761" s="10">
        <v>414</v>
      </c>
      <c r="L761" s="10">
        <v>2</v>
      </c>
      <c r="M761" s="10" t="s">
        <v>27</v>
      </c>
      <c r="N761" s="10">
        <v>75.5</v>
      </c>
      <c r="O761" s="10">
        <v>140</v>
      </c>
      <c r="P761" s="10">
        <v>1</v>
      </c>
      <c r="Q761" s="10" t="str">
        <f>+IF(Tabla2[[#This Row],[Demand_Forecast]]&lt;= 125,"Low demand",IF(Tabla2[[#This Row],[Demand_Forecast]] &gt;=285,"High demand","Mid demand"))</f>
        <v>Mid demand</v>
      </c>
    </row>
    <row r="762" spans="1:17" x14ac:dyDescent="0.25">
      <c r="A762" s="11">
        <v>45329.203020833331</v>
      </c>
      <c r="B762" s="10" t="s">
        <v>22</v>
      </c>
      <c r="C762" s="10" t="s">
        <v>1556</v>
      </c>
      <c r="D762" s="10" t="s">
        <v>1557</v>
      </c>
      <c r="E762" s="10">
        <v>426</v>
      </c>
      <c r="F762" s="10" t="s">
        <v>25</v>
      </c>
      <c r="G762" s="10">
        <v>23.6</v>
      </c>
      <c r="H762" s="10">
        <v>58</v>
      </c>
      <c r="I762" s="10" t="s">
        <v>26</v>
      </c>
      <c r="J762" s="10">
        <v>47</v>
      </c>
      <c r="K762" s="10">
        <v>263</v>
      </c>
      <c r="L762" s="10">
        <v>1</v>
      </c>
      <c r="M762" s="10" t="s">
        <v>35</v>
      </c>
      <c r="N762" s="10">
        <v>92.9</v>
      </c>
      <c r="O762" s="10">
        <v>136</v>
      </c>
      <c r="P762" s="10">
        <v>1</v>
      </c>
      <c r="Q762" s="10" t="str">
        <f>+IF(Tabla2[[#This Row],[Demand_Forecast]]&lt;= 125,"Low demand",IF(Tabla2[[#This Row],[Demand_Forecast]] &gt;=285,"High demand","Mid demand"))</f>
        <v>Mid demand</v>
      </c>
    </row>
    <row r="763" spans="1:17" x14ac:dyDescent="0.25">
      <c r="A763" s="11">
        <v>45307.173773148148</v>
      </c>
      <c r="B763" s="10" t="s">
        <v>22</v>
      </c>
      <c r="C763" s="10" t="s">
        <v>1558</v>
      </c>
      <c r="D763" s="10" t="s">
        <v>1559</v>
      </c>
      <c r="E763" s="10">
        <v>419</v>
      </c>
      <c r="F763" s="10" t="s">
        <v>25</v>
      </c>
      <c r="G763" s="10">
        <v>27</v>
      </c>
      <c r="H763" s="10">
        <v>56.7</v>
      </c>
      <c r="I763" s="10" t="s">
        <v>20</v>
      </c>
      <c r="J763" s="10">
        <v>25</v>
      </c>
      <c r="K763" s="10">
        <v>378</v>
      </c>
      <c r="L763" s="10">
        <v>2</v>
      </c>
      <c r="M763" s="10" t="s">
        <v>21</v>
      </c>
      <c r="N763" s="10">
        <v>74.3</v>
      </c>
      <c r="O763" s="10">
        <v>212</v>
      </c>
      <c r="P763" s="10">
        <v>0</v>
      </c>
      <c r="Q763" s="10" t="str">
        <f>+IF(Tabla2[[#This Row],[Demand_Forecast]]&lt;= 125,"Low demand",IF(Tabla2[[#This Row],[Demand_Forecast]] &gt;=285,"High demand","Mid demand"))</f>
        <v>Mid demand</v>
      </c>
    </row>
    <row r="764" spans="1:17" x14ac:dyDescent="0.25">
      <c r="A764" s="11">
        <v>45303.097673611112</v>
      </c>
      <c r="B764" s="10" t="s">
        <v>41</v>
      </c>
      <c r="C764" s="10" t="s">
        <v>1560</v>
      </c>
      <c r="D764" s="10" t="s">
        <v>1561</v>
      </c>
      <c r="E764" s="10">
        <v>128</v>
      </c>
      <c r="F764" s="10" t="s">
        <v>19</v>
      </c>
      <c r="G764" s="10">
        <v>29</v>
      </c>
      <c r="H764" s="10">
        <v>71</v>
      </c>
      <c r="I764" s="10" t="s">
        <v>20</v>
      </c>
      <c r="J764" s="10">
        <v>12</v>
      </c>
      <c r="K764" s="10">
        <v>404</v>
      </c>
      <c r="L764" s="10">
        <v>8</v>
      </c>
      <c r="M764" s="10" t="s">
        <v>35</v>
      </c>
      <c r="N764" s="10">
        <v>81.3</v>
      </c>
      <c r="O764" s="10">
        <v>272</v>
      </c>
      <c r="P764" s="10">
        <v>1</v>
      </c>
      <c r="Q764" s="10" t="str">
        <f>+IF(Tabla2[[#This Row],[Demand_Forecast]]&lt;= 125,"Low demand",IF(Tabla2[[#This Row],[Demand_Forecast]] &gt;=285,"High demand","Mid demand"))</f>
        <v>Mid demand</v>
      </c>
    </row>
    <row r="765" spans="1:17" x14ac:dyDescent="0.25">
      <c r="A765" s="11">
        <v>45581.864849537036</v>
      </c>
      <c r="B765" s="10" t="s">
        <v>31</v>
      </c>
      <c r="C765" s="10" t="s">
        <v>1562</v>
      </c>
      <c r="D765" s="10" t="s">
        <v>1563</v>
      </c>
      <c r="E765" s="10">
        <v>200</v>
      </c>
      <c r="F765" s="10" t="s">
        <v>25</v>
      </c>
      <c r="G765" s="10">
        <v>19.2</v>
      </c>
      <c r="H765" s="10">
        <v>67.7</v>
      </c>
      <c r="I765" s="10" t="s">
        <v>26</v>
      </c>
      <c r="J765" s="10">
        <v>11</v>
      </c>
      <c r="K765" s="10">
        <v>349</v>
      </c>
      <c r="L765" s="10">
        <v>6</v>
      </c>
      <c r="M765" s="10" t="s">
        <v>21</v>
      </c>
      <c r="N765" s="10">
        <v>73.599999999999994</v>
      </c>
      <c r="O765" s="10">
        <v>299</v>
      </c>
      <c r="P765" s="10">
        <v>1</v>
      </c>
      <c r="Q765" s="10" t="str">
        <f>+IF(Tabla2[[#This Row],[Demand_Forecast]]&lt;= 125,"Low demand",IF(Tabla2[[#This Row],[Demand_Forecast]] &gt;=285,"High demand","Mid demand"))</f>
        <v>High demand</v>
      </c>
    </row>
    <row r="766" spans="1:17" x14ac:dyDescent="0.25">
      <c r="A766" s="11">
        <v>45505.386296296296</v>
      </c>
      <c r="B766" s="10" t="s">
        <v>56</v>
      </c>
      <c r="C766" s="10" t="s">
        <v>1564</v>
      </c>
      <c r="D766" s="10" t="s">
        <v>1565</v>
      </c>
      <c r="E766" s="10">
        <v>434</v>
      </c>
      <c r="F766" s="10" t="s">
        <v>34</v>
      </c>
      <c r="G766" s="10">
        <v>29.4</v>
      </c>
      <c r="H766" s="10">
        <v>76.3</v>
      </c>
      <c r="I766" s="10" t="s">
        <v>26</v>
      </c>
      <c r="J766" s="10">
        <v>30</v>
      </c>
      <c r="K766" s="10">
        <v>166</v>
      </c>
      <c r="L766" s="10">
        <v>1</v>
      </c>
      <c r="M766" s="10" t="s">
        <v>21</v>
      </c>
      <c r="N766" s="10">
        <v>94.6</v>
      </c>
      <c r="O766" s="10">
        <v>220</v>
      </c>
      <c r="P766" s="10">
        <v>1</v>
      </c>
      <c r="Q766" s="10" t="str">
        <f>+IF(Tabla2[[#This Row],[Demand_Forecast]]&lt;= 125,"Low demand",IF(Tabla2[[#This Row],[Demand_Forecast]] &gt;=285,"High demand","Mid demand"))</f>
        <v>Mid demand</v>
      </c>
    </row>
    <row r="767" spans="1:17" x14ac:dyDescent="0.25">
      <c r="A767" s="11">
        <v>45304.880312499998</v>
      </c>
      <c r="B767" s="10" t="s">
        <v>95</v>
      </c>
      <c r="C767" s="10" t="s">
        <v>1566</v>
      </c>
      <c r="D767" s="10" t="s">
        <v>1567</v>
      </c>
      <c r="E767" s="10">
        <v>339</v>
      </c>
      <c r="F767" s="10" t="s">
        <v>19</v>
      </c>
      <c r="G767" s="10">
        <v>26.4</v>
      </c>
      <c r="H767" s="10">
        <v>73.8</v>
      </c>
      <c r="I767" s="10" t="s">
        <v>38</v>
      </c>
      <c r="J767" s="10">
        <v>58</v>
      </c>
      <c r="K767" s="10">
        <v>488</v>
      </c>
      <c r="L767" s="10">
        <v>3</v>
      </c>
      <c r="M767" s="10" t="s">
        <v>21</v>
      </c>
      <c r="N767" s="10">
        <v>89.3</v>
      </c>
      <c r="O767" s="10">
        <v>299</v>
      </c>
      <c r="P767" s="10">
        <v>1</v>
      </c>
      <c r="Q767" s="10" t="str">
        <f>+IF(Tabla2[[#This Row],[Demand_Forecast]]&lt;= 125,"Low demand",IF(Tabla2[[#This Row],[Demand_Forecast]] &gt;=285,"High demand","Mid demand"))</f>
        <v>High demand</v>
      </c>
    </row>
    <row r="768" spans="1:17" x14ac:dyDescent="0.25">
      <c r="A768" s="11">
        <v>45378.190254629626</v>
      </c>
      <c r="B768" s="10" t="s">
        <v>28</v>
      </c>
      <c r="C768" s="10" t="s">
        <v>1568</v>
      </c>
      <c r="D768" s="10" t="s">
        <v>1569</v>
      </c>
      <c r="E768" s="10">
        <v>224</v>
      </c>
      <c r="F768" s="10" t="s">
        <v>34</v>
      </c>
      <c r="G768" s="10">
        <v>19</v>
      </c>
      <c r="H768" s="10">
        <v>79.900000000000006</v>
      </c>
      <c r="I768" s="10" t="s">
        <v>26</v>
      </c>
      <c r="J768" s="10">
        <v>17</v>
      </c>
      <c r="K768" s="10">
        <v>139</v>
      </c>
      <c r="L768" s="10">
        <v>4</v>
      </c>
      <c r="M768" s="10" t="s">
        <v>27</v>
      </c>
      <c r="N768" s="10">
        <v>96.1</v>
      </c>
      <c r="O768" s="10">
        <v>279</v>
      </c>
      <c r="P768" s="10">
        <v>1</v>
      </c>
      <c r="Q768" s="10" t="str">
        <f>+IF(Tabla2[[#This Row],[Demand_Forecast]]&lt;= 125,"Low demand",IF(Tabla2[[#This Row],[Demand_Forecast]] &gt;=285,"High demand","Mid demand"))</f>
        <v>Mid demand</v>
      </c>
    </row>
    <row r="769" spans="1:17" x14ac:dyDescent="0.25">
      <c r="A769" s="11">
        <v>45366.617199074077</v>
      </c>
      <c r="B769" s="10" t="s">
        <v>28</v>
      </c>
      <c r="C769" s="10" t="s">
        <v>1570</v>
      </c>
      <c r="D769" s="10" t="s">
        <v>1571</v>
      </c>
      <c r="E769" s="10">
        <v>387</v>
      </c>
      <c r="F769" s="10" t="s">
        <v>19</v>
      </c>
      <c r="G769" s="10">
        <v>18.399999999999999</v>
      </c>
      <c r="H769" s="10">
        <v>79.5</v>
      </c>
      <c r="I769" s="10" t="s">
        <v>38</v>
      </c>
      <c r="J769" s="10">
        <v>17</v>
      </c>
      <c r="K769" s="10">
        <v>456</v>
      </c>
      <c r="L769" s="10">
        <v>2</v>
      </c>
      <c r="M769" s="10" t="s">
        <v>27</v>
      </c>
      <c r="N769" s="10">
        <v>65.900000000000006</v>
      </c>
      <c r="O769" s="10">
        <v>155</v>
      </c>
      <c r="P769" s="10">
        <v>1</v>
      </c>
      <c r="Q769" s="10" t="str">
        <f>+IF(Tabla2[[#This Row],[Demand_Forecast]]&lt;= 125,"Low demand",IF(Tabla2[[#This Row],[Demand_Forecast]] &gt;=285,"High demand","Mid demand"))</f>
        <v>Mid demand</v>
      </c>
    </row>
    <row r="770" spans="1:17" x14ac:dyDescent="0.25">
      <c r="A770" s="11">
        <v>45407.421631944446</v>
      </c>
      <c r="B770" s="10" t="s">
        <v>56</v>
      </c>
      <c r="C770" s="10" t="s">
        <v>1572</v>
      </c>
      <c r="D770" s="10" t="s">
        <v>1573</v>
      </c>
      <c r="E770" s="10">
        <v>146</v>
      </c>
      <c r="F770" s="10" t="s">
        <v>19</v>
      </c>
      <c r="G770" s="10">
        <v>26</v>
      </c>
      <c r="H770" s="10">
        <v>57.2</v>
      </c>
      <c r="I770" s="10" t="s">
        <v>38</v>
      </c>
      <c r="J770" s="10">
        <v>47</v>
      </c>
      <c r="K770" s="10">
        <v>188</v>
      </c>
      <c r="L770" s="10">
        <v>4</v>
      </c>
      <c r="M770" s="10" t="s">
        <v>51</v>
      </c>
      <c r="N770" s="10">
        <v>76</v>
      </c>
      <c r="O770" s="10">
        <v>131</v>
      </c>
      <c r="P770" s="10">
        <v>1</v>
      </c>
      <c r="Q770" s="10" t="str">
        <f>+IF(Tabla2[[#This Row],[Demand_Forecast]]&lt;= 125,"Low demand",IF(Tabla2[[#This Row],[Demand_Forecast]] &gt;=285,"High demand","Mid demand"))</f>
        <v>Mid demand</v>
      </c>
    </row>
    <row r="771" spans="1:17" x14ac:dyDescent="0.25">
      <c r="A771" s="11">
        <v>45524.061203703706</v>
      </c>
      <c r="B771" s="10" t="s">
        <v>41</v>
      </c>
      <c r="C771" s="10" t="s">
        <v>1574</v>
      </c>
      <c r="D771" s="10" t="s">
        <v>1575</v>
      </c>
      <c r="E771" s="10">
        <v>177</v>
      </c>
      <c r="F771" s="10" t="s">
        <v>25</v>
      </c>
      <c r="G771" s="10">
        <v>18.600000000000001</v>
      </c>
      <c r="H771" s="10">
        <v>74.5</v>
      </c>
      <c r="I771" s="10" t="s">
        <v>26</v>
      </c>
      <c r="J771" s="10">
        <v>16</v>
      </c>
      <c r="K771" s="10">
        <v>429</v>
      </c>
      <c r="L771" s="10">
        <v>1</v>
      </c>
      <c r="M771" s="10" t="s">
        <v>35</v>
      </c>
      <c r="N771" s="10">
        <v>72.400000000000006</v>
      </c>
      <c r="O771" s="10">
        <v>132</v>
      </c>
      <c r="P771" s="10">
        <v>1</v>
      </c>
      <c r="Q771" s="10" t="str">
        <f>+IF(Tabla2[[#This Row],[Demand_Forecast]]&lt;= 125,"Low demand",IF(Tabla2[[#This Row],[Demand_Forecast]] &gt;=285,"High demand","Mid demand"))</f>
        <v>Mid demand</v>
      </c>
    </row>
    <row r="772" spans="1:17" x14ac:dyDescent="0.25">
      <c r="A772" s="11">
        <v>45475.576608796298</v>
      </c>
      <c r="B772" s="10" t="s">
        <v>95</v>
      </c>
      <c r="C772" s="10" t="s">
        <v>1576</v>
      </c>
      <c r="D772" s="10" t="s">
        <v>1577</v>
      </c>
      <c r="E772" s="10">
        <v>316</v>
      </c>
      <c r="F772" s="10" t="s">
        <v>19</v>
      </c>
      <c r="G772" s="10">
        <v>26.4</v>
      </c>
      <c r="H772" s="10">
        <v>60</v>
      </c>
      <c r="I772" s="10" t="s">
        <v>20</v>
      </c>
      <c r="J772" s="10">
        <v>36</v>
      </c>
      <c r="K772" s="10">
        <v>274</v>
      </c>
      <c r="L772" s="10">
        <v>1</v>
      </c>
      <c r="M772" s="10" t="s">
        <v>27</v>
      </c>
      <c r="N772" s="10">
        <v>68.2</v>
      </c>
      <c r="O772" s="10">
        <v>218</v>
      </c>
      <c r="P772" s="10">
        <v>1</v>
      </c>
      <c r="Q772" s="10" t="str">
        <f>+IF(Tabla2[[#This Row],[Demand_Forecast]]&lt;= 125,"Low demand",IF(Tabla2[[#This Row],[Demand_Forecast]] &gt;=285,"High demand","Mid demand"))</f>
        <v>Mid demand</v>
      </c>
    </row>
    <row r="773" spans="1:17" x14ac:dyDescent="0.25">
      <c r="A773" s="11">
        <v>45479.545636574076</v>
      </c>
      <c r="B773" s="10" t="s">
        <v>31</v>
      </c>
      <c r="C773" s="10" t="s">
        <v>1578</v>
      </c>
      <c r="D773" s="10" t="s">
        <v>1579</v>
      </c>
      <c r="E773" s="10">
        <v>458</v>
      </c>
      <c r="F773" s="10" t="s">
        <v>25</v>
      </c>
      <c r="G773" s="10">
        <v>25</v>
      </c>
      <c r="H773" s="10">
        <v>79.599999999999994</v>
      </c>
      <c r="I773" s="10" t="s">
        <v>26</v>
      </c>
      <c r="J773" s="10">
        <v>56</v>
      </c>
      <c r="K773" s="10">
        <v>303</v>
      </c>
      <c r="L773" s="10">
        <v>1</v>
      </c>
      <c r="M773" s="10" t="s">
        <v>21</v>
      </c>
      <c r="N773" s="10">
        <v>73.8</v>
      </c>
      <c r="O773" s="10">
        <v>206</v>
      </c>
      <c r="P773" s="10">
        <v>1</v>
      </c>
      <c r="Q773" s="10" t="str">
        <f>+IF(Tabla2[[#This Row],[Demand_Forecast]]&lt;= 125,"Low demand",IF(Tabla2[[#This Row],[Demand_Forecast]] &gt;=285,"High demand","Mid demand"))</f>
        <v>Mid demand</v>
      </c>
    </row>
    <row r="774" spans="1:17" x14ac:dyDescent="0.25">
      <c r="A774" s="11">
        <v>45459.4841087963</v>
      </c>
      <c r="B774" s="10" t="s">
        <v>41</v>
      </c>
      <c r="C774" s="10" t="s">
        <v>1580</v>
      </c>
      <c r="D774" s="10" t="s">
        <v>1581</v>
      </c>
      <c r="E774" s="10">
        <v>481</v>
      </c>
      <c r="F774" s="10" t="s">
        <v>34</v>
      </c>
      <c r="G774" s="10">
        <v>24</v>
      </c>
      <c r="H774" s="10">
        <v>72.5</v>
      </c>
      <c r="I774" s="10" t="s">
        <v>20</v>
      </c>
      <c r="J774" s="10">
        <v>34</v>
      </c>
      <c r="K774" s="10">
        <v>152</v>
      </c>
      <c r="L774" s="10">
        <v>4</v>
      </c>
      <c r="M774" s="10" t="s">
        <v>51</v>
      </c>
      <c r="N774" s="10">
        <v>79.8</v>
      </c>
      <c r="O774" s="10">
        <v>299</v>
      </c>
      <c r="P774" s="10">
        <v>0</v>
      </c>
      <c r="Q774" s="10" t="str">
        <f>+IF(Tabla2[[#This Row],[Demand_Forecast]]&lt;= 125,"Low demand",IF(Tabla2[[#This Row],[Demand_Forecast]] &gt;=285,"High demand","Mid demand"))</f>
        <v>High demand</v>
      </c>
    </row>
    <row r="775" spans="1:17" x14ac:dyDescent="0.25">
      <c r="A775" s="11">
        <v>45455.405960648146</v>
      </c>
      <c r="B775" s="10" t="s">
        <v>64</v>
      </c>
      <c r="C775" s="10" t="s">
        <v>1582</v>
      </c>
      <c r="D775" s="10" t="s">
        <v>1583</v>
      </c>
      <c r="E775" s="10">
        <v>231</v>
      </c>
      <c r="F775" s="10" t="s">
        <v>34</v>
      </c>
      <c r="G775" s="10">
        <v>19.399999999999999</v>
      </c>
      <c r="H775" s="10">
        <v>66.599999999999994</v>
      </c>
      <c r="I775" s="10" t="s">
        <v>26</v>
      </c>
      <c r="J775" s="10">
        <v>32</v>
      </c>
      <c r="K775" s="10">
        <v>289</v>
      </c>
      <c r="L775" s="10">
        <v>8</v>
      </c>
      <c r="M775" s="10" t="s">
        <v>51</v>
      </c>
      <c r="N775" s="10">
        <v>77.599999999999994</v>
      </c>
      <c r="O775" s="10">
        <v>240</v>
      </c>
      <c r="P775" s="10">
        <v>1</v>
      </c>
      <c r="Q775" s="10" t="str">
        <f>+IF(Tabla2[[#This Row],[Demand_Forecast]]&lt;= 125,"Low demand",IF(Tabla2[[#This Row],[Demand_Forecast]] &gt;=285,"High demand","Mid demand"))</f>
        <v>Mid demand</v>
      </c>
    </row>
    <row r="776" spans="1:17" x14ac:dyDescent="0.25">
      <c r="A776" s="11">
        <v>45493.835868055554</v>
      </c>
      <c r="B776" s="10" t="s">
        <v>64</v>
      </c>
      <c r="C776" s="10" t="s">
        <v>1584</v>
      </c>
      <c r="D776" s="10" t="s">
        <v>1585</v>
      </c>
      <c r="E776" s="10">
        <v>129</v>
      </c>
      <c r="F776" s="10" t="s">
        <v>34</v>
      </c>
      <c r="G776" s="10">
        <v>19.2</v>
      </c>
      <c r="H776" s="10">
        <v>77.900000000000006</v>
      </c>
      <c r="I776" s="10" t="s">
        <v>20</v>
      </c>
      <c r="J776" s="10">
        <v>11</v>
      </c>
      <c r="K776" s="10">
        <v>448</v>
      </c>
      <c r="L776" s="10">
        <v>4</v>
      </c>
      <c r="M776" s="10" t="s">
        <v>21</v>
      </c>
      <c r="N776" s="10">
        <v>68.900000000000006</v>
      </c>
      <c r="O776" s="10">
        <v>132</v>
      </c>
      <c r="P776" s="10">
        <v>0</v>
      </c>
      <c r="Q776" s="10" t="str">
        <f>+IF(Tabla2[[#This Row],[Demand_Forecast]]&lt;= 125,"Low demand",IF(Tabla2[[#This Row],[Demand_Forecast]] &gt;=285,"High demand","Mid demand"))</f>
        <v>Mid demand</v>
      </c>
    </row>
    <row r="777" spans="1:17" x14ac:dyDescent="0.25">
      <c r="A777" s="11">
        <v>45581.611898148149</v>
      </c>
      <c r="B777" s="10" t="s">
        <v>95</v>
      </c>
      <c r="C777" s="10" t="s">
        <v>1586</v>
      </c>
      <c r="D777" s="10" t="s">
        <v>1587</v>
      </c>
      <c r="E777" s="10">
        <v>398</v>
      </c>
      <c r="F777" s="10" t="s">
        <v>34</v>
      </c>
      <c r="G777" s="10">
        <v>29.1</v>
      </c>
      <c r="H777" s="10">
        <v>75.3</v>
      </c>
      <c r="I777" s="10" t="s">
        <v>20</v>
      </c>
      <c r="J777" s="10">
        <v>58</v>
      </c>
      <c r="K777" s="10">
        <v>172</v>
      </c>
      <c r="L777" s="10">
        <v>1</v>
      </c>
      <c r="M777" s="10" t="s">
        <v>35</v>
      </c>
      <c r="N777" s="10">
        <v>99.3</v>
      </c>
      <c r="O777" s="10">
        <v>194</v>
      </c>
      <c r="P777" s="10">
        <v>0</v>
      </c>
      <c r="Q777" s="10" t="str">
        <f>+IF(Tabla2[[#This Row],[Demand_Forecast]]&lt;= 125,"Low demand",IF(Tabla2[[#This Row],[Demand_Forecast]] &gt;=285,"High demand","Mid demand"))</f>
        <v>Mid demand</v>
      </c>
    </row>
    <row r="778" spans="1:17" x14ac:dyDescent="0.25">
      <c r="A778" s="11">
        <v>45537.137025462966</v>
      </c>
      <c r="B778" s="10" t="s">
        <v>64</v>
      </c>
      <c r="C778" s="10" t="s">
        <v>1588</v>
      </c>
      <c r="D778" s="10" t="s">
        <v>1589</v>
      </c>
      <c r="E778" s="10">
        <v>149</v>
      </c>
      <c r="F778" s="10" t="s">
        <v>19</v>
      </c>
      <c r="G778" s="10">
        <v>19.8</v>
      </c>
      <c r="H778" s="10">
        <v>51.3</v>
      </c>
      <c r="I778" s="10" t="s">
        <v>26</v>
      </c>
      <c r="J778" s="10">
        <v>24</v>
      </c>
      <c r="K778" s="10">
        <v>386</v>
      </c>
      <c r="L778" s="10">
        <v>6</v>
      </c>
      <c r="M778" s="10" t="s">
        <v>51</v>
      </c>
      <c r="N778" s="10">
        <v>87.2</v>
      </c>
      <c r="O778" s="10">
        <v>208</v>
      </c>
      <c r="P778" s="10">
        <v>1</v>
      </c>
      <c r="Q778" s="10" t="str">
        <f>+IF(Tabla2[[#This Row],[Demand_Forecast]]&lt;= 125,"Low demand",IF(Tabla2[[#This Row],[Demand_Forecast]] &gt;=285,"High demand","Mid demand"))</f>
        <v>Mid demand</v>
      </c>
    </row>
    <row r="779" spans="1:17" x14ac:dyDescent="0.25">
      <c r="A779" s="11">
        <v>45493.684918981482</v>
      </c>
      <c r="B779" s="10" t="s">
        <v>64</v>
      </c>
      <c r="C779" s="10" t="s">
        <v>1590</v>
      </c>
      <c r="D779" s="10" t="s">
        <v>1591</v>
      </c>
      <c r="E779" s="10">
        <v>338</v>
      </c>
      <c r="F779" s="10" t="s">
        <v>25</v>
      </c>
      <c r="G779" s="10">
        <v>20.6</v>
      </c>
      <c r="H779" s="10">
        <v>65</v>
      </c>
      <c r="I779" s="10" t="s">
        <v>20</v>
      </c>
      <c r="J779" s="10">
        <v>56</v>
      </c>
      <c r="K779" s="10">
        <v>421</v>
      </c>
      <c r="L779" s="10">
        <v>2</v>
      </c>
      <c r="M779" s="10" t="s">
        <v>51</v>
      </c>
      <c r="N779" s="10">
        <v>86.9</v>
      </c>
      <c r="O779" s="10">
        <v>142</v>
      </c>
      <c r="P779" s="10">
        <v>0</v>
      </c>
      <c r="Q779" s="10" t="str">
        <f>+IF(Tabla2[[#This Row],[Demand_Forecast]]&lt;= 125,"Low demand",IF(Tabla2[[#This Row],[Demand_Forecast]] &gt;=285,"High demand","Mid demand"))</f>
        <v>Mid demand</v>
      </c>
    </row>
    <row r="780" spans="1:17" x14ac:dyDescent="0.25">
      <c r="A780" s="11">
        <v>45523.003611111111</v>
      </c>
      <c r="B780" s="10" t="s">
        <v>16</v>
      </c>
      <c r="C780" s="10" t="s">
        <v>1592</v>
      </c>
      <c r="D780" s="10" t="s">
        <v>1593</v>
      </c>
      <c r="E780" s="10">
        <v>252</v>
      </c>
      <c r="F780" s="10" t="s">
        <v>25</v>
      </c>
      <c r="G780" s="10">
        <v>27.1</v>
      </c>
      <c r="H780" s="10">
        <v>59.8</v>
      </c>
      <c r="I780" s="10" t="s">
        <v>20</v>
      </c>
      <c r="J780" s="10">
        <v>53</v>
      </c>
      <c r="K780" s="10">
        <v>457</v>
      </c>
      <c r="L780" s="10">
        <v>8</v>
      </c>
      <c r="M780" s="10" t="s">
        <v>35</v>
      </c>
      <c r="N780" s="10">
        <v>95.4</v>
      </c>
      <c r="O780" s="10">
        <v>273</v>
      </c>
      <c r="P780" s="10">
        <v>0</v>
      </c>
      <c r="Q780" s="10" t="str">
        <f>+IF(Tabla2[[#This Row],[Demand_Forecast]]&lt;= 125,"Low demand",IF(Tabla2[[#This Row],[Demand_Forecast]] &gt;=285,"High demand","Mid demand"))</f>
        <v>Mid demand</v>
      </c>
    </row>
    <row r="781" spans="1:17" x14ac:dyDescent="0.25">
      <c r="A781" s="11">
        <v>45355.430451388886</v>
      </c>
      <c r="B781" s="10" t="s">
        <v>64</v>
      </c>
      <c r="C781" s="10" t="s">
        <v>1594</v>
      </c>
      <c r="D781" s="10" t="s">
        <v>1595</v>
      </c>
      <c r="E781" s="10">
        <v>330</v>
      </c>
      <c r="F781" s="10" t="s">
        <v>34</v>
      </c>
      <c r="G781" s="10">
        <v>26.5</v>
      </c>
      <c r="H781" s="10">
        <v>59.2</v>
      </c>
      <c r="I781" s="10" t="s">
        <v>38</v>
      </c>
      <c r="J781" s="10">
        <v>51</v>
      </c>
      <c r="K781" s="10">
        <v>274</v>
      </c>
      <c r="L781" s="10">
        <v>3</v>
      </c>
      <c r="M781" s="10" t="s">
        <v>35</v>
      </c>
      <c r="N781" s="10">
        <v>69.099999999999994</v>
      </c>
      <c r="O781" s="10">
        <v>139</v>
      </c>
      <c r="P781" s="10">
        <v>0</v>
      </c>
      <c r="Q781" s="10" t="str">
        <f>+IF(Tabla2[[#This Row],[Demand_Forecast]]&lt;= 125,"Low demand",IF(Tabla2[[#This Row],[Demand_Forecast]] &gt;=285,"High demand","Mid demand"))</f>
        <v>Mid demand</v>
      </c>
    </row>
    <row r="782" spans="1:17" x14ac:dyDescent="0.25">
      <c r="A782" s="11">
        <v>45566.321493055555</v>
      </c>
      <c r="B782" s="10" t="s">
        <v>64</v>
      </c>
      <c r="C782" s="10" t="s">
        <v>1596</v>
      </c>
      <c r="D782" s="10" t="s">
        <v>1597</v>
      </c>
      <c r="E782" s="10">
        <v>464</v>
      </c>
      <c r="F782" s="10" t="s">
        <v>19</v>
      </c>
      <c r="G782" s="10">
        <v>28.2</v>
      </c>
      <c r="H782" s="10">
        <v>61.4</v>
      </c>
      <c r="I782" s="10" t="s">
        <v>26</v>
      </c>
      <c r="J782" s="10">
        <v>20</v>
      </c>
      <c r="K782" s="10">
        <v>177</v>
      </c>
      <c r="L782" s="10">
        <v>3</v>
      </c>
      <c r="M782" s="10" t="s">
        <v>27</v>
      </c>
      <c r="N782" s="10">
        <v>60.3</v>
      </c>
      <c r="O782" s="10">
        <v>279</v>
      </c>
      <c r="P782" s="10">
        <v>1</v>
      </c>
      <c r="Q782" s="10" t="str">
        <f>+IF(Tabla2[[#This Row],[Demand_Forecast]]&lt;= 125,"Low demand",IF(Tabla2[[#This Row],[Demand_Forecast]] &gt;=285,"High demand","Mid demand"))</f>
        <v>Mid demand</v>
      </c>
    </row>
    <row r="783" spans="1:17" x14ac:dyDescent="0.25">
      <c r="A783" s="11">
        <v>45324.535891203705</v>
      </c>
      <c r="B783" s="10" t="s">
        <v>56</v>
      </c>
      <c r="C783" s="10" t="s">
        <v>1598</v>
      </c>
      <c r="D783" s="10" t="s">
        <v>1599</v>
      </c>
      <c r="E783" s="10">
        <v>141</v>
      </c>
      <c r="F783" s="10" t="s">
        <v>19</v>
      </c>
      <c r="G783" s="10">
        <v>27.7</v>
      </c>
      <c r="H783" s="10">
        <v>55</v>
      </c>
      <c r="I783" s="10" t="s">
        <v>38</v>
      </c>
      <c r="J783" s="10">
        <v>12</v>
      </c>
      <c r="K783" s="10">
        <v>432</v>
      </c>
      <c r="L783" s="10">
        <v>10</v>
      </c>
      <c r="M783" s="10" t="s">
        <v>51</v>
      </c>
      <c r="N783" s="10">
        <v>87.5</v>
      </c>
      <c r="O783" s="10">
        <v>278</v>
      </c>
      <c r="P783" s="10">
        <v>1</v>
      </c>
      <c r="Q783" s="10" t="str">
        <f>+IF(Tabla2[[#This Row],[Demand_Forecast]]&lt;= 125,"Low demand",IF(Tabla2[[#This Row],[Demand_Forecast]] &gt;=285,"High demand","Mid demand"))</f>
        <v>Mid demand</v>
      </c>
    </row>
    <row r="784" spans="1:17" x14ac:dyDescent="0.25">
      <c r="A784" s="11">
        <v>45596.266979166663</v>
      </c>
      <c r="B784" s="10" t="s">
        <v>64</v>
      </c>
      <c r="C784" s="10" t="s">
        <v>1600</v>
      </c>
      <c r="D784" s="10" t="s">
        <v>1601</v>
      </c>
      <c r="E784" s="10">
        <v>463</v>
      </c>
      <c r="F784" s="10" t="s">
        <v>25</v>
      </c>
      <c r="G784" s="10">
        <v>19.5</v>
      </c>
      <c r="H784" s="10">
        <v>64.400000000000006</v>
      </c>
      <c r="I784" s="10" t="s">
        <v>20</v>
      </c>
      <c r="J784" s="10">
        <v>32</v>
      </c>
      <c r="K784" s="10">
        <v>244</v>
      </c>
      <c r="L784" s="10">
        <v>1</v>
      </c>
      <c r="M784" s="10" t="s">
        <v>35</v>
      </c>
      <c r="N784" s="10">
        <v>69.8</v>
      </c>
      <c r="O784" s="10">
        <v>294</v>
      </c>
      <c r="P784" s="10">
        <v>0</v>
      </c>
      <c r="Q784" s="10" t="str">
        <f>+IF(Tabla2[[#This Row],[Demand_Forecast]]&lt;= 125,"Low demand",IF(Tabla2[[#This Row],[Demand_Forecast]] &gt;=285,"High demand","Mid demand"))</f>
        <v>High demand</v>
      </c>
    </row>
    <row r="785" spans="1:17" x14ac:dyDescent="0.25">
      <c r="A785" s="11">
        <v>45627.195231481484</v>
      </c>
      <c r="B785" s="10" t="s">
        <v>56</v>
      </c>
      <c r="C785" s="10" t="s">
        <v>1602</v>
      </c>
      <c r="D785" s="10" t="s">
        <v>1603</v>
      </c>
      <c r="E785" s="10">
        <v>223</v>
      </c>
      <c r="F785" s="10" t="s">
        <v>25</v>
      </c>
      <c r="G785" s="10">
        <v>25.2</v>
      </c>
      <c r="H785" s="10">
        <v>54.1</v>
      </c>
      <c r="I785" s="10" t="s">
        <v>20</v>
      </c>
      <c r="J785" s="10">
        <v>45</v>
      </c>
      <c r="K785" s="10">
        <v>121</v>
      </c>
      <c r="L785" s="10">
        <v>1</v>
      </c>
      <c r="M785" s="10" t="s">
        <v>51</v>
      </c>
      <c r="N785" s="10">
        <v>85.9</v>
      </c>
      <c r="O785" s="10">
        <v>153</v>
      </c>
      <c r="P785" s="10">
        <v>0</v>
      </c>
      <c r="Q785" s="10" t="str">
        <f>+IF(Tabla2[[#This Row],[Demand_Forecast]]&lt;= 125,"Low demand",IF(Tabla2[[#This Row],[Demand_Forecast]] &gt;=285,"High demand","Mid demand"))</f>
        <v>Mid demand</v>
      </c>
    </row>
    <row r="786" spans="1:17" x14ac:dyDescent="0.25">
      <c r="A786" s="11">
        <v>45366.09578703704</v>
      </c>
      <c r="B786" s="10" t="s">
        <v>28</v>
      </c>
      <c r="C786" s="10" t="s">
        <v>1604</v>
      </c>
      <c r="D786" s="10" t="s">
        <v>1605</v>
      </c>
      <c r="E786" s="10">
        <v>301</v>
      </c>
      <c r="F786" s="10" t="s">
        <v>25</v>
      </c>
      <c r="G786" s="10">
        <v>18.5</v>
      </c>
      <c r="H786" s="10">
        <v>75.3</v>
      </c>
      <c r="I786" s="10" t="s">
        <v>38</v>
      </c>
      <c r="J786" s="10">
        <v>39</v>
      </c>
      <c r="K786" s="10">
        <v>140</v>
      </c>
      <c r="L786" s="10">
        <v>6</v>
      </c>
      <c r="M786" s="10" t="s">
        <v>27</v>
      </c>
      <c r="N786" s="10">
        <v>78.5</v>
      </c>
      <c r="O786" s="10">
        <v>208</v>
      </c>
      <c r="P786" s="10">
        <v>0</v>
      </c>
      <c r="Q786" s="10" t="str">
        <f>+IF(Tabla2[[#This Row],[Demand_Forecast]]&lt;= 125,"Low demand",IF(Tabla2[[#This Row],[Demand_Forecast]] &gt;=285,"High demand","Mid demand"))</f>
        <v>Mid demand</v>
      </c>
    </row>
    <row r="787" spans="1:17" x14ac:dyDescent="0.25">
      <c r="A787" s="11">
        <v>45356.953055555554</v>
      </c>
      <c r="B787" s="10" t="s">
        <v>28</v>
      </c>
      <c r="C787" s="10" t="s">
        <v>1606</v>
      </c>
      <c r="D787" s="10" t="s">
        <v>1607</v>
      </c>
      <c r="E787" s="10">
        <v>195</v>
      </c>
      <c r="F787" s="10" t="s">
        <v>34</v>
      </c>
      <c r="G787" s="10">
        <v>26.9</v>
      </c>
      <c r="H787" s="10">
        <v>79.8</v>
      </c>
      <c r="I787" s="10" t="s">
        <v>38</v>
      </c>
      <c r="J787" s="10">
        <v>57</v>
      </c>
      <c r="K787" s="10">
        <v>190</v>
      </c>
      <c r="L787" s="10">
        <v>2</v>
      </c>
      <c r="M787" s="10" t="s">
        <v>35</v>
      </c>
      <c r="N787" s="10">
        <v>60.6</v>
      </c>
      <c r="O787" s="10">
        <v>235</v>
      </c>
      <c r="P787" s="10">
        <v>0</v>
      </c>
      <c r="Q787" s="10" t="str">
        <f>+IF(Tabla2[[#This Row],[Demand_Forecast]]&lt;= 125,"Low demand",IF(Tabla2[[#This Row],[Demand_Forecast]] &gt;=285,"High demand","Mid demand"))</f>
        <v>Mid demand</v>
      </c>
    </row>
    <row r="788" spans="1:17" x14ac:dyDescent="0.25">
      <c r="A788" s="11">
        <v>45591.990960648145</v>
      </c>
      <c r="B788" s="10" t="s">
        <v>16</v>
      </c>
      <c r="C788" s="10" t="s">
        <v>1608</v>
      </c>
      <c r="D788" s="10" t="s">
        <v>1609</v>
      </c>
      <c r="E788" s="10">
        <v>310</v>
      </c>
      <c r="F788" s="10" t="s">
        <v>34</v>
      </c>
      <c r="G788" s="10">
        <v>23.8</v>
      </c>
      <c r="H788" s="10">
        <v>72.400000000000006</v>
      </c>
      <c r="I788" s="10" t="s">
        <v>38</v>
      </c>
      <c r="J788" s="10">
        <v>53</v>
      </c>
      <c r="K788" s="10">
        <v>277</v>
      </c>
      <c r="L788" s="10">
        <v>4</v>
      </c>
      <c r="M788" s="10" t="s">
        <v>51</v>
      </c>
      <c r="N788" s="10">
        <v>91.3</v>
      </c>
      <c r="O788" s="10">
        <v>122</v>
      </c>
      <c r="P788" s="10">
        <v>0</v>
      </c>
      <c r="Q788" s="10" t="str">
        <f>+IF(Tabla2[[#This Row],[Demand_Forecast]]&lt;= 125,"Low demand",IF(Tabla2[[#This Row],[Demand_Forecast]] &gt;=285,"High demand","Mid demand"))</f>
        <v>Low demand</v>
      </c>
    </row>
    <row r="789" spans="1:17" x14ac:dyDescent="0.25">
      <c r="A789" s="11">
        <v>45368.716307870367</v>
      </c>
      <c r="B789" s="10" t="s">
        <v>48</v>
      </c>
      <c r="C789" s="10" t="s">
        <v>1610</v>
      </c>
      <c r="D789" s="10" t="s">
        <v>1611</v>
      </c>
      <c r="E789" s="10">
        <v>100</v>
      </c>
      <c r="F789" s="10" t="s">
        <v>25</v>
      </c>
      <c r="G789" s="10">
        <v>23.6</v>
      </c>
      <c r="H789" s="10">
        <v>64.3</v>
      </c>
      <c r="I789" s="10" t="s">
        <v>20</v>
      </c>
      <c r="J789" s="10">
        <v>29</v>
      </c>
      <c r="K789" s="10">
        <v>276</v>
      </c>
      <c r="L789" s="10">
        <v>5</v>
      </c>
      <c r="M789" s="10" t="s">
        <v>51</v>
      </c>
      <c r="N789" s="10">
        <v>89.1</v>
      </c>
      <c r="O789" s="10">
        <v>198</v>
      </c>
      <c r="P789" s="10">
        <v>0</v>
      </c>
      <c r="Q789" s="10" t="str">
        <f>+IF(Tabla2[[#This Row],[Demand_Forecast]]&lt;= 125,"Low demand",IF(Tabla2[[#This Row],[Demand_Forecast]] &gt;=285,"High demand","Mid demand"))</f>
        <v>Mid demand</v>
      </c>
    </row>
    <row r="790" spans="1:17" x14ac:dyDescent="0.25">
      <c r="A790" s="11">
        <v>45304.660729166666</v>
      </c>
      <c r="B790" s="10" t="s">
        <v>95</v>
      </c>
      <c r="C790" s="10" t="s">
        <v>1612</v>
      </c>
      <c r="D790" s="10" t="s">
        <v>1613</v>
      </c>
      <c r="E790" s="10">
        <v>147</v>
      </c>
      <c r="F790" s="10" t="s">
        <v>25</v>
      </c>
      <c r="G790" s="10">
        <v>18.7</v>
      </c>
      <c r="H790" s="10">
        <v>68.5</v>
      </c>
      <c r="I790" s="10" t="s">
        <v>26</v>
      </c>
      <c r="J790" s="10">
        <v>25</v>
      </c>
      <c r="K790" s="10">
        <v>439</v>
      </c>
      <c r="L790" s="10">
        <v>9</v>
      </c>
      <c r="M790" s="10" t="s">
        <v>21</v>
      </c>
      <c r="N790" s="10">
        <v>75.2</v>
      </c>
      <c r="O790" s="10">
        <v>266</v>
      </c>
      <c r="P790" s="10">
        <v>1</v>
      </c>
      <c r="Q790" s="10" t="str">
        <f>+IF(Tabla2[[#This Row],[Demand_Forecast]]&lt;= 125,"Low demand",IF(Tabla2[[#This Row],[Demand_Forecast]] &gt;=285,"High demand","Mid demand"))</f>
        <v>Mid demand</v>
      </c>
    </row>
    <row r="791" spans="1:17" x14ac:dyDescent="0.25">
      <c r="A791" s="11">
        <v>45442.959016203706</v>
      </c>
      <c r="B791" s="10" t="s">
        <v>31</v>
      </c>
      <c r="C791" s="10" t="s">
        <v>1614</v>
      </c>
      <c r="D791" s="10" t="s">
        <v>1615</v>
      </c>
      <c r="E791" s="10">
        <v>251</v>
      </c>
      <c r="F791" s="10" t="s">
        <v>19</v>
      </c>
      <c r="G791" s="10">
        <v>22.8</v>
      </c>
      <c r="H791" s="10">
        <v>62.9</v>
      </c>
      <c r="I791" s="10" t="s">
        <v>26</v>
      </c>
      <c r="J791" s="10">
        <v>52</v>
      </c>
      <c r="K791" s="10">
        <v>173</v>
      </c>
      <c r="L791" s="10">
        <v>3</v>
      </c>
      <c r="M791" s="10" t="s">
        <v>51</v>
      </c>
      <c r="N791" s="10">
        <v>72.900000000000006</v>
      </c>
      <c r="O791" s="10">
        <v>268</v>
      </c>
      <c r="P791" s="10">
        <v>1</v>
      </c>
      <c r="Q791" s="10" t="str">
        <f>+IF(Tabla2[[#This Row],[Demand_Forecast]]&lt;= 125,"Low demand",IF(Tabla2[[#This Row],[Demand_Forecast]] &gt;=285,"High demand","Mid demand"))</f>
        <v>Mid demand</v>
      </c>
    </row>
    <row r="792" spans="1:17" x14ac:dyDescent="0.25">
      <c r="A792" s="11">
        <v>45504.95648148148</v>
      </c>
      <c r="B792" s="10" t="s">
        <v>16</v>
      </c>
      <c r="C792" s="10" t="s">
        <v>1616</v>
      </c>
      <c r="D792" s="10" t="s">
        <v>1617</v>
      </c>
      <c r="E792" s="10">
        <v>108</v>
      </c>
      <c r="F792" s="10" t="s">
        <v>34</v>
      </c>
      <c r="G792" s="10">
        <v>26.6</v>
      </c>
      <c r="H792" s="10">
        <v>61.7</v>
      </c>
      <c r="I792" s="10" t="s">
        <v>20</v>
      </c>
      <c r="J792" s="10">
        <v>47</v>
      </c>
      <c r="K792" s="10">
        <v>122</v>
      </c>
      <c r="L792" s="10">
        <v>7</v>
      </c>
      <c r="M792" s="10" t="s">
        <v>27</v>
      </c>
      <c r="N792" s="10">
        <v>64.599999999999994</v>
      </c>
      <c r="O792" s="10">
        <v>116</v>
      </c>
      <c r="P792" s="10">
        <v>0</v>
      </c>
      <c r="Q792" s="10" t="str">
        <f>+IF(Tabla2[[#This Row],[Demand_Forecast]]&lt;= 125,"Low demand",IF(Tabla2[[#This Row],[Demand_Forecast]] &gt;=285,"High demand","Mid demand"))</f>
        <v>Low demand</v>
      </c>
    </row>
    <row r="793" spans="1:17" x14ac:dyDescent="0.25">
      <c r="A793" s="11">
        <v>45456.199317129627</v>
      </c>
      <c r="B793" s="10" t="s">
        <v>22</v>
      </c>
      <c r="C793" s="10" t="s">
        <v>1618</v>
      </c>
      <c r="D793" s="10" t="s">
        <v>1619</v>
      </c>
      <c r="E793" s="10">
        <v>340</v>
      </c>
      <c r="F793" s="10" t="s">
        <v>25</v>
      </c>
      <c r="G793" s="10">
        <v>27.9</v>
      </c>
      <c r="H793" s="10">
        <v>69.099999999999994</v>
      </c>
      <c r="I793" s="10" t="s">
        <v>38</v>
      </c>
      <c r="J793" s="10">
        <v>32</v>
      </c>
      <c r="K793" s="10">
        <v>162</v>
      </c>
      <c r="L793" s="10">
        <v>2</v>
      </c>
      <c r="M793" s="10" t="s">
        <v>27</v>
      </c>
      <c r="N793" s="10">
        <v>90.9</v>
      </c>
      <c r="O793" s="10">
        <v>300</v>
      </c>
      <c r="P793" s="10">
        <v>0</v>
      </c>
      <c r="Q793" s="10" t="str">
        <f>+IF(Tabla2[[#This Row],[Demand_Forecast]]&lt;= 125,"Low demand",IF(Tabla2[[#This Row],[Demand_Forecast]] &gt;=285,"High demand","Mid demand"))</f>
        <v>High demand</v>
      </c>
    </row>
    <row r="794" spans="1:17" x14ac:dyDescent="0.25">
      <c r="A794" s="11">
        <v>45479.666226851848</v>
      </c>
      <c r="B794" s="10" t="s">
        <v>61</v>
      </c>
      <c r="C794" s="10" t="s">
        <v>1620</v>
      </c>
      <c r="D794" s="10" t="s">
        <v>1621</v>
      </c>
      <c r="E794" s="10">
        <v>167</v>
      </c>
      <c r="F794" s="10" t="s">
        <v>19</v>
      </c>
      <c r="G794" s="10">
        <v>21.6</v>
      </c>
      <c r="H794" s="10">
        <v>54.6</v>
      </c>
      <c r="I794" s="10" t="s">
        <v>38</v>
      </c>
      <c r="J794" s="10">
        <v>46</v>
      </c>
      <c r="K794" s="10">
        <v>240</v>
      </c>
      <c r="L794" s="10">
        <v>10</v>
      </c>
      <c r="M794" s="10" t="s">
        <v>27</v>
      </c>
      <c r="N794" s="10">
        <v>60.5</v>
      </c>
      <c r="O794" s="10">
        <v>278</v>
      </c>
      <c r="P794" s="10">
        <v>1</v>
      </c>
      <c r="Q794" s="10" t="str">
        <f>+IF(Tabla2[[#This Row],[Demand_Forecast]]&lt;= 125,"Low demand",IF(Tabla2[[#This Row],[Demand_Forecast]] &gt;=285,"High demand","Mid demand"))</f>
        <v>Mid demand</v>
      </c>
    </row>
    <row r="795" spans="1:17" x14ac:dyDescent="0.25">
      <c r="A795" s="11">
        <v>45350.521273148152</v>
      </c>
      <c r="B795" s="10" t="s">
        <v>61</v>
      </c>
      <c r="C795" s="10" t="s">
        <v>1622</v>
      </c>
      <c r="D795" s="10" t="s">
        <v>1623</v>
      </c>
      <c r="E795" s="10">
        <v>488</v>
      </c>
      <c r="F795" s="10" t="s">
        <v>34</v>
      </c>
      <c r="G795" s="10">
        <v>24.9</v>
      </c>
      <c r="H795" s="10">
        <v>79.2</v>
      </c>
      <c r="I795" s="10" t="s">
        <v>26</v>
      </c>
      <c r="J795" s="10">
        <v>52</v>
      </c>
      <c r="K795" s="10">
        <v>290</v>
      </c>
      <c r="L795" s="10">
        <v>10</v>
      </c>
      <c r="M795" s="10" t="s">
        <v>35</v>
      </c>
      <c r="N795" s="10">
        <v>82.5</v>
      </c>
      <c r="O795" s="10">
        <v>248</v>
      </c>
      <c r="P795" s="10">
        <v>1</v>
      </c>
      <c r="Q795" s="10" t="str">
        <f>+IF(Tabla2[[#This Row],[Demand_Forecast]]&lt;= 125,"Low demand",IF(Tabla2[[#This Row],[Demand_Forecast]] &gt;=285,"High demand","Mid demand"))</f>
        <v>Mid demand</v>
      </c>
    </row>
    <row r="796" spans="1:17" x14ac:dyDescent="0.25">
      <c r="A796" s="11">
        <v>45373.281574074077</v>
      </c>
      <c r="B796" s="10" t="s">
        <v>56</v>
      </c>
      <c r="C796" s="10" t="s">
        <v>1624</v>
      </c>
      <c r="D796" s="10" t="s">
        <v>1625</v>
      </c>
      <c r="E796" s="10">
        <v>330</v>
      </c>
      <c r="F796" s="10" t="s">
        <v>34</v>
      </c>
      <c r="G796" s="10">
        <v>24.4</v>
      </c>
      <c r="H796" s="10">
        <v>79.5</v>
      </c>
      <c r="I796" s="10" t="s">
        <v>38</v>
      </c>
      <c r="J796" s="10">
        <v>19</v>
      </c>
      <c r="K796" s="10">
        <v>110</v>
      </c>
      <c r="L796" s="10">
        <v>7</v>
      </c>
      <c r="M796" s="10" t="s">
        <v>21</v>
      </c>
      <c r="N796" s="10">
        <v>66.3</v>
      </c>
      <c r="O796" s="10">
        <v>109</v>
      </c>
      <c r="P796" s="10">
        <v>0</v>
      </c>
      <c r="Q796" s="10" t="str">
        <f>+IF(Tabla2[[#This Row],[Demand_Forecast]]&lt;= 125,"Low demand",IF(Tabla2[[#This Row],[Demand_Forecast]] &gt;=285,"High demand","Mid demand"))</f>
        <v>Low demand</v>
      </c>
    </row>
    <row r="797" spans="1:17" x14ac:dyDescent="0.25">
      <c r="A797" s="11">
        <v>45320.807372685187</v>
      </c>
      <c r="B797" s="10" t="s">
        <v>31</v>
      </c>
      <c r="C797" s="10" t="s">
        <v>1626</v>
      </c>
      <c r="D797" s="10" t="s">
        <v>1627</v>
      </c>
      <c r="E797" s="10">
        <v>177</v>
      </c>
      <c r="F797" s="10" t="s">
        <v>34</v>
      </c>
      <c r="G797" s="10">
        <v>25.6</v>
      </c>
      <c r="H797" s="10">
        <v>71.900000000000006</v>
      </c>
      <c r="I797" s="10" t="s">
        <v>20</v>
      </c>
      <c r="J797" s="10">
        <v>20</v>
      </c>
      <c r="K797" s="10">
        <v>193</v>
      </c>
      <c r="L797" s="10">
        <v>6</v>
      </c>
      <c r="M797" s="10" t="s">
        <v>51</v>
      </c>
      <c r="N797" s="10">
        <v>95.5</v>
      </c>
      <c r="O797" s="10">
        <v>182</v>
      </c>
      <c r="P797" s="10">
        <v>0</v>
      </c>
      <c r="Q797" s="10" t="str">
        <f>+IF(Tabla2[[#This Row],[Demand_Forecast]]&lt;= 125,"Low demand",IF(Tabla2[[#This Row],[Demand_Forecast]] &gt;=285,"High demand","Mid demand"))</f>
        <v>Mid demand</v>
      </c>
    </row>
    <row r="798" spans="1:17" x14ac:dyDescent="0.25">
      <c r="A798" s="11">
        <v>45482.09103009259</v>
      </c>
      <c r="B798" s="10" t="s">
        <v>41</v>
      </c>
      <c r="C798" s="10" t="s">
        <v>1628</v>
      </c>
      <c r="D798" s="10" t="s">
        <v>1629</v>
      </c>
      <c r="E798" s="10">
        <v>132</v>
      </c>
      <c r="F798" s="10" t="s">
        <v>34</v>
      </c>
      <c r="G798" s="10">
        <v>22.9</v>
      </c>
      <c r="H798" s="10">
        <v>66.5</v>
      </c>
      <c r="I798" s="10" t="s">
        <v>38</v>
      </c>
      <c r="J798" s="10">
        <v>35</v>
      </c>
      <c r="K798" s="10">
        <v>209</v>
      </c>
      <c r="L798" s="10">
        <v>6</v>
      </c>
      <c r="M798" s="10" t="s">
        <v>51</v>
      </c>
      <c r="N798" s="10">
        <v>94.3</v>
      </c>
      <c r="O798" s="10">
        <v>122</v>
      </c>
      <c r="P798" s="10">
        <v>0</v>
      </c>
      <c r="Q798" s="10" t="str">
        <f>+IF(Tabla2[[#This Row],[Demand_Forecast]]&lt;= 125,"Low demand",IF(Tabla2[[#This Row],[Demand_Forecast]] &gt;=285,"High demand","Mid demand"))</f>
        <v>Low demand</v>
      </c>
    </row>
    <row r="799" spans="1:17" x14ac:dyDescent="0.25">
      <c r="A799" s="11">
        <v>45463.562604166669</v>
      </c>
      <c r="B799" s="10" t="s">
        <v>22</v>
      </c>
      <c r="C799" s="10" t="s">
        <v>1630</v>
      </c>
      <c r="D799" s="10" t="s">
        <v>1631</v>
      </c>
      <c r="E799" s="10">
        <v>208</v>
      </c>
      <c r="F799" s="10" t="s">
        <v>19</v>
      </c>
      <c r="G799" s="10">
        <v>22.5</v>
      </c>
      <c r="H799" s="10">
        <v>65.900000000000006</v>
      </c>
      <c r="I799" s="10" t="s">
        <v>26</v>
      </c>
      <c r="J799" s="10">
        <v>38</v>
      </c>
      <c r="K799" s="10">
        <v>462</v>
      </c>
      <c r="L799" s="10">
        <v>7</v>
      </c>
      <c r="M799" s="10" t="s">
        <v>27</v>
      </c>
      <c r="N799" s="10">
        <v>83.1</v>
      </c>
      <c r="O799" s="10">
        <v>193</v>
      </c>
      <c r="P799" s="10">
        <v>1</v>
      </c>
      <c r="Q799" s="10" t="str">
        <f>+IF(Tabla2[[#This Row],[Demand_Forecast]]&lt;= 125,"Low demand",IF(Tabla2[[#This Row],[Demand_Forecast]] &gt;=285,"High demand","Mid demand"))</f>
        <v>Mid demand</v>
      </c>
    </row>
    <row r="800" spans="1:17" x14ac:dyDescent="0.25">
      <c r="A800" s="11">
        <v>45444.029120370367</v>
      </c>
      <c r="B800" s="10" t="s">
        <v>22</v>
      </c>
      <c r="C800" s="10" t="s">
        <v>1632</v>
      </c>
      <c r="D800" s="10" t="s">
        <v>1633</v>
      </c>
      <c r="E800" s="10">
        <v>348</v>
      </c>
      <c r="F800" s="10" t="s">
        <v>19</v>
      </c>
      <c r="G800" s="10">
        <v>25.8</v>
      </c>
      <c r="H800" s="10">
        <v>62.9</v>
      </c>
      <c r="I800" s="10" t="s">
        <v>20</v>
      </c>
      <c r="J800" s="10">
        <v>24</v>
      </c>
      <c r="K800" s="10">
        <v>352</v>
      </c>
      <c r="L800" s="10">
        <v>6</v>
      </c>
      <c r="M800" s="10" t="s">
        <v>27</v>
      </c>
      <c r="N800" s="10">
        <v>96.5</v>
      </c>
      <c r="O800" s="10">
        <v>164</v>
      </c>
      <c r="P800" s="10">
        <v>1</v>
      </c>
      <c r="Q800" s="10" t="str">
        <f>+IF(Tabla2[[#This Row],[Demand_Forecast]]&lt;= 125,"Low demand",IF(Tabla2[[#This Row],[Demand_Forecast]] &gt;=285,"High demand","Mid demand"))</f>
        <v>Mid demand</v>
      </c>
    </row>
    <row r="801" spans="1:17" x14ac:dyDescent="0.25">
      <c r="A801" s="11">
        <v>45374.852430555555</v>
      </c>
      <c r="B801" s="10" t="s">
        <v>41</v>
      </c>
      <c r="C801" s="10" t="s">
        <v>1634</v>
      </c>
      <c r="D801" s="10" t="s">
        <v>1635</v>
      </c>
      <c r="E801" s="10">
        <v>156</v>
      </c>
      <c r="F801" s="10" t="s">
        <v>25</v>
      </c>
      <c r="G801" s="10">
        <v>19.399999999999999</v>
      </c>
      <c r="H801" s="10">
        <v>75.2</v>
      </c>
      <c r="I801" s="10" t="s">
        <v>26</v>
      </c>
      <c r="J801" s="10">
        <v>44</v>
      </c>
      <c r="K801" s="10">
        <v>135</v>
      </c>
      <c r="L801" s="10">
        <v>1</v>
      </c>
      <c r="M801" s="10" t="s">
        <v>27</v>
      </c>
      <c r="N801" s="10">
        <v>66.599999999999994</v>
      </c>
      <c r="O801" s="10">
        <v>108</v>
      </c>
      <c r="P801" s="10">
        <v>1</v>
      </c>
      <c r="Q801" s="10" t="str">
        <f>+IF(Tabla2[[#This Row],[Demand_Forecast]]&lt;= 125,"Low demand",IF(Tabla2[[#This Row],[Demand_Forecast]] &gt;=285,"High demand","Mid demand"))</f>
        <v>Low demand</v>
      </c>
    </row>
    <row r="802" spans="1:17" x14ac:dyDescent="0.25">
      <c r="A802" s="11">
        <v>45400.201539351852</v>
      </c>
      <c r="B802" s="10" t="s">
        <v>64</v>
      </c>
      <c r="C802" s="10" t="s">
        <v>1636</v>
      </c>
      <c r="D802" s="10" t="s">
        <v>1637</v>
      </c>
      <c r="E802" s="10">
        <v>468</v>
      </c>
      <c r="F802" s="10" t="s">
        <v>34</v>
      </c>
      <c r="G802" s="10">
        <v>26.6</v>
      </c>
      <c r="H802" s="10">
        <v>59</v>
      </c>
      <c r="I802" s="10" t="s">
        <v>26</v>
      </c>
      <c r="J802" s="10">
        <v>16</v>
      </c>
      <c r="K802" s="10">
        <v>144</v>
      </c>
      <c r="L802" s="10">
        <v>4</v>
      </c>
      <c r="M802" s="10" t="s">
        <v>27</v>
      </c>
      <c r="N802" s="10">
        <v>86.8</v>
      </c>
      <c r="O802" s="10">
        <v>276</v>
      </c>
      <c r="P802" s="10">
        <v>1</v>
      </c>
      <c r="Q802" s="10" t="str">
        <f>+IF(Tabla2[[#This Row],[Demand_Forecast]]&lt;= 125,"Low demand",IF(Tabla2[[#This Row],[Demand_Forecast]] &gt;=285,"High demand","Mid demand"))</f>
        <v>Mid demand</v>
      </c>
    </row>
    <row r="803" spans="1:17" x14ac:dyDescent="0.25">
      <c r="A803" s="11">
        <v>45469.392893518518</v>
      </c>
      <c r="B803" s="10" t="s">
        <v>16</v>
      </c>
      <c r="C803" s="10" t="s">
        <v>1638</v>
      </c>
      <c r="D803" s="10" t="s">
        <v>1639</v>
      </c>
      <c r="E803" s="10">
        <v>142</v>
      </c>
      <c r="F803" s="10" t="s">
        <v>19</v>
      </c>
      <c r="G803" s="10">
        <v>28.4</v>
      </c>
      <c r="H803" s="10">
        <v>67.3</v>
      </c>
      <c r="I803" s="10" t="s">
        <v>20</v>
      </c>
      <c r="J803" s="10">
        <v>30</v>
      </c>
      <c r="K803" s="10">
        <v>181</v>
      </c>
      <c r="L803" s="10">
        <v>6</v>
      </c>
      <c r="M803" s="10" t="s">
        <v>27</v>
      </c>
      <c r="N803" s="10">
        <v>84.3</v>
      </c>
      <c r="O803" s="10">
        <v>104</v>
      </c>
      <c r="P803" s="10">
        <v>1</v>
      </c>
      <c r="Q803" s="10" t="str">
        <f>+IF(Tabla2[[#This Row],[Demand_Forecast]]&lt;= 125,"Low demand",IF(Tabla2[[#This Row],[Demand_Forecast]] &gt;=285,"High demand","Mid demand"))</f>
        <v>Low demand</v>
      </c>
    </row>
    <row r="804" spans="1:17" x14ac:dyDescent="0.25">
      <c r="A804" s="11">
        <v>45326.047523148147</v>
      </c>
      <c r="B804" s="10" t="s">
        <v>28</v>
      </c>
      <c r="C804" s="10" t="s">
        <v>1640</v>
      </c>
      <c r="D804" s="10" t="s">
        <v>1641</v>
      </c>
      <c r="E804" s="10">
        <v>349</v>
      </c>
      <c r="F804" s="10" t="s">
        <v>25</v>
      </c>
      <c r="G804" s="10">
        <v>21.1</v>
      </c>
      <c r="H804" s="10">
        <v>55.1</v>
      </c>
      <c r="I804" s="10" t="s">
        <v>26</v>
      </c>
      <c r="J804" s="10">
        <v>13</v>
      </c>
      <c r="K804" s="10">
        <v>453</v>
      </c>
      <c r="L804" s="10">
        <v>10</v>
      </c>
      <c r="M804" s="10" t="s">
        <v>27</v>
      </c>
      <c r="N804" s="10">
        <v>65.099999999999994</v>
      </c>
      <c r="O804" s="10">
        <v>111</v>
      </c>
      <c r="P804" s="10">
        <v>1</v>
      </c>
      <c r="Q804" s="10" t="str">
        <f>+IF(Tabla2[[#This Row],[Demand_Forecast]]&lt;= 125,"Low demand",IF(Tabla2[[#This Row],[Demand_Forecast]] &gt;=285,"High demand","Mid demand"))</f>
        <v>Low demand</v>
      </c>
    </row>
    <row r="805" spans="1:17" x14ac:dyDescent="0.25">
      <c r="A805" s="11">
        <v>45383.685555555552</v>
      </c>
      <c r="B805" s="10" t="s">
        <v>41</v>
      </c>
      <c r="C805" s="10" t="s">
        <v>1642</v>
      </c>
      <c r="D805" s="10" t="s">
        <v>1643</v>
      </c>
      <c r="E805" s="10">
        <v>226</v>
      </c>
      <c r="F805" s="10" t="s">
        <v>34</v>
      </c>
      <c r="G805" s="10">
        <v>23.9</v>
      </c>
      <c r="H805" s="10">
        <v>61.2</v>
      </c>
      <c r="I805" s="10" t="s">
        <v>26</v>
      </c>
      <c r="J805" s="10">
        <v>13</v>
      </c>
      <c r="K805" s="10">
        <v>211</v>
      </c>
      <c r="L805" s="10">
        <v>2</v>
      </c>
      <c r="M805" s="10" t="s">
        <v>51</v>
      </c>
      <c r="N805" s="10">
        <v>67.5</v>
      </c>
      <c r="O805" s="10">
        <v>232</v>
      </c>
      <c r="P805" s="10">
        <v>1</v>
      </c>
      <c r="Q805" s="10" t="str">
        <f>+IF(Tabla2[[#This Row],[Demand_Forecast]]&lt;= 125,"Low demand",IF(Tabla2[[#This Row],[Demand_Forecast]] &gt;=285,"High demand","Mid demand"))</f>
        <v>Mid demand</v>
      </c>
    </row>
    <row r="806" spans="1:17" x14ac:dyDescent="0.25">
      <c r="A806" s="11">
        <v>45518.89502314815</v>
      </c>
      <c r="B806" s="10" t="s">
        <v>48</v>
      </c>
      <c r="C806" s="10" t="s">
        <v>1644</v>
      </c>
      <c r="D806" s="10" t="s">
        <v>1645</v>
      </c>
      <c r="E806" s="10">
        <v>481</v>
      </c>
      <c r="F806" s="10" t="s">
        <v>25</v>
      </c>
      <c r="G806" s="10">
        <v>22.4</v>
      </c>
      <c r="H806" s="10">
        <v>77.900000000000006</v>
      </c>
      <c r="I806" s="10" t="s">
        <v>20</v>
      </c>
      <c r="J806" s="10">
        <v>25</v>
      </c>
      <c r="K806" s="10">
        <v>143</v>
      </c>
      <c r="L806" s="10">
        <v>8</v>
      </c>
      <c r="M806" s="10" t="s">
        <v>35</v>
      </c>
      <c r="N806" s="10">
        <v>71.400000000000006</v>
      </c>
      <c r="O806" s="10">
        <v>124</v>
      </c>
      <c r="P806" s="10">
        <v>0</v>
      </c>
      <c r="Q806" s="10" t="str">
        <f>+IF(Tabla2[[#This Row],[Demand_Forecast]]&lt;= 125,"Low demand",IF(Tabla2[[#This Row],[Demand_Forecast]] &gt;=285,"High demand","Mid demand"))</f>
        <v>Low demand</v>
      </c>
    </row>
    <row r="807" spans="1:17" x14ac:dyDescent="0.25">
      <c r="A807" s="11">
        <v>45568.765185185184</v>
      </c>
      <c r="B807" s="10" t="s">
        <v>64</v>
      </c>
      <c r="C807" s="10" t="s">
        <v>1646</v>
      </c>
      <c r="D807" s="10" t="s">
        <v>1647</v>
      </c>
      <c r="E807" s="10">
        <v>448</v>
      </c>
      <c r="F807" s="10" t="s">
        <v>34</v>
      </c>
      <c r="G807" s="10">
        <v>20.100000000000001</v>
      </c>
      <c r="H807" s="10">
        <v>65.7</v>
      </c>
      <c r="I807" s="10" t="s">
        <v>38</v>
      </c>
      <c r="J807" s="10">
        <v>20</v>
      </c>
      <c r="K807" s="10">
        <v>180</v>
      </c>
      <c r="L807" s="10">
        <v>7</v>
      </c>
      <c r="M807" s="10" t="s">
        <v>51</v>
      </c>
      <c r="N807" s="10">
        <v>61.7</v>
      </c>
      <c r="O807" s="10">
        <v>253</v>
      </c>
      <c r="P807" s="10">
        <v>0</v>
      </c>
      <c r="Q807" s="10" t="str">
        <f>+IF(Tabla2[[#This Row],[Demand_Forecast]]&lt;= 125,"Low demand",IF(Tabla2[[#This Row],[Demand_Forecast]] &gt;=285,"High demand","Mid demand"))</f>
        <v>Mid demand</v>
      </c>
    </row>
    <row r="808" spans="1:17" x14ac:dyDescent="0.25">
      <c r="A808" s="11">
        <v>45376.515393518515</v>
      </c>
      <c r="B808" s="10" t="s">
        <v>64</v>
      </c>
      <c r="C808" s="10" t="s">
        <v>1648</v>
      </c>
      <c r="D808" s="10" t="s">
        <v>1649</v>
      </c>
      <c r="E808" s="10">
        <v>441</v>
      </c>
      <c r="F808" s="10" t="s">
        <v>19</v>
      </c>
      <c r="G808" s="10">
        <v>18.899999999999999</v>
      </c>
      <c r="H808" s="10">
        <v>67</v>
      </c>
      <c r="I808" s="10" t="s">
        <v>20</v>
      </c>
      <c r="J808" s="10">
        <v>48</v>
      </c>
      <c r="K808" s="10">
        <v>359</v>
      </c>
      <c r="L808" s="10">
        <v>8</v>
      </c>
      <c r="M808" s="10" t="s">
        <v>51</v>
      </c>
      <c r="N808" s="10">
        <v>76</v>
      </c>
      <c r="O808" s="10">
        <v>300</v>
      </c>
      <c r="P808" s="10">
        <v>1</v>
      </c>
      <c r="Q808" s="10" t="str">
        <f>+IF(Tabla2[[#This Row],[Demand_Forecast]]&lt;= 125,"Low demand",IF(Tabla2[[#This Row],[Demand_Forecast]] &gt;=285,"High demand","Mid demand"))</f>
        <v>High demand</v>
      </c>
    </row>
    <row r="809" spans="1:17" x14ac:dyDescent="0.25">
      <c r="A809" s="11">
        <v>45547.949155092596</v>
      </c>
      <c r="B809" s="10" t="s">
        <v>28</v>
      </c>
      <c r="C809" s="10" t="s">
        <v>1650</v>
      </c>
      <c r="D809" s="10" t="s">
        <v>1651</v>
      </c>
      <c r="E809" s="10">
        <v>470</v>
      </c>
      <c r="F809" s="10" t="s">
        <v>34</v>
      </c>
      <c r="G809" s="10">
        <v>25.1</v>
      </c>
      <c r="H809" s="10">
        <v>70.3</v>
      </c>
      <c r="I809" s="10" t="s">
        <v>26</v>
      </c>
      <c r="J809" s="10">
        <v>11</v>
      </c>
      <c r="K809" s="10">
        <v>417</v>
      </c>
      <c r="L809" s="10">
        <v>3</v>
      </c>
      <c r="M809" s="10" t="s">
        <v>51</v>
      </c>
      <c r="N809" s="10">
        <v>76.5</v>
      </c>
      <c r="O809" s="10">
        <v>126</v>
      </c>
      <c r="P809" s="10">
        <v>1</v>
      </c>
      <c r="Q809" s="10" t="str">
        <f>+IF(Tabla2[[#This Row],[Demand_Forecast]]&lt;= 125,"Low demand",IF(Tabla2[[#This Row],[Demand_Forecast]] &gt;=285,"High demand","Mid demand"))</f>
        <v>Mid demand</v>
      </c>
    </row>
    <row r="810" spans="1:17" x14ac:dyDescent="0.25">
      <c r="A810" s="11">
        <v>45415.933946759258</v>
      </c>
      <c r="B810" s="10" t="s">
        <v>28</v>
      </c>
      <c r="C810" s="10" t="s">
        <v>1652</v>
      </c>
      <c r="D810" s="10" t="s">
        <v>1653</v>
      </c>
      <c r="E810" s="10">
        <v>459</v>
      </c>
      <c r="F810" s="10" t="s">
        <v>25</v>
      </c>
      <c r="G810" s="10">
        <v>26.4</v>
      </c>
      <c r="H810" s="10">
        <v>50.6</v>
      </c>
      <c r="I810" s="10" t="s">
        <v>26</v>
      </c>
      <c r="J810" s="10">
        <v>17</v>
      </c>
      <c r="K810" s="10">
        <v>222</v>
      </c>
      <c r="L810" s="10">
        <v>9</v>
      </c>
      <c r="M810" s="10" t="s">
        <v>35</v>
      </c>
      <c r="N810" s="10">
        <v>94.9</v>
      </c>
      <c r="O810" s="10">
        <v>265</v>
      </c>
      <c r="P810" s="10">
        <v>1</v>
      </c>
      <c r="Q810" s="10" t="str">
        <f>+IF(Tabla2[[#This Row],[Demand_Forecast]]&lt;= 125,"Low demand",IF(Tabla2[[#This Row],[Demand_Forecast]] &gt;=285,"High demand","Mid demand"))</f>
        <v>Mid demand</v>
      </c>
    </row>
    <row r="811" spans="1:17" x14ac:dyDescent="0.25">
      <c r="A811" s="11">
        <v>45439.414282407408</v>
      </c>
      <c r="B811" s="10" t="s">
        <v>22</v>
      </c>
      <c r="C811" s="10" t="s">
        <v>1654</v>
      </c>
      <c r="D811" s="10" t="s">
        <v>1655</v>
      </c>
      <c r="E811" s="10">
        <v>324</v>
      </c>
      <c r="F811" s="10" t="s">
        <v>25</v>
      </c>
      <c r="G811" s="10">
        <v>27.7</v>
      </c>
      <c r="H811" s="10">
        <v>54.8</v>
      </c>
      <c r="I811" s="10" t="s">
        <v>38</v>
      </c>
      <c r="J811" s="10">
        <v>46</v>
      </c>
      <c r="K811" s="10">
        <v>344</v>
      </c>
      <c r="L811" s="10">
        <v>10</v>
      </c>
      <c r="M811" s="10" t="s">
        <v>35</v>
      </c>
      <c r="N811" s="10">
        <v>70.7</v>
      </c>
      <c r="O811" s="10">
        <v>105</v>
      </c>
      <c r="P811" s="10">
        <v>0</v>
      </c>
      <c r="Q811" s="10" t="str">
        <f>+IF(Tabla2[[#This Row],[Demand_Forecast]]&lt;= 125,"Low demand",IF(Tabla2[[#This Row],[Demand_Forecast]] &gt;=285,"High demand","Mid demand"))</f>
        <v>Low demand</v>
      </c>
    </row>
    <row r="812" spans="1:17" x14ac:dyDescent="0.25">
      <c r="A812" s="11">
        <v>45437.358055555553</v>
      </c>
      <c r="B812" s="10" t="s">
        <v>56</v>
      </c>
      <c r="C812" s="10" t="s">
        <v>1656</v>
      </c>
      <c r="D812" s="10" t="s">
        <v>1657</v>
      </c>
      <c r="E812" s="10">
        <v>194</v>
      </c>
      <c r="F812" s="10" t="s">
        <v>19</v>
      </c>
      <c r="G812" s="10">
        <v>24.9</v>
      </c>
      <c r="H812" s="10">
        <v>57.9</v>
      </c>
      <c r="I812" s="10" t="s">
        <v>20</v>
      </c>
      <c r="J812" s="10">
        <v>10</v>
      </c>
      <c r="K812" s="10">
        <v>220</v>
      </c>
      <c r="L812" s="10">
        <v>3</v>
      </c>
      <c r="M812" s="10" t="s">
        <v>21</v>
      </c>
      <c r="N812" s="10">
        <v>77.3</v>
      </c>
      <c r="O812" s="10">
        <v>172</v>
      </c>
      <c r="P812" s="10">
        <v>1</v>
      </c>
      <c r="Q812" s="10" t="str">
        <f>+IF(Tabla2[[#This Row],[Demand_Forecast]]&lt;= 125,"Low demand",IF(Tabla2[[#This Row],[Demand_Forecast]] &gt;=285,"High demand","Mid demand"))</f>
        <v>Mid demand</v>
      </c>
    </row>
    <row r="813" spans="1:17" x14ac:dyDescent="0.25">
      <c r="A813" s="11">
        <v>45371.372002314813</v>
      </c>
      <c r="B813" s="10" t="s">
        <v>31</v>
      </c>
      <c r="C813" s="10" t="s">
        <v>1658</v>
      </c>
      <c r="D813" s="10" t="s">
        <v>1659</v>
      </c>
      <c r="E813" s="10">
        <v>334</v>
      </c>
      <c r="F813" s="10" t="s">
        <v>34</v>
      </c>
      <c r="G813" s="10">
        <v>22.8</v>
      </c>
      <c r="H813" s="10">
        <v>61.1</v>
      </c>
      <c r="I813" s="10" t="s">
        <v>38</v>
      </c>
      <c r="J813" s="10">
        <v>52</v>
      </c>
      <c r="K813" s="10">
        <v>389</v>
      </c>
      <c r="L813" s="10">
        <v>2</v>
      </c>
      <c r="M813" s="10" t="s">
        <v>35</v>
      </c>
      <c r="N813" s="10">
        <v>88</v>
      </c>
      <c r="O813" s="10">
        <v>123</v>
      </c>
      <c r="P813" s="10">
        <v>0</v>
      </c>
      <c r="Q813" s="10" t="str">
        <f>+IF(Tabla2[[#This Row],[Demand_Forecast]]&lt;= 125,"Low demand",IF(Tabla2[[#This Row],[Demand_Forecast]] &gt;=285,"High demand","Mid demand"))</f>
        <v>Low demand</v>
      </c>
    </row>
    <row r="814" spans="1:17" x14ac:dyDescent="0.25">
      <c r="A814" s="11">
        <v>45435.648333333331</v>
      </c>
      <c r="B814" s="10" t="s">
        <v>48</v>
      </c>
      <c r="C814" s="10" t="s">
        <v>1660</v>
      </c>
      <c r="D814" s="10" t="s">
        <v>1661</v>
      </c>
      <c r="E814" s="10">
        <v>179</v>
      </c>
      <c r="F814" s="10" t="s">
        <v>34</v>
      </c>
      <c r="G814" s="10">
        <v>25.5</v>
      </c>
      <c r="H814" s="10">
        <v>75.8</v>
      </c>
      <c r="I814" s="10" t="s">
        <v>38</v>
      </c>
      <c r="J814" s="10">
        <v>19</v>
      </c>
      <c r="K814" s="10">
        <v>139</v>
      </c>
      <c r="L814" s="10">
        <v>9</v>
      </c>
      <c r="M814" s="10" t="s">
        <v>35</v>
      </c>
      <c r="N814" s="10">
        <v>83.5</v>
      </c>
      <c r="O814" s="10">
        <v>282</v>
      </c>
      <c r="P814" s="10">
        <v>0</v>
      </c>
      <c r="Q814" s="10" t="str">
        <f>+IF(Tabla2[[#This Row],[Demand_Forecast]]&lt;= 125,"Low demand",IF(Tabla2[[#This Row],[Demand_Forecast]] &gt;=285,"High demand","Mid demand"))</f>
        <v>Mid demand</v>
      </c>
    </row>
    <row r="815" spans="1:17" x14ac:dyDescent="0.25">
      <c r="A815" s="11">
        <v>45584.998668981483</v>
      </c>
      <c r="B815" s="10" t="s">
        <v>56</v>
      </c>
      <c r="C815" s="10" t="s">
        <v>1662</v>
      </c>
      <c r="D815" s="10" t="s">
        <v>1663</v>
      </c>
      <c r="E815" s="10">
        <v>401</v>
      </c>
      <c r="F815" s="10" t="s">
        <v>19</v>
      </c>
      <c r="G815" s="10">
        <v>27.1</v>
      </c>
      <c r="H815" s="10">
        <v>67.2</v>
      </c>
      <c r="I815" s="10" t="s">
        <v>20</v>
      </c>
      <c r="J815" s="10">
        <v>51</v>
      </c>
      <c r="K815" s="10">
        <v>487</v>
      </c>
      <c r="L815" s="10">
        <v>3</v>
      </c>
      <c r="M815" s="10" t="s">
        <v>27</v>
      </c>
      <c r="N815" s="10">
        <v>86.3</v>
      </c>
      <c r="O815" s="10">
        <v>238</v>
      </c>
      <c r="P815" s="10">
        <v>1</v>
      </c>
      <c r="Q815" s="10" t="str">
        <f>+IF(Tabla2[[#This Row],[Demand_Forecast]]&lt;= 125,"Low demand",IF(Tabla2[[#This Row],[Demand_Forecast]] &gt;=285,"High demand","Mid demand"))</f>
        <v>Mid demand</v>
      </c>
    </row>
    <row r="816" spans="1:17" x14ac:dyDescent="0.25">
      <c r="A816" s="11">
        <v>45393.193935185183</v>
      </c>
      <c r="B816" s="10" t="s">
        <v>28</v>
      </c>
      <c r="C816" s="10" t="s">
        <v>1664</v>
      </c>
      <c r="D816" s="10" t="s">
        <v>1665</v>
      </c>
      <c r="E816" s="10">
        <v>384</v>
      </c>
      <c r="F816" s="10" t="s">
        <v>25</v>
      </c>
      <c r="G816" s="10">
        <v>24.2</v>
      </c>
      <c r="H816" s="10">
        <v>72.5</v>
      </c>
      <c r="I816" s="10" t="s">
        <v>26</v>
      </c>
      <c r="J816" s="10">
        <v>50</v>
      </c>
      <c r="K816" s="10">
        <v>131</v>
      </c>
      <c r="L816" s="10">
        <v>3</v>
      </c>
      <c r="M816" s="10" t="s">
        <v>27</v>
      </c>
      <c r="N816" s="10">
        <v>80.099999999999994</v>
      </c>
      <c r="O816" s="10">
        <v>141</v>
      </c>
      <c r="P816" s="10">
        <v>1</v>
      </c>
      <c r="Q816" s="10" t="str">
        <f>+IF(Tabla2[[#This Row],[Demand_Forecast]]&lt;= 125,"Low demand",IF(Tabla2[[#This Row],[Demand_Forecast]] &gt;=285,"High demand","Mid demand"))</f>
        <v>Mid demand</v>
      </c>
    </row>
    <row r="817" spans="1:17" x14ac:dyDescent="0.25">
      <c r="A817" s="11">
        <v>45361.258483796293</v>
      </c>
      <c r="B817" s="10" t="s">
        <v>31</v>
      </c>
      <c r="C817" s="10" t="s">
        <v>1666</v>
      </c>
      <c r="D817" s="10" t="s">
        <v>1667</v>
      </c>
      <c r="E817" s="10">
        <v>434</v>
      </c>
      <c r="F817" s="10" t="s">
        <v>34</v>
      </c>
      <c r="G817" s="10">
        <v>22</v>
      </c>
      <c r="H817" s="10">
        <v>69.2</v>
      </c>
      <c r="I817" s="10" t="s">
        <v>26</v>
      </c>
      <c r="J817" s="10">
        <v>17</v>
      </c>
      <c r="K817" s="10">
        <v>233</v>
      </c>
      <c r="L817" s="10">
        <v>10</v>
      </c>
      <c r="M817" s="10" t="s">
        <v>21</v>
      </c>
      <c r="N817" s="10">
        <v>63.4</v>
      </c>
      <c r="O817" s="10">
        <v>138</v>
      </c>
      <c r="P817" s="10">
        <v>1</v>
      </c>
      <c r="Q817" s="10" t="str">
        <f>+IF(Tabla2[[#This Row],[Demand_Forecast]]&lt;= 125,"Low demand",IF(Tabla2[[#This Row],[Demand_Forecast]] &gt;=285,"High demand","Mid demand"))</f>
        <v>Mid demand</v>
      </c>
    </row>
    <row r="818" spans="1:17" x14ac:dyDescent="0.25">
      <c r="A818" s="11">
        <v>45654.448645833334</v>
      </c>
      <c r="B818" s="10" t="s">
        <v>28</v>
      </c>
      <c r="C818" s="10" t="s">
        <v>1668</v>
      </c>
      <c r="D818" s="10" t="s">
        <v>1669</v>
      </c>
      <c r="E818" s="10">
        <v>366</v>
      </c>
      <c r="F818" s="10" t="s">
        <v>19</v>
      </c>
      <c r="G818" s="10">
        <v>18.7</v>
      </c>
      <c r="H818" s="10">
        <v>59.1</v>
      </c>
      <c r="I818" s="10" t="s">
        <v>20</v>
      </c>
      <c r="J818" s="10">
        <v>39</v>
      </c>
      <c r="K818" s="10">
        <v>466</v>
      </c>
      <c r="L818" s="10">
        <v>6</v>
      </c>
      <c r="M818" s="10" t="s">
        <v>35</v>
      </c>
      <c r="N818" s="10">
        <v>82.7</v>
      </c>
      <c r="O818" s="10">
        <v>109</v>
      </c>
      <c r="P818" s="10">
        <v>1</v>
      </c>
      <c r="Q818" s="10" t="str">
        <f>+IF(Tabla2[[#This Row],[Demand_Forecast]]&lt;= 125,"Low demand",IF(Tabla2[[#This Row],[Demand_Forecast]] &gt;=285,"High demand","Mid demand"))</f>
        <v>Low demand</v>
      </c>
    </row>
    <row r="819" spans="1:17" x14ac:dyDescent="0.25">
      <c r="A819" s="11">
        <v>45418.307199074072</v>
      </c>
      <c r="B819" s="10" t="s">
        <v>61</v>
      </c>
      <c r="C819" s="10" t="s">
        <v>1670</v>
      </c>
      <c r="D819" s="10" t="s">
        <v>1671</v>
      </c>
      <c r="E819" s="10">
        <v>269</v>
      </c>
      <c r="F819" s="10" t="s">
        <v>25</v>
      </c>
      <c r="G819" s="10">
        <v>27.7</v>
      </c>
      <c r="H819" s="10">
        <v>57.5</v>
      </c>
      <c r="I819" s="10" t="s">
        <v>20</v>
      </c>
      <c r="J819" s="10">
        <v>54</v>
      </c>
      <c r="K819" s="10">
        <v>288</v>
      </c>
      <c r="L819" s="10">
        <v>6</v>
      </c>
      <c r="M819" s="10" t="s">
        <v>21</v>
      </c>
      <c r="N819" s="10">
        <v>89.8</v>
      </c>
      <c r="O819" s="10">
        <v>116</v>
      </c>
      <c r="P819" s="10">
        <v>0</v>
      </c>
      <c r="Q819" s="10" t="str">
        <f>+IF(Tabla2[[#This Row],[Demand_Forecast]]&lt;= 125,"Low demand",IF(Tabla2[[#This Row],[Demand_Forecast]] &gt;=285,"High demand","Mid demand"))</f>
        <v>Low demand</v>
      </c>
    </row>
    <row r="820" spans="1:17" x14ac:dyDescent="0.25">
      <c r="A820" s="11">
        <v>45308.187106481484</v>
      </c>
      <c r="B820" s="10" t="s">
        <v>95</v>
      </c>
      <c r="C820" s="10" t="s">
        <v>1672</v>
      </c>
      <c r="D820" s="10" t="s">
        <v>1673</v>
      </c>
      <c r="E820" s="10">
        <v>292</v>
      </c>
      <c r="F820" s="10" t="s">
        <v>34</v>
      </c>
      <c r="G820" s="10">
        <v>22.7</v>
      </c>
      <c r="H820" s="10">
        <v>61</v>
      </c>
      <c r="I820" s="10" t="s">
        <v>38</v>
      </c>
      <c r="J820" s="10">
        <v>42</v>
      </c>
      <c r="K820" s="10">
        <v>358</v>
      </c>
      <c r="L820" s="10">
        <v>9</v>
      </c>
      <c r="M820" s="10" t="s">
        <v>51</v>
      </c>
      <c r="N820" s="10">
        <v>77.7</v>
      </c>
      <c r="O820" s="10">
        <v>256</v>
      </c>
      <c r="P820" s="10">
        <v>0</v>
      </c>
      <c r="Q820" s="10" t="str">
        <f>+IF(Tabla2[[#This Row],[Demand_Forecast]]&lt;= 125,"Low demand",IF(Tabla2[[#This Row],[Demand_Forecast]] &gt;=285,"High demand","Mid demand"))</f>
        <v>Mid demand</v>
      </c>
    </row>
    <row r="821" spans="1:17" x14ac:dyDescent="0.25">
      <c r="A821" s="11">
        <v>45563.07068287037</v>
      </c>
      <c r="B821" s="10" t="s">
        <v>22</v>
      </c>
      <c r="C821" s="10" t="s">
        <v>1674</v>
      </c>
      <c r="D821" s="10" t="s">
        <v>1675</v>
      </c>
      <c r="E821" s="10">
        <v>288</v>
      </c>
      <c r="F821" s="10" t="s">
        <v>34</v>
      </c>
      <c r="G821" s="10">
        <v>25.4</v>
      </c>
      <c r="H821" s="10">
        <v>62</v>
      </c>
      <c r="I821" s="10" t="s">
        <v>38</v>
      </c>
      <c r="J821" s="10">
        <v>54</v>
      </c>
      <c r="K821" s="10">
        <v>154</v>
      </c>
      <c r="L821" s="10">
        <v>2</v>
      </c>
      <c r="M821" s="10" t="s">
        <v>35</v>
      </c>
      <c r="N821" s="10">
        <v>71.900000000000006</v>
      </c>
      <c r="O821" s="10">
        <v>211</v>
      </c>
      <c r="P821" s="10">
        <v>0</v>
      </c>
      <c r="Q821" s="10" t="str">
        <f>+IF(Tabla2[[#This Row],[Demand_Forecast]]&lt;= 125,"Low demand",IF(Tabla2[[#This Row],[Demand_Forecast]] &gt;=285,"High demand","Mid demand"))</f>
        <v>Mid demand</v>
      </c>
    </row>
    <row r="822" spans="1:17" x14ac:dyDescent="0.25">
      <c r="A822" s="11">
        <v>45357.110949074071</v>
      </c>
      <c r="B822" s="10" t="s">
        <v>56</v>
      </c>
      <c r="C822" s="10" t="s">
        <v>1676</v>
      </c>
      <c r="D822" s="10" t="s">
        <v>1677</v>
      </c>
      <c r="E822" s="10">
        <v>286</v>
      </c>
      <c r="F822" s="10" t="s">
        <v>34</v>
      </c>
      <c r="G822" s="10">
        <v>20.7</v>
      </c>
      <c r="H822" s="10">
        <v>59</v>
      </c>
      <c r="I822" s="10" t="s">
        <v>26</v>
      </c>
      <c r="J822" s="10">
        <v>43</v>
      </c>
      <c r="K822" s="10">
        <v>387</v>
      </c>
      <c r="L822" s="10">
        <v>4</v>
      </c>
      <c r="M822" s="10" t="s">
        <v>35</v>
      </c>
      <c r="N822" s="10">
        <v>60.7</v>
      </c>
      <c r="O822" s="10">
        <v>134</v>
      </c>
      <c r="P822" s="10">
        <v>1</v>
      </c>
      <c r="Q822" s="10" t="str">
        <f>+IF(Tabla2[[#This Row],[Demand_Forecast]]&lt;= 125,"Low demand",IF(Tabla2[[#This Row],[Demand_Forecast]] &gt;=285,"High demand","Mid demand"))</f>
        <v>Mid demand</v>
      </c>
    </row>
    <row r="823" spans="1:17" x14ac:dyDescent="0.25">
      <c r="A823" s="11">
        <v>45520.246979166666</v>
      </c>
      <c r="B823" s="10" t="s">
        <v>16</v>
      </c>
      <c r="C823" s="10" t="s">
        <v>1678</v>
      </c>
      <c r="D823" s="10" t="s">
        <v>1679</v>
      </c>
      <c r="E823" s="10">
        <v>155</v>
      </c>
      <c r="F823" s="10" t="s">
        <v>19</v>
      </c>
      <c r="G823" s="10">
        <v>24</v>
      </c>
      <c r="H823" s="10">
        <v>72.400000000000006</v>
      </c>
      <c r="I823" s="10" t="s">
        <v>20</v>
      </c>
      <c r="J823" s="10">
        <v>28</v>
      </c>
      <c r="K823" s="10">
        <v>398</v>
      </c>
      <c r="L823" s="10">
        <v>6</v>
      </c>
      <c r="M823" s="10" t="s">
        <v>35</v>
      </c>
      <c r="N823" s="10">
        <v>63.8</v>
      </c>
      <c r="O823" s="10">
        <v>278</v>
      </c>
      <c r="P823" s="10">
        <v>1</v>
      </c>
      <c r="Q823" s="10" t="str">
        <f>+IF(Tabla2[[#This Row],[Demand_Forecast]]&lt;= 125,"Low demand",IF(Tabla2[[#This Row],[Demand_Forecast]] &gt;=285,"High demand","Mid demand"))</f>
        <v>Mid demand</v>
      </c>
    </row>
    <row r="824" spans="1:17" x14ac:dyDescent="0.25">
      <c r="A824" s="11">
        <v>45511.402696759258</v>
      </c>
      <c r="B824" s="10" t="s">
        <v>56</v>
      </c>
      <c r="C824" s="10" t="s">
        <v>1680</v>
      </c>
      <c r="D824" s="10" t="s">
        <v>1681</v>
      </c>
      <c r="E824" s="10">
        <v>488</v>
      </c>
      <c r="F824" s="10" t="s">
        <v>34</v>
      </c>
      <c r="G824" s="10">
        <v>26.5</v>
      </c>
      <c r="H824" s="10">
        <v>66.599999999999994</v>
      </c>
      <c r="I824" s="10" t="s">
        <v>26</v>
      </c>
      <c r="J824" s="10">
        <v>41</v>
      </c>
      <c r="K824" s="10">
        <v>104</v>
      </c>
      <c r="L824" s="10">
        <v>1</v>
      </c>
      <c r="M824" s="10" t="s">
        <v>51</v>
      </c>
      <c r="N824" s="10">
        <v>67.099999999999994</v>
      </c>
      <c r="O824" s="10">
        <v>151</v>
      </c>
      <c r="P824" s="10">
        <v>1</v>
      </c>
      <c r="Q824" s="10" t="str">
        <f>+IF(Tabla2[[#This Row],[Demand_Forecast]]&lt;= 125,"Low demand",IF(Tabla2[[#This Row],[Demand_Forecast]] &gt;=285,"High demand","Mid demand"))</f>
        <v>Mid demand</v>
      </c>
    </row>
    <row r="825" spans="1:17" x14ac:dyDescent="0.25">
      <c r="A825" s="11">
        <v>45412.858587962961</v>
      </c>
      <c r="B825" s="10" t="s">
        <v>56</v>
      </c>
      <c r="C825" s="10" t="s">
        <v>1682</v>
      </c>
      <c r="D825" s="10" t="s">
        <v>1683</v>
      </c>
      <c r="E825" s="10">
        <v>386</v>
      </c>
      <c r="F825" s="10" t="s">
        <v>25</v>
      </c>
      <c r="G825" s="10">
        <v>21.8</v>
      </c>
      <c r="H825" s="10">
        <v>79.7</v>
      </c>
      <c r="I825" s="10" t="s">
        <v>20</v>
      </c>
      <c r="J825" s="10">
        <v>15</v>
      </c>
      <c r="K825" s="10">
        <v>463</v>
      </c>
      <c r="L825" s="10">
        <v>1</v>
      </c>
      <c r="M825" s="10" t="s">
        <v>35</v>
      </c>
      <c r="N825" s="10">
        <v>75</v>
      </c>
      <c r="O825" s="10">
        <v>224</v>
      </c>
      <c r="P825" s="10">
        <v>0</v>
      </c>
      <c r="Q825" s="10" t="str">
        <f>+IF(Tabla2[[#This Row],[Demand_Forecast]]&lt;= 125,"Low demand",IF(Tabla2[[#This Row],[Demand_Forecast]] &gt;=285,"High demand","Mid demand"))</f>
        <v>Mid demand</v>
      </c>
    </row>
    <row r="826" spans="1:17" x14ac:dyDescent="0.25">
      <c r="A826" s="11">
        <v>45476.527002314811</v>
      </c>
      <c r="B826" s="10" t="s">
        <v>61</v>
      </c>
      <c r="C826" s="10" t="s">
        <v>1684</v>
      </c>
      <c r="D826" s="10" t="s">
        <v>1685</v>
      </c>
      <c r="E826" s="10">
        <v>153</v>
      </c>
      <c r="F826" s="10" t="s">
        <v>34</v>
      </c>
      <c r="G826" s="10">
        <v>20.7</v>
      </c>
      <c r="H826" s="10">
        <v>55.3</v>
      </c>
      <c r="I826" s="10" t="s">
        <v>20</v>
      </c>
      <c r="J826" s="10">
        <v>55</v>
      </c>
      <c r="K826" s="10">
        <v>304</v>
      </c>
      <c r="L826" s="10">
        <v>8</v>
      </c>
      <c r="M826" s="10" t="s">
        <v>21</v>
      </c>
      <c r="N826" s="10">
        <v>79.5</v>
      </c>
      <c r="O826" s="10">
        <v>147</v>
      </c>
      <c r="P826" s="10">
        <v>0</v>
      </c>
      <c r="Q826" s="10" t="str">
        <f>+IF(Tabla2[[#This Row],[Demand_Forecast]]&lt;= 125,"Low demand",IF(Tabla2[[#This Row],[Demand_Forecast]] &gt;=285,"High demand","Mid demand"))</f>
        <v>Mid demand</v>
      </c>
    </row>
    <row r="827" spans="1:17" x14ac:dyDescent="0.25">
      <c r="A827" s="11">
        <v>45409.384039351855</v>
      </c>
      <c r="B827" s="10" t="s">
        <v>64</v>
      </c>
      <c r="C827" s="10" t="s">
        <v>1686</v>
      </c>
      <c r="D827" s="10" t="s">
        <v>1687</v>
      </c>
      <c r="E827" s="10">
        <v>317</v>
      </c>
      <c r="F827" s="10" t="s">
        <v>19</v>
      </c>
      <c r="G827" s="10">
        <v>26.5</v>
      </c>
      <c r="H827" s="10">
        <v>52.7</v>
      </c>
      <c r="I827" s="10" t="s">
        <v>26</v>
      </c>
      <c r="J827" s="10">
        <v>37</v>
      </c>
      <c r="K827" s="10">
        <v>427</v>
      </c>
      <c r="L827" s="10">
        <v>2</v>
      </c>
      <c r="M827" s="10" t="s">
        <v>35</v>
      </c>
      <c r="N827" s="10">
        <v>69.900000000000006</v>
      </c>
      <c r="O827" s="10">
        <v>233</v>
      </c>
      <c r="P827" s="10">
        <v>1</v>
      </c>
      <c r="Q827" s="10" t="str">
        <f>+IF(Tabla2[[#This Row],[Demand_Forecast]]&lt;= 125,"Low demand",IF(Tabla2[[#This Row],[Demand_Forecast]] &gt;=285,"High demand","Mid demand"))</f>
        <v>Mid demand</v>
      </c>
    </row>
    <row r="828" spans="1:17" x14ac:dyDescent="0.25">
      <c r="A828" s="11">
        <v>45637.682071759256</v>
      </c>
      <c r="B828" s="10" t="s">
        <v>64</v>
      </c>
      <c r="C828" s="10" t="s">
        <v>1688</v>
      </c>
      <c r="D828" s="10" t="s">
        <v>1689</v>
      </c>
      <c r="E828" s="10">
        <v>281</v>
      </c>
      <c r="F828" s="10" t="s">
        <v>25</v>
      </c>
      <c r="G828" s="10">
        <v>28</v>
      </c>
      <c r="H828" s="10">
        <v>73.5</v>
      </c>
      <c r="I828" s="10" t="s">
        <v>20</v>
      </c>
      <c r="J828" s="10">
        <v>43</v>
      </c>
      <c r="K828" s="10">
        <v>390</v>
      </c>
      <c r="L828" s="10">
        <v>5</v>
      </c>
      <c r="M828" s="10" t="s">
        <v>51</v>
      </c>
      <c r="N828" s="10">
        <v>86.4</v>
      </c>
      <c r="O828" s="10">
        <v>153</v>
      </c>
      <c r="P828" s="10">
        <v>0</v>
      </c>
      <c r="Q828" s="10" t="str">
        <f>+IF(Tabla2[[#This Row],[Demand_Forecast]]&lt;= 125,"Low demand",IF(Tabla2[[#This Row],[Demand_Forecast]] &gt;=285,"High demand","Mid demand"))</f>
        <v>Mid demand</v>
      </c>
    </row>
    <row r="829" spans="1:17" x14ac:dyDescent="0.25">
      <c r="A829" s="11">
        <v>45412.813715277778</v>
      </c>
      <c r="B829" s="10" t="s">
        <v>56</v>
      </c>
      <c r="C829" s="10" t="s">
        <v>1690</v>
      </c>
      <c r="D829" s="10" t="s">
        <v>1691</v>
      </c>
      <c r="E829" s="10">
        <v>473</v>
      </c>
      <c r="F829" s="10" t="s">
        <v>19</v>
      </c>
      <c r="G829" s="10">
        <v>24.8</v>
      </c>
      <c r="H829" s="10">
        <v>61.7</v>
      </c>
      <c r="I829" s="10" t="s">
        <v>26</v>
      </c>
      <c r="J829" s="10">
        <v>19</v>
      </c>
      <c r="K829" s="10">
        <v>360</v>
      </c>
      <c r="L829" s="10">
        <v>10</v>
      </c>
      <c r="M829" s="10" t="s">
        <v>27</v>
      </c>
      <c r="N829" s="10">
        <v>97.3</v>
      </c>
      <c r="O829" s="10">
        <v>186</v>
      </c>
      <c r="P829" s="10">
        <v>1</v>
      </c>
      <c r="Q829" s="10" t="str">
        <f>+IF(Tabla2[[#This Row],[Demand_Forecast]]&lt;= 125,"Low demand",IF(Tabla2[[#This Row],[Demand_Forecast]] &gt;=285,"High demand","Mid demand"))</f>
        <v>Mid demand</v>
      </c>
    </row>
    <row r="830" spans="1:17" x14ac:dyDescent="0.25">
      <c r="A830" s="11">
        <v>45377.653368055559</v>
      </c>
      <c r="B830" s="10" t="s">
        <v>16</v>
      </c>
      <c r="C830" s="10" t="s">
        <v>1692</v>
      </c>
      <c r="D830" s="10" t="s">
        <v>1693</v>
      </c>
      <c r="E830" s="10">
        <v>221</v>
      </c>
      <c r="F830" s="10" t="s">
        <v>34</v>
      </c>
      <c r="G830" s="10">
        <v>25.2</v>
      </c>
      <c r="H830" s="10">
        <v>68.5</v>
      </c>
      <c r="I830" s="10" t="s">
        <v>20</v>
      </c>
      <c r="J830" s="10">
        <v>41</v>
      </c>
      <c r="K830" s="10">
        <v>101</v>
      </c>
      <c r="L830" s="10">
        <v>9</v>
      </c>
      <c r="M830" s="10" t="s">
        <v>21</v>
      </c>
      <c r="N830" s="10">
        <v>99.3</v>
      </c>
      <c r="O830" s="10">
        <v>287</v>
      </c>
      <c r="P830" s="10">
        <v>0</v>
      </c>
      <c r="Q830" s="10" t="str">
        <f>+IF(Tabla2[[#This Row],[Demand_Forecast]]&lt;= 125,"Low demand",IF(Tabla2[[#This Row],[Demand_Forecast]] &gt;=285,"High demand","Mid demand"))</f>
        <v>High demand</v>
      </c>
    </row>
    <row r="831" spans="1:17" x14ac:dyDescent="0.25">
      <c r="A831" s="11">
        <v>45341.975034722222</v>
      </c>
      <c r="B831" s="10" t="s">
        <v>48</v>
      </c>
      <c r="C831" s="10" t="s">
        <v>1694</v>
      </c>
      <c r="D831" s="10" t="s">
        <v>1695</v>
      </c>
      <c r="E831" s="10">
        <v>276</v>
      </c>
      <c r="F831" s="10" t="s">
        <v>25</v>
      </c>
      <c r="G831" s="10">
        <v>29.2</v>
      </c>
      <c r="H831" s="10">
        <v>77.099999999999994</v>
      </c>
      <c r="I831" s="10" t="s">
        <v>38</v>
      </c>
      <c r="J831" s="10">
        <v>39</v>
      </c>
      <c r="K831" s="10">
        <v>483</v>
      </c>
      <c r="L831" s="10">
        <v>7</v>
      </c>
      <c r="M831" s="10" t="s">
        <v>21</v>
      </c>
      <c r="N831" s="10">
        <v>71.5</v>
      </c>
      <c r="O831" s="10">
        <v>157</v>
      </c>
      <c r="P831" s="10">
        <v>0</v>
      </c>
      <c r="Q831" s="10" t="str">
        <f>+IF(Tabla2[[#This Row],[Demand_Forecast]]&lt;= 125,"Low demand",IF(Tabla2[[#This Row],[Demand_Forecast]] &gt;=285,"High demand","Mid demand"))</f>
        <v>Mid demand</v>
      </c>
    </row>
    <row r="832" spans="1:17" x14ac:dyDescent="0.25">
      <c r="A832" s="11">
        <v>45550.047476851854</v>
      </c>
      <c r="B832" s="10" t="s">
        <v>64</v>
      </c>
      <c r="C832" s="10" t="s">
        <v>1696</v>
      </c>
      <c r="D832" s="10" t="s">
        <v>1697</v>
      </c>
      <c r="E832" s="10">
        <v>331</v>
      </c>
      <c r="F832" s="10" t="s">
        <v>34</v>
      </c>
      <c r="G832" s="10">
        <v>21.6</v>
      </c>
      <c r="H832" s="10">
        <v>61.2</v>
      </c>
      <c r="I832" s="10" t="s">
        <v>26</v>
      </c>
      <c r="J832" s="10">
        <v>24</v>
      </c>
      <c r="K832" s="10">
        <v>450</v>
      </c>
      <c r="L832" s="10">
        <v>8</v>
      </c>
      <c r="M832" s="10" t="s">
        <v>35</v>
      </c>
      <c r="N832" s="10">
        <v>64.400000000000006</v>
      </c>
      <c r="O832" s="10">
        <v>123</v>
      </c>
      <c r="P832" s="10">
        <v>1</v>
      </c>
      <c r="Q832" s="10" t="str">
        <f>+IF(Tabla2[[#This Row],[Demand_Forecast]]&lt;= 125,"Low demand",IF(Tabla2[[#This Row],[Demand_Forecast]] &gt;=285,"High demand","Mid demand"))</f>
        <v>Low demand</v>
      </c>
    </row>
    <row r="833" spans="1:17" x14ac:dyDescent="0.25">
      <c r="A833" s="11">
        <v>45419.53465277778</v>
      </c>
      <c r="B833" s="10" t="s">
        <v>48</v>
      </c>
      <c r="C833" s="10" t="s">
        <v>1698</v>
      </c>
      <c r="D833" s="10" t="s">
        <v>1699</v>
      </c>
      <c r="E833" s="10">
        <v>249</v>
      </c>
      <c r="F833" s="10" t="s">
        <v>34</v>
      </c>
      <c r="G833" s="10">
        <v>24.3</v>
      </c>
      <c r="H833" s="10">
        <v>78.8</v>
      </c>
      <c r="I833" s="10" t="s">
        <v>26</v>
      </c>
      <c r="J833" s="10">
        <v>13</v>
      </c>
      <c r="K833" s="10">
        <v>125</v>
      </c>
      <c r="L833" s="10">
        <v>2</v>
      </c>
      <c r="M833" s="10" t="s">
        <v>51</v>
      </c>
      <c r="N833" s="10">
        <v>78.7</v>
      </c>
      <c r="O833" s="10">
        <v>165</v>
      </c>
      <c r="P833" s="10">
        <v>1</v>
      </c>
      <c r="Q833" s="10" t="str">
        <f>+IF(Tabla2[[#This Row],[Demand_Forecast]]&lt;= 125,"Low demand",IF(Tabla2[[#This Row],[Demand_Forecast]] &gt;=285,"High demand","Mid demand"))</f>
        <v>Mid demand</v>
      </c>
    </row>
    <row r="834" spans="1:17" x14ac:dyDescent="0.25">
      <c r="A834" s="11">
        <v>45473.202048611114</v>
      </c>
      <c r="B834" s="10" t="s">
        <v>95</v>
      </c>
      <c r="C834" s="10" t="s">
        <v>1700</v>
      </c>
      <c r="D834" s="10" t="s">
        <v>1701</v>
      </c>
      <c r="E834" s="10">
        <v>379</v>
      </c>
      <c r="F834" s="10" t="s">
        <v>19</v>
      </c>
      <c r="G834" s="10">
        <v>23.8</v>
      </c>
      <c r="H834" s="10">
        <v>78.8</v>
      </c>
      <c r="I834" s="10" t="s">
        <v>20</v>
      </c>
      <c r="J834" s="10">
        <v>22</v>
      </c>
      <c r="K834" s="10">
        <v>361</v>
      </c>
      <c r="L834" s="10">
        <v>5</v>
      </c>
      <c r="M834" s="10" t="s">
        <v>27</v>
      </c>
      <c r="N834" s="10">
        <v>89.3</v>
      </c>
      <c r="O834" s="10">
        <v>112</v>
      </c>
      <c r="P834" s="10">
        <v>1</v>
      </c>
      <c r="Q834" s="10" t="str">
        <f>+IF(Tabla2[[#This Row],[Demand_Forecast]]&lt;= 125,"Low demand",IF(Tabla2[[#This Row],[Demand_Forecast]] &gt;=285,"High demand","Mid demand"))</f>
        <v>Low demand</v>
      </c>
    </row>
    <row r="835" spans="1:17" x14ac:dyDescent="0.25">
      <c r="A835" s="11">
        <v>45604.146909722222</v>
      </c>
      <c r="B835" s="10" t="s">
        <v>28</v>
      </c>
      <c r="C835" s="10" t="s">
        <v>1702</v>
      </c>
      <c r="D835" s="10" t="s">
        <v>1703</v>
      </c>
      <c r="E835" s="10">
        <v>489</v>
      </c>
      <c r="F835" s="10" t="s">
        <v>25</v>
      </c>
      <c r="G835" s="10">
        <v>18.399999999999999</v>
      </c>
      <c r="H835" s="10">
        <v>59.9</v>
      </c>
      <c r="I835" s="10" t="s">
        <v>20</v>
      </c>
      <c r="J835" s="10">
        <v>28</v>
      </c>
      <c r="K835" s="10">
        <v>136</v>
      </c>
      <c r="L835" s="10">
        <v>9</v>
      </c>
      <c r="M835" s="10" t="s">
        <v>35</v>
      </c>
      <c r="N835" s="10">
        <v>74.3</v>
      </c>
      <c r="O835" s="10">
        <v>272</v>
      </c>
      <c r="P835" s="10">
        <v>0</v>
      </c>
      <c r="Q835" s="10" t="str">
        <f>+IF(Tabla2[[#This Row],[Demand_Forecast]]&lt;= 125,"Low demand",IF(Tabla2[[#This Row],[Demand_Forecast]] &gt;=285,"High demand","Mid demand"))</f>
        <v>Mid demand</v>
      </c>
    </row>
    <row r="836" spans="1:17" x14ac:dyDescent="0.25">
      <c r="A836" s="11">
        <v>45562.63621527778</v>
      </c>
      <c r="B836" s="10" t="s">
        <v>56</v>
      </c>
      <c r="C836" s="10" t="s">
        <v>1704</v>
      </c>
      <c r="D836" s="10" t="s">
        <v>1705</v>
      </c>
      <c r="E836" s="10">
        <v>211</v>
      </c>
      <c r="F836" s="10" t="s">
        <v>25</v>
      </c>
      <c r="G836" s="10">
        <v>19.8</v>
      </c>
      <c r="H836" s="10">
        <v>52.8</v>
      </c>
      <c r="I836" s="10" t="s">
        <v>26</v>
      </c>
      <c r="J836" s="10">
        <v>23</v>
      </c>
      <c r="K836" s="10">
        <v>423</v>
      </c>
      <c r="L836" s="10">
        <v>1</v>
      </c>
      <c r="M836" s="10" t="s">
        <v>35</v>
      </c>
      <c r="N836" s="10">
        <v>80.599999999999994</v>
      </c>
      <c r="O836" s="10">
        <v>185</v>
      </c>
      <c r="P836" s="10">
        <v>1</v>
      </c>
      <c r="Q836" s="10" t="str">
        <f>+IF(Tabla2[[#This Row],[Demand_Forecast]]&lt;= 125,"Low demand",IF(Tabla2[[#This Row],[Demand_Forecast]] &gt;=285,"High demand","Mid demand"))</f>
        <v>Mid demand</v>
      </c>
    </row>
    <row r="837" spans="1:17" x14ac:dyDescent="0.25">
      <c r="A837" s="11">
        <v>45591.946111111109</v>
      </c>
      <c r="B837" s="10" t="s">
        <v>56</v>
      </c>
      <c r="C837" s="10" t="s">
        <v>1706</v>
      </c>
      <c r="D837" s="10" t="s">
        <v>1707</v>
      </c>
      <c r="E837" s="10">
        <v>454</v>
      </c>
      <c r="F837" s="10" t="s">
        <v>25</v>
      </c>
      <c r="G837" s="10">
        <v>18.899999999999999</v>
      </c>
      <c r="H837" s="10">
        <v>50.9</v>
      </c>
      <c r="I837" s="10" t="s">
        <v>20</v>
      </c>
      <c r="J837" s="10">
        <v>45</v>
      </c>
      <c r="K837" s="10">
        <v>230</v>
      </c>
      <c r="L837" s="10">
        <v>7</v>
      </c>
      <c r="M837" s="10" t="s">
        <v>27</v>
      </c>
      <c r="N837" s="10">
        <v>70.2</v>
      </c>
      <c r="O837" s="10">
        <v>116</v>
      </c>
      <c r="P837" s="10">
        <v>0</v>
      </c>
      <c r="Q837" s="10" t="str">
        <f>+IF(Tabla2[[#This Row],[Demand_Forecast]]&lt;= 125,"Low demand",IF(Tabla2[[#This Row],[Demand_Forecast]] &gt;=285,"High demand","Mid demand"))</f>
        <v>Low demand</v>
      </c>
    </row>
    <row r="838" spans="1:17" x14ac:dyDescent="0.25">
      <c r="A838" s="11">
        <v>45558.618321759262</v>
      </c>
      <c r="B838" s="10" t="s">
        <v>28</v>
      </c>
      <c r="C838" s="10" t="s">
        <v>1708</v>
      </c>
      <c r="D838" s="10" t="s">
        <v>1709</v>
      </c>
      <c r="E838" s="10">
        <v>427</v>
      </c>
      <c r="F838" s="10" t="s">
        <v>25</v>
      </c>
      <c r="G838" s="10">
        <v>23.9</v>
      </c>
      <c r="H838" s="10">
        <v>56.2</v>
      </c>
      <c r="I838" s="10" t="s">
        <v>26</v>
      </c>
      <c r="J838" s="10">
        <v>31</v>
      </c>
      <c r="K838" s="10">
        <v>443</v>
      </c>
      <c r="L838" s="10">
        <v>3</v>
      </c>
      <c r="M838" s="10" t="s">
        <v>21</v>
      </c>
      <c r="N838" s="10">
        <v>89</v>
      </c>
      <c r="O838" s="10">
        <v>148</v>
      </c>
      <c r="P838" s="10">
        <v>1</v>
      </c>
      <c r="Q838" s="10" t="str">
        <f>+IF(Tabla2[[#This Row],[Demand_Forecast]]&lt;= 125,"Low demand",IF(Tabla2[[#This Row],[Demand_Forecast]] &gt;=285,"High demand","Mid demand"))</f>
        <v>Mid demand</v>
      </c>
    </row>
    <row r="839" spans="1:17" x14ac:dyDescent="0.25">
      <c r="A839" s="11">
        <v>45523.346122685187</v>
      </c>
      <c r="B839" s="10" t="s">
        <v>16</v>
      </c>
      <c r="C839" s="10" t="s">
        <v>1710</v>
      </c>
      <c r="D839" s="10" t="s">
        <v>1711</v>
      </c>
      <c r="E839" s="10">
        <v>332</v>
      </c>
      <c r="F839" s="10" t="s">
        <v>25</v>
      </c>
      <c r="G839" s="10">
        <v>24.4</v>
      </c>
      <c r="H839" s="10">
        <v>69.5</v>
      </c>
      <c r="I839" s="10" t="s">
        <v>26</v>
      </c>
      <c r="J839" s="10">
        <v>27</v>
      </c>
      <c r="K839" s="10">
        <v>343</v>
      </c>
      <c r="L839" s="10">
        <v>5</v>
      </c>
      <c r="M839" s="10" t="s">
        <v>35</v>
      </c>
      <c r="N839" s="10">
        <v>87.6</v>
      </c>
      <c r="O839" s="10">
        <v>235</v>
      </c>
      <c r="P839" s="10">
        <v>1</v>
      </c>
      <c r="Q839" s="10" t="str">
        <f>+IF(Tabla2[[#This Row],[Demand_Forecast]]&lt;= 125,"Low demand",IF(Tabla2[[#This Row],[Demand_Forecast]] &gt;=285,"High demand","Mid demand"))</f>
        <v>Mid demand</v>
      </c>
    </row>
    <row r="840" spans="1:17" x14ac:dyDescent="0.25">
      <c r="A840" s="11">
        <v>45585.522766203707</v>
      </c>
      <c r="B840" s="10" t="s">
        <v>95</v>
      </c>
      <c r="C840" s="10" t="s">
        <v>1712</v>
      </c>
      <c r="D840" s="10" t="s">
        <v>1713</v>
      </c>
      <c r="E840" s="10">
        <v>195</v>
      </c>
      <c r="F840" s="10" t="s">
        <v>25</v>
      </c>
      <c r="G840" s="10">
        <v>19.3</v>
      </c>
      <c r="H840" s="10">
        <v>70.599999999999994</v>
      </c>
      <c r="I840" s="10" t="s">
        <v>26</v>
      </c>
      <c r="J840" s="10">
        <v>34</v>
      </c>
      <c r="K840" s="10">
        <v>134</v>
      </c>
      <c r="L840" s="10">
        <v>2</v>
      </c>
      <c r="M840" s="10" t="s">
        <v>35</v>
      </c>
      <c r="N840" s="10">
        <v>98.2</v>
      </c>
      <c r="O840" s="10">
        <v>220</v>
      </c>
      <c r="P840" s="10">
        <v>1</v>
      </c>
      <c r="Q840" s="10" t="str">
        <f>+IF(Tabla2[[#This Row],[Demand_Forecast]]&lt;= 125,"Low demand",IF(Tabla2[[#This Row],[Demand_Forecast]] &gt;=285,"High demand","Mid demand"))</f>
        <v>Mid demand</v>
      </c>
    </row>
    <row r="841" spans="1:17" x14ac:dyDescent="0.25">
      <c r="A841" s="11">
        <v>45500.386342592596</v>
      </c>
      <c r="B841" s="10" t="s">
        <v>31</v>
      </c>
      <c r="C841" s="10" t="s">
        <v>1714</v>
      </c>
      <c r="D841" s="10" t="s">
        <v>1715</v>
      </c>
      <c r="E841" s="10">
        <v>249</v>
      </c>
      <c r="F841" s="10" t="s">
        <v>34</v>
      </c>
      <c r="G841" s="10">
        <v>23.6</v>
      </c>
      <c r="H841" s="10">
        <v>74.3</v>
      </c>
      <c r="I841" s="10" t="s">
        <v>20</v>
      </c>
      <c r="J841" s="10">
        <v>45</v>
      </c>
      <c r="K841" s="10">
        <v>482</v>
      </c>
      <c r="L841" s="10">
        <v>7</v>
      </c>
      <c r="M841" s="10" t="s">
        <v>51</v>
      </c>
      <c r="N841" s="10">
        <v>66.8</v>
      </c>
      <c r="O841" s="10">
        <v>246</v>
      </c>
      <c r="P841" s="10">
        <v>0</v>
      </c>
      <c r="Q841" s="10" t="str">
        <f>+IF(Tabla2[[#This Row],[Demand_Forecast]]&lt;= 125,"Low demand",IF(Tabla2[[#This Row],[Demand_Forecast]] &gt;=285,"High demand","Mid demand"))</f>
        <v>Mid demand</v>
      </c>
    </row>
    <row r="842" spans="1:17" x14ac:dyDescent="0.25">
      <c r="A842" s="11">
        <v>45622.476087962961</v>
      </c>
      <c r="B842" s="10" t="s">
        <v>41</v>
      </c>
      <c r="C842" s="10" t="s">
        <v>375</v>
      </c>
      <c r="D842" s="10" t="s">
        <v>1716</v>
      </c>
      <c r="E842" s="10">
        <v>274</v>
      </c>
      <c r="F842" s="10" t="s">
        <v>19</v>
      </c>
      <c r="G842" s="10">
        <v>22</v>
      </c>
      <c r="H842" s="10">
        <v>51.1</v>
      </c>
      <c r="I842" s="10" t="s">
        <v>26</v>
      </c>
      <c r="J842" s="10">
        <v>38</v>
      </c>
      <c r="K842" s="10">
        <v>175</v>
      </c>
      <c r="L842" s="10">
        <v>4</v>
      </c>
      <c r="M842" s="10" t="s">
        <v>35</v>
      </c>
      <c r="N842" s="10">
        <v>64</v>
      </c>
      <c r="O842" s="10">
        <v>271</v>
      </c>
      <c r="P842" s="10">
        <v>1</v>
      </c>
      <c r="Q842" s="10" t="str">
        <f>+IF(Tabla2[[#This Row],[Demand_Forecast]]&lt;= 125,"Low demand",IF(Tabla2[[#This Row],[Demand_Forecast]] &gt;=285,"High demand","Mid demand"))</f>
        <v>Mid demand</v>
      </c>
    </row>
    <row r="843" spans="1:17" x14ac:dyDescent="0.25">
      <c r="A843" s="11">
        <v>45435.847812499997</v>
      </c>
      <c r="B843" s="10" t="s">
        <v>22</v>
      </c>
      <c r="C843" s="10" t="s">
        <v>1717</v>
      </c>
      <c r="D843" s="10" t="s">
        <v>1718</v>
      </c>
      <c r="E843" s="10">
        <v>272</v>
      </c>
      <c r="F843" s="10" t="s">
        <v>25</v>
      </c>
      <c r="G843" s="10">
        <v>19</v>
      </c>
      <c r="H843" s="10">
        <v>72.099999999999994</v>
      </c>
      <c r="I843" s="10" t="s">
        <v>20</v>
      </c>
      <c r="J843" s="10">
        <v>32</v>
      </c>
      <c r="K843" s="10">
        <v>113</v>
      </c>
      <c r="L843" s="10">
        <v>6</v>
      </c>
      <c r="M843" s="10" t="s">
        <v>21</v>
      </c>
      <c r="N843" s="10">
        <v>94.9</v>
      </c>
      <c r="O843" s="10">
        <v>119</v>
      </c>
      <c r="P843" s="10">
        <v>0</v>
      </c>
      <c r="Q843" s="10" t="str">
        <f>+IF(Tabla2[[#This Row],[Demand_Forecast]]&lt;= 125,"Low demand",IF(Tabla2[[#This Row],[Demand_Forecast]] &gt;=285,"High demand","Mid demand"))</f>
        <v>Low demand</v>
      </c>
    </row>
    <row r="844" spans="1:17" x14ac:dyDescent="0.25">
      <c r="A844" s="11">
        <v>45530.562002314815</v>
      </c>
      <c r="B844" s="10" t="s">
        <v>95</v>
      </c>
      <c r="C844" s="10" t="s">
        <v>1719</v>
      </c>
      <c r="D844" s="10" t="s">
        <v>1720</v>
      </c>
      <c r="E844" s="10">
        <v>214</v>
      </c>
      <c r="F844" s="10" t="s">
        <v>19</v>
      </c>
      <c r="G844" s="10">
        <v>27</v>
      </c>
      <c r="H844" s="10">
        <v>55</v>
      </c>
      <c r="I844" s="10" t="s">
        <v>38</v>
      </c>
      <c r="J844" s="10">
        <v>18</v>
      </c>
      <c r="K844" s="10">
        <v>319</v>
      </c>
      <c r="L844" s="10">
        <v>3</v>
      </c>
      <c r="M844" s="10" t="s">
        <v>51</v>
      </c>
      <c r="N844" s="10">
        <v>67</v>
      </c>
      <c r="O844" s="10">
        <v>127</v>
      </c>
      <c r="P844" s="10">
        <v>1</v>
      </c>
      <c r="Q844" s="10" t="str">
        <f>+IF(Tabla2[[#This Row],[Demand_Forecast]]&lt;= 125,"Low demand",IF(Tabla2[[#This Row],[Demand_Forecast]] &gt;=285,"High demand","Mid demand"))</f>
        <v>Mid demand</v>
      </c>
    </row>
    <row r="845" spans="1:17" x14ac:dyDescent="0.25">
      <c r="A845" s="11">
        <v>45306.342407407406</v>
      </c>
      <c r="B845" s="10" t="s">
        <v>22</v>
      </c>
      <c r="C845" s="10" t="s">
        <v>1721</v>
      </c>
      <c r="D845" s="10" t="s">
        <v>1722</v>
      </c>
      <c r="E845" s="10">
        <v>487</v>
      </c>
      <c r="F845" s="10" t="s">
        <v>19</v>
      </c>
      <c r="G845" s="10">
        <v>18.7</v>
      </c>
      <c r="H845" s="10">
        <v>62</v>
      </c>
      <c r="I845" s="10" t="s">
        <v>20</v>
      </c>
      <c r="J845" s="10">
        <v>35</v>
      </c>
      <c r="K845" s="10">
        <v>432</v>
      </c>
      <c r="L845" s="10">
        <v>9</v>
      </c>
      <c r="M845" s="10" t="s">
        <v>21</v>
      </c>
      <c r="N845" s="10">
        <v>72.3</v>
      </c>
      <c r="O845" s="10">
        <v>247</v>
      </c>
      <c r="P845" s="10">
        <v>1</v>
      </c>
      <c r="Q845" s="10" t="str">
        <f>+IF(Tabla2[[#This Row],[Demand_Forecast]]&lt;= 125,"Low demand",IF(Tabla2[[#This Row],[Demand_Forecast]] &gt;=285,"High demand","Mid demand"))</f>
        <v>Mid demand</v>
      </c>
    </row>
    <row r="846" spans="1:17" x14ac:dyDescent="0.25">
      <c r="A846" s="11">
        <v>45576.437465277777</v>
      </c>
      <c r="B846" s="10" t="s">
        <v>28</v>
      </c>
      <c r="C846" s="10" t="s">
        <v>1723</v>
      </c>
      <c r="D846" s="10" t="s">
        <v>1724</v>
      </c>
      <c r="E846" s="10">
        <v>420</v>
      </c>
      <c r="F846" s="10" t="s">
        <v>19</v>
      </c>
      <c r="G846" s="10">
        <v>29.9</v>
      </c>
      <c r="H846" s="10">
        <v>64.599999999999994</v>
      </c>
      <c r="I846" s="10" t="s">
        <v>26</v>
      </c>
      <c r="J846" s="10">
        <v>34</v>
      </c>
      <c r="K846" s="10">
        <v>282</v>
      </c>
      <c r="L846" s="10">
        <v>10</v>
      </c>
      <c r="M846" s="10" t="s">
        <v>51</v>
      </c>
      <c r="N846" s="10">
        <v>79.400000000000006</v>
      </c>
      <c r="O846" s="10">
        <v>134</v>
      </c>
      <c r="P846" s="10">
        <v>1</v>
      </c>
      <c r="Q846" s="10" t="str">
        <f>+IF(Tabla2[[#This Row],[Demand_Forecast]]&lt;= 125,"Low demand",IF(Tabla2[[#This Row],[Demand_Forecast]] &gt;=285,"High demand","Mid demand"))</f>
        <v>Mid demand</v>
      </c>
    </row>
    <row r="847" spans="1:17" x14ac:dyDescent="0.25">
      <c r="A847" s="11">
        <v>45429.496504629627</v>
      </c>
      <c r="B847" s="10" t="s">
        <v>64</v>
      </c>
      <c r="C847" s="10" t="s">
        <v>1725</v>
      </c>
      <c r="D847" s="10" t="s">
        <v>1726</v>
      </c>
      <c r="E847" s="10">
        <v>135</v>
      </c>
      <c r="F847" s="10" t="s">
        <v>19</v>
      </c>
      <c r="G847" s="10">
        <v>24.7</v>
      </c>
      <c r="H847" s="10">
        <v>67.099999999999994</v>
      </c>
      <c r="I847" s="10" t="s">
        <v>26</v>
      </c>
      <c r="J847" s="10">
        <v>26</v>
      </c>
      <c r="K847" s="10">
        <v>380</v>
      </c>
      <c r="L847" s="10">
        <v>7</v>
      </c>
      <c r="M847" s="10" t="s">
        <v>35</v>
      </c>
      <c r="N847" s="10">
        <v>64.599999999999994</v>
      </c>
      <c r="O847" s="10">
        <v>109</v>
      </c>
      <c r="P847" s="10">
        <v>1</v>
      </c>
      <c r="Q847" s="10" t="str">
        <f>+IF(Tabla2[[#This Row],[Demand_Forecast]]&lt;= 125,"Low demand",IF(Tabla2[[#This Row],[Demand_Forecast]] &gt;=285,"High demand","Mid demand"))</f>
        <v>Low demand</v>
      </c>
    </row>
    <row r="848" spans="1:17" x14ac:dyDescent="0.25">
      <c r="A848" s="11">
        <v>45520.933125000003</v>
      </c>
      <c r="B848" s="10" t="s">
        <v>95</v>
      </c>
      <c r="C848" s="10" t="s">
        <v>1727</v>
      </c>
      <c r="D848" s="10" t="s">
        <v>1728</v>
      </c>
      <c r="E848" s="10">
        <v>269</v>
      </c>
      <c r="F848" s="10" t="s">
        <v>25</v>
      </c>
      <c r="G848" s="10">
        <v>25.2</v>
      </c>
      <c r="H848" s="10">
        <v>63.5</v>
      </c>
      <c r="I848" s="10" t="s">
        <v>20</v>
      </c>
      <c r="J848" s="10">
        <v>19</v>
      </c>
      <c r="K848" s="10">
        <v>262</v>
      </c>
      <c r="L848" s="10">
        <v>7</v>
      </c>
      <c r="M848" s="10" t="s">
        <v>27</v>
      </c>
      <c r="N848" s="10">
        <v>71.599999999999994</v>
      </c>
      <c r="O848" s="10">
        <v>295</v>
      </c>
      <c r="P848" s="10">
        <v>0</v>
      </c>
      <c r="Q848" s="10" t="str">
        <f>+IF(Tabla2[[#This Row],[Demand_Forecast]]&lt;= 125,"Low demand",IF(Tabla2[[#This Row],[Demand_Forecast]] &gt;=285,"High demand","Mid demand"))</f>
        <v>High demand</v>
      </c>
    </row>
    <row r="849" spans="1:17" x14ac:dyDescent="0.25">
      <c r="A849" s="11">
        <v>45526.375439814816</v>
      </c>
      <c r="B849" s="10" t="s">
        <v>48</v>
      </c>
      <c r="C849" s="10" t="s">
        <v>1729</v>
      </c>
      <c r="D849" s="10" t="s">
        <v>1730</v>
      </c>
      <c r="E849" s="10">
        <v>419</v>
      </c>
      <c r="F849" s="10" t="s">
        <v>34</v>
      </c>
      <c r="G849" s="10">
        <v>21</v>
      </c>
      <c r="H849" s="10">
        <v>74.2</v>
      </c>
      <c r="I849" s="10" t="s">
        <v>38</v>
      </c>
      <c r="J849" s="10">
        <v>29</v>
      </c>
      <c r="K849" s="10">
        <v>386</v>
      </c>
      <c r="L849" s="10">
        <v>9</v>
      </c>
      <c r="M849" s="10" t="s">
        <v>35</v>
      </c>
      <c r="N849" s="10">
        <v>95.1</v>
      </c>
      <c r="O849" s="10">
        <v>186</v>
      </c>
      <c r="P849" s="10">
        <v>0</v>
      </c>
      <c r="Q849" s="10" t="str">
        <f>+IF(Tabla2[[#This Row],[Demand_Forecast]]&lt;= 125,"Low demand",IF(Tabla2[[#This Row],[Demand_Forecast]] &gt;=285,"High demand","Mid demand"))</f>
        <v>Mid demand</v>
      </c>
    </row>
    <row r="850" spans="1:17" x14ac:dyDescent="0.25">
      <c r="A850" s="11">
        <v>45537.69222222222</v>
      </c>
      <c r="B850" s="10" t="s">
        <v>22</v>
      </c>
      <c r="C850" s="10" t="s">
        <v>1731</v>
      </c>
      <c r="D850" s="10" t="s">
        <v>1732</v>
      </c>
      <c r="E850" s="10">
        <v>407</v>
      </c>
      <c r="F850" s="10" t="s">
        <v>34</v>
      </c>
      <c r="G850" s="10">
        <v>23.5</v>
      </c>
      <c r="H850" s="10">
        <v>77.7</v>
      </c>
      <c r="I850" s="10" t="s">
        <v>20</v>
      </c>
      <c r="J850" s="10">
        <v>55</v>
      </c>
      <c r="K850" s="10">
        <v>351</v>
      </c>
      <c r="L850" s="10">
        <v>6</v>
      </c>
      <c r="M850" s="10" t="s">
        <v>21</v>
      </c>
      <c r="N850" s="10">
        <v>68.400000000000006</v>
      </c>
      <c r="O850" s="10">
        <v>168</v>
      </c>
      <c r="P850" s="10">
        <v>0</v>
      </c>
      <c r="Q850" s="10" t="str">
        <f>+IF(Tabla2[[#This Row],[Demand_Forecast]]&lt;= 125,"Low demand",IF(Tabla2[[#This Row],[Demand_Forecast]] &gt;=285,"High demand","Mid demand"))</f>
        <v>Mid demand</v>
      </c>
    </row>
    <row r="851" spans="1:17" x14ac:dyDescent="0.25">
      <c r="A851" s="11">
        <v>45642.502754629626</v>
      </c>
      <c r="B851" s="10" t="s">
        <v>31</v>
      </c>
      <c r="C851" s="10" t="s">
        <v>1733</v>
      </c>
      <c r="D851" s="10" t="s">
        <v>1734</v>
      </c>
      <c r="E851" s="10">
        <v>331</v>
      </c>
      <c r="F851" s="10" t="s">
        <v>25</v>
      </c>
      <c r="G851" s="10">
        <v>24.2</v>
      </c>
      <c r="H851" s="10">
        <v>74</v>
      </c>
      <c r="I851" s="10" t="s">
        <v>20</v>
      </c>
      <c r="J851" s="10">
        <v>60</v>
      </c>
      <c r="K851" s="10">
        <v>225</v>
      </c>
      <c r="L851" s="10">
        <v>8</v>
      </c>
      <c r="M851" s="10" t="s">
        <v>21</v>
      </c>
      <c r="N851" s="10">
        <v>61</v>
      </c>
      <c r="O851" s="10">
        <v>142</v>
      </c>
      <c r="P851" s="10">
        <v>0</v>
      </c>
      <c r="Q851" s="10" t="str">
        <f>+IF(Tabla2[[#This Row],[Demand_Forecast]]&lt;= 125,"Low demand",IF(Tabla2[[#This Row],[Demand_Forecast]] &gt;=285,"High demand","Mid demand"))</f>
        <v>Mid demand</v>
      </c>
    </row>
    <row r="852" spans="1:17" x14ac:dyDescent="0.25">
      <c r="A852" s="11">
        <v>45349.665706018517</v>
      </c>
      <c r="B852" s="10" t="s">
        <v>95</v>
      </c>
      <c r="C852" s="10" t="s">
        <v>1735</v>
      </c>
      <c r="D852" s="10" t="s">
        <v>1736</v>
      </c>
      <c r="E852" s="10">
        <v>444</v>
      </c>
      <c r="F852" s="10" t="s">
        <v>25</v>
      </c>
      <c r="G852" s="10">
        <v>20.8</v>
      </c>
      <c r="H852" s="10">
        <v>63.9</v>
      </c>
      <c r="I852" s="10" t="s">
        <v>26</v>
      </c>
      <c r="J852" s="10">
        <v>38</v>
      </c>
      <c r="K852" s="10">
        <v>203</v>
      </c>
      <c r="L852" s="10">
        <v>1</v>
      </c>
      <c r="M852" s="10" t="s">
        <v>27</v>
      </c>
      <c r="N852" s="10">
        <v>73.7</v>
      </c>
      <c r="O852" s="10">
        <v>201</v>
      </c>
      <c r="P852" s="10">
        <v>1</v>
      </c>
      <c r="Q852" s="10" t="str">
        <f>+IF(Tabla2[[#This Row],[Demand_Forecast]]&lt;= 125,"Low demand",IF(Tabla2[[#This Row],[Demand_Forecast]] &gt;=285,"High demand","Mid demand"))</f>
        <v>Mid demand</v>
      </c>
    </row>
    <row r="853" spans="1:17" x14ac:dyDescent="0.25">
      <c r="A853" s="11">
        <v>45581.519317129627</v>
      </c>
      <c r="B853" s="10" t="s">
        <v>95</v>
      </c>
      <c r="C853" s="10" t="s">
        <v>1737</v>
      </c>
      <c r="D853" s="10" t="s">
        <v>1738</v>
      </c>
      <c r="E853" s="10">
        <v>319</v>
      </c>
      <c r="F853" s="10" t="s">
        <v>25</v>
      </c>
      <c r="G853" s="10">
        <v>29.1</v>
      </c>
      <c r="H853" s="10">
        <v>61.3</v>
      </c>
      <c r="I853" s="10" t="s">
        <v>20</v>
      </c>
      <c r="J853" s="10">
        <v>24</v>
      </c>
      <c r="K853" s="10">
        <v>392</v>
      </c>
      <c r="L853" s="10">
        <v>7</v>
      </c>
      <c r="M853" s="10" t="s">
        <v>21</v>
      </c>
      <c r="N853" s="10">
        <v>72.8</v>
      </c>
      <c r="O853" s="10">
        <v>123</v>
      </c>
      <c r="P853" s="10">
        <v>0</v>
      </c>
      <c r="Q853" s="10" t="str">
        <f>+IF(Tabla2[[#This Row],[Demand_Forecast]]&lt;= 125,"Low demand",IF(Tabla2[[#This Row],[Demand_Forecast]] &gt;=285,"High demand","Mid demand"))</f>
        <v>Low demand</v>
      </c>
    </row>
    <row r="854" spans="1:17" x14ac:dyDescent="0.25">
      <c r="A854" s="11">
        <v>45409.50204861111</v>
      </c>
      <c r="B854" s="10" t="s">
        <v>28</v>
      </c>
      <c r="C854" s="10" t="s">
        <v>1739</v>
      </c>
      <c r="D854" s="10" t="s">
        <v>1740</v>
      </c>
      <c r="E854" s="10">
        <v>402</v>
      </c>
      <c r="F854" s="10" t="s">
        <v>34</v>
      </c>
      <c r="G854" s="10">
        <v>21</v>
      </c>
      <c r="H854" s="10">
        <v>66.3</v>
      </c>
      <c r="I854" s="10" t="s">
        <v>38</v>
      </c>
      <c r="J854" s="10">
        <v>52</v>
      </c>
      <c r="K854" s="10">
        <v>306</v>
      </c>
      <c r="L854" s="10">
        <v>10</v>
      </c>
      <c r="M854" s="10" t="s">
        <v>27</v>
      </c>
      <c r="N854" s="10">
        <v>70.099999999999994</v>
      </c>
      <c r="O854" s="10">
        <v>251</v>
      </c>
      <c r="P854" s="10">
        <v>0</v>
      </c>
      <c r="Q854" s="10" t="str">
        <f>+IF(Tabla2[[#This Row],[Demand_Forecast]]&lt;= 125,"Low demand",IF(Tabla2[[#This Row],[Demand_Forecast]] &gt;=285,"High demand","Mid demand"))</f>
        <v>Mid demand</v>
      </c>
    </row>
    <row r="855" spans="1:17" x14ac:dyDescent="0.25">
      <c r="A855" s="11">
        <v>45511.350740740738</v>
      </c>
      <c r="B855" s="10" t="s">
        <v>28</v>
      </c>
      <c r="C855" s="10" t="s">
        <v>1741</v>
      </c>
      <c r="D855" s="10" t="s">
        <v>1742</v>
      </c>
      <c r="E855" s="10">
        <v>269</v>
      </c>
      <c r="F855" s="10" t="s">
        <v>19</v>
      </c>
      <c r="G855" s="10">
        <v>19</v>
      </c>
      <c r="H855" s="10">
        <v>73.599999999999994</v>
      </c>
      <c r="I855" s="10" t="s">
        <v>38</v>
      </c>
      <c r="J855" s="10">
        <v>50</v>
      </c>
      <c r="K855" s="10">
        <v>307</v>
      </c>
      <c r="L855" s="10">
        <v>3</v>
      </c>
      <c r="M855" s="10" t="s">
        <v>51</v>
      </c>
      <c r="N855" s="10">
        <v>68.099999999999994</v>
      </c>
      <c r="O855" s="10">
        <v>102</v>
      </c>
      <c r="P855" s="10">
        <v>1</v>
      </c>
      <c r="Q855" s="10" t="str">
        <f>+IF(Tabla2[[#This Row],[Demand_Forecast]]&lt;= 125,"Low demand",IF(Tabla2[[#This Row],[Demand_Forecast]] &gt;=285,"High demand","Mid demand"))</f>
        <v>Low demand</v>
      </c>
    </row>
    <row r="856" spans="1:17" x14ac:dyDescent="0.25">
      <c r="A856" s="11">
        <v>45496.966041666667</v>
      </c>
      <c r="B856" s="10" t="s">
        <v>28</v>
      </c>
      <c r="C856" s="10" t="s">
        <v>1743</v>
      </c>
      <c r="D856" s="10" t="s">
        <v>1744</v>
      </c>
      <c r="E856" s="10">
        <v>318</v>
      </c>
      <c r="F856" s="10" t="s">
        <v>25</v>
      </c>
      <c r="G856" s="10">
        <v>22.5</v>
      </c>
      <c r="H856" s="10">
        <v>59.3</v>
      </c>
      <c r="I856" s="10" t="s">
        <v>26</v>
      </c>
      <c r="J856" s="10">
        <v>18</v>
      </c>
      <c r="K856" s="10">
        <v>331</v>
      </c>
      <c r="L856" s="10">
        <v>9</v>
      </c>
      <c r="M856" s="10" t="s">
        <v>21</v>
      </c>
      <c r="N856" s="10">
        <v>97.3</v>
      </c>
      <c r="O856" s="10">
        <v>273</v>
      </c>
      <c r="P856" s="10">
        <v>1</v>
      </c>
      <c r="Q856" s="10" t="str">
        <f>+IF(Tabla2[[#This Row],[Demand_Forecast]]&lt;= 125,"Low demand",IF(Tabla2[[#This Row],[Demand_Forecast]] &gt;=285,"High demand","Mid demand"))</f>
        <v>Mid demand</v>
      </c>
    </row>
    <row r="857" spans="1:17" x14ac:dyDescent="0.25">
      <c r="A857" s="11">
        <v>45558.105462962965</v>
      </c>
      <c r="B857" s="10" t="s">
        <v>61</v>
      </c>
      <c r="C857" s="10" t="s">
        <v>1745</v>
      </c>
      <c r="D857" s="10" t="s">
        <v>1746</v>
      </c>
      <c r="E857" s="10">
        <v>388</v>
      </c>
      <c r="F857" s="10" t="s">
        <v>34</v>
      </c>
      <c r="G857" s="10">
        <v>24.6</v>
      </c>
      <c r="H857" s="10">
        <v>74.3</v>
      </c>
      <c r="I857" s="10" t="s">
        <v>20</v>
      </c>
      <c r="J857" s="10">
        <v>29</v>
      </c>
      <c r="K857" s="10">
        <v>461</v>
      </c>
      <c r="L857" s="10">
        <v>1</v>
      </c>
      <c r="M857" s="10" t="s">
        <v>51</v>
      </c>
      <c r="N857" s="10">
        <v>68.099999999999994</v>
      </c>
      <c r="O857" s="10">
        <v>159</v>
      </c>
      <c r="P857" s="10">
        <v>0</v>
      </c>
      <c r="Q857" s="10" t="str">
        <f>+IF(Tabla2[[#This Row],[Demand_Forecast]]&lt;= 125,"Low demand",IF(Tabla2[[#This Row],[Demand_Forecast]] &gt;=285,"High demand","Mid demand"))</f>
        <v>Mid demand</v>
      </c>
    </row>
    <row r="858" spans="1:17" x14ac:dyDescent="0.25">
      <c r="A858" s="11">
        <v>45583.274259259262</v>
      </c>
      <c r="B858" s="10" t="s">
        <v>22</v>
      </c>
      <c r="C858" s="10" t="s">
        <v>1747</v>
      </c>
      <c r="D858" s="10" t="s">
        <v>1748</v>
      </c>
      <c r="E858" s="10">
        <v>166</v>
      </c>
      <c r="F858" s="10" t="s">
        <v>19</v>
      </c>
      <c r="G858" s="10">
        <v>26.9</v>
      </c>
      <c r="H858" s="10">
        <v>58.3</v>
      </c>
      <c r="I858" s="10" t="s">
        <v>38</v>
      </c>
      <c r="J858" s="10">
        <v>29</v>
      </c>
      <c r="K858" s="10">
        <v>283</v>
      </c>
      <c r="L858" s="10">
        <v>3</v>
      </c>
      <c r="M858" s="10" t="s">
        <v>27</v>
      </c>
      <c r="N858" s="10">
        <v>64.099999999999994</v>
      </c>
      <c r="O858" s="10">
        <v>113</v>
      </c>
      <c r="P858" s="10">
        <v>1</v>
      </c>
      <c r="Q858" s="10" t="str">
        <f>+IF(Tabla2[[#This Row],[Demand_Forecast]]&lt;= 125,"Low demand",IF(Tabla2[[#This Row],[Demand_Forecast]] &gt;=285,"High demand","Mid demand"))</f>
        <v>Low demand</v>
      </c>
    </row>
    <row r="859" spans="1:17" x14ac:dyDescent="0.25">
      <c r="A859" s="11">
        <v>45405.33803240741</v>
      </c>
      <c r="B859" s="10" t="s">
        <v>28</v>
      </c>
      <c r="C859" s="10" t="s">
        <v>1749</v>
      </c>
      <c r="D859" s="10" t="s">
        <v>1750</v>
      </c>
      <c r="E859" s="10">
        <v>338</v>
      </c>
      <c r="F859" s="10" t="s">
        <v>34</v>
      </c>
      <c r="G859" s="10">
        <v>28.7</v>
      </c>
      <c r="H859" s="10">
        <v>65.599999999999994</v>
      </c>
      <c r="I859" s="10" t="s">
        <v>26</v>
      </c>
      <c r="J859" s="10">
        <v>45</v>
      </c>
      <c r="K859" s="10">
        <v>348</v>
      </c>
      <c r="L859" s="10">
        <v>8</v>
      </c>
      <c r="M859" s="10" t="s">
        <v>35</v>
      </c>
      <c r="N859" s="10">
        <v>96.1</v>
      </c>
      <c r="O859" s="10">
        <v>230</v>
      </c>
      <c r="P859" s="10">
        <v>1</v>
      </c>
      <c r="Q859" s="10" t="str">
        <f>+IF(Tabla2[[#This Row],[Demand_Forecast]]&lt;= 125,"Low demand",IF(Tabla2[[#This Row],[Demand_Forecast]] &gt;=285,"High demand","Mid demand"))</f>
        <v>Mid demand</v>
      </c>
    </row>
    <row r="860" spans="1:17" x14ac:dyDescent="0.25">
      <c r="A860" s="11">
        <v>45337.819398148145</v>
      </c>
      <c r="B860" s="10" t="s">
        <v>41</v>
      </c>
      <c r="C860" s="10" t="s">
        <v>1751</v>
      </c>
      <c r="D860" s="10" t="s">
        <v>1752</v>
      </c>
      <c r="E860" s="10">
        <v>457</v>
      </c>
      <c r="F860" s="10" t="s">
        <v>25</v>
      </c>
      <c r="G860" s="10">
        <v>18.7</v>
      </c>
      <c r="H860" s="10">
        <v>52.7</v>
      </c>
      <c r="I860" s="10" t="s">
        <v>38</v>
      </c>
      <c r="J860" s="10">
        <v>52</v>
      </c>
      <c r="K860" s="10">
        <v>366</v>
      </c>
      <c r="L860" s="10">
        <v>4</v>
      </c>
      <c r="M860" s="10" t="s">
        <v>21</v>
      </c>
      <c r="N860" s="10">
        <v>93.1</v>
      </c>
      <c r="O860" s="10">
        <v>275</v>
      </c>
      <c r="P860" s="10">
        <v>0</v>
      </c>
      <c r="Q860" s="10" t="str">
        <f>+IF(Tabla2[[#This Row],[Demand_Forecast]]&lt;= 125,"Low demand",IF(Tabla2[[#This Row],[Demand_Forecast]] &gt;=285,"High demand","Mid demand"))</f>
        <v>Mid demand</v>
      </c>
    </row>
    <row r="861" spans="1:17" x14ac:dyDescent="0.25">
      <c r="A861" s="11">
        <v>45460.602731481478</v>
      </c>
      <c r="B861" s="10" t="s">
        <v>22</v>
      </c>
      <c r="C861" s="10" t="s">
        <v>1753</v>
      </c>
      <c r="D861" s="10" t="s">
        <v>1754</v>
      </c>
      <c r="E861" s="10">
        <v>274</v>
      </c>
      <c r="F861" s="10" t="s">
        <v>34</v>
      </c>
      <c r="G861" s="10">
        <v>21.5</v>
      </c>
      <c r="H861" s="10">
        <v>74</v>
      </c>
      <c r="I861" s="10" t="s">
        <v>26</v>
      </c>
      <c r="J861" s="10">
        <v>23</v>
      </c>
      <c r="K861" s="10">
        <v>448</v>
      </c>
      <c r="L861" s="10">
        <v>5</v>
      </c>
      <c r="M861" s="10" t="s">
        <v>51</v>
      </c>
      <c r="N861" s="10">
        <v>74.7</v>
      </c>
      <c r="O861" s="10">
        <v>200</v>
      </c>
      <c r="P861" s="10">
        <v>1</v>
      </c>
      <c r="Q861" s="10" t="str">
        <f>+IF(Tabla2[[#This Row],[Demand_Forecast]]&lt;= 125,"Low demand",IF(Tabla2[[#This Row],[Demand_Forecast]] &gt;=285,"High demand","Mid demand"))</f>
        <v>Mid demand</v>
      </c>
    </row>
    <row r="862" spans="1:17" x14ac:dyDescent="0.25">
      <c r="A862" s="11">
        <v>45492.544965277775</v>
      </c>
      <c r="B862" s="10" t="s">
        <v>16</v>
      </c>
      <c r="C862" s="10" t="s">
        <v>1755</v>
      </c>
      <c r="D862" s="10" t="s">
        <v>1756</v>
      </c>
      <c r="E862" s="10">
        <v>332</v>
      </c>
      <c r="F862" s="10" t="s">
        <v>19</v>
      </c>
      <c r="G862" s="10">
        <v>19.2</v>
      </c>
      <c r="H862" s="10">
        <v>56.9</v>
      </c>
      <c r="I862" s="10" t="s">
        <v>20</v>
      </c>
      <c r="J862" s="10">
        <v>27</v>
      </c>
      <c r="K862" s="10">
        <v>357</v>
      </c>
      <c r="L862" s="10">
        <v>2</v>
      </c>
      <c r="M862" s="10" t="s">
        <v>21</v>
      </c>
      <c r="N862" s="10">
        <v>87.8</v>
      </c>
      <c r="O862" s="10">
        <v>217</v>
      </c>
      <c r="P862" s="10">
        <v>1</v>
      </c>
      <c r="Q862" s="10" t="str">
        <f>+IF(Tabla2[[#This Row],[Demand_Forecast]]&lt;= 125,"Low demand",IF(Tabla2[[#This Row],[Demand_Forecast]] &gt;=285,"High demand","Mid demand"))</f>
        <v>Mid demand</v>
      </c>
    </row>
    <row r="863" spans="1:17" x14ac:dyDescent="0.25">
      <c r="A863" s="11">
        <v>45565.604953703703</v>
      </c>
      <c r="B863" s="10" t="s">
        <v>41</v>
      </c>
      <c r="C863" s="10" t="s">
        <v>1757</v>
      </c>
      <c r="D863" s="10" t="s">
        <v>1758</v>
      </c>
      <c r="E863" s="10">
        <v>388</v>
      </c>
      <c r="F863" s="10" t="s">
        <v>25</v>
      </c>
      <c r="G863" s="10">
        <v>27.4</v>
      </c>
      <c r="H863" s="10">
        <v>50.6</v>
      </c>
      <c r="I863" s="10" t="s">
        <v>20</v>
      </c>
      <c r="J863" s="10">
        <v>58</v>
      </c>
      <c r="K863" s="10">
        <v>401</v>
      </c>
      <c r="L863" s="10">
        <v>5</v>
      </c>
      <c r="M863" s="10" t="s">
        <v>51</v>
      </c>
      <c r="N863" s="10">
        <v>81.400000000000006</v>
      </c>
      <c r="O863" s="10">
        <v>196</v>
      </c>
      <c r="P863" s="10">
        <v>0</v>
      </c>
      <c r="Q863" s="10" t="str">
        <f>+IF(Tabla2[[#This Row],[Demand_Forecast]]&lt;= 125,"Low demand",IF(Tabla2[[#This Row],[Demand_Forecast]] &gt;=285,"High demand","Mid demand"))</f>
        <v>Mid demand</v>
      </c>
    </row>
    <row r="864" spans="1:17" x14ac:dyDescent="0.25">
      <c r="A864" s="11">
        <v>45510.918680555558</v>
      </c>
      <c r="B864" s="10" t="s">
        <v>28</v>
      </c>
      <c r="C864" s="10" t="s">
        <v>1759</v>
      </c>
      <c r="D864" s="10" t="s">
        <v>1760</v>
      </c>
      <c r="E864" s="10">
        <v>377</v>
      </c>
      <c r="F864" s="10" t="s">
        <v>34</v>
      </c>
      <c r="G864" s="10">
        <v>18.2</v>
      </c>
      <c r="H864" s="10">
        <v>51.7</v>
      </c>
      <c r="I864" s="10" t="s">
        <v>20</v>
      </c>
      <c r="J864" s="10">
        <v>34</v>
      </c>
      <c r="K864" s="10">
        <v>306</v>
      </c>
      <c r="L864" s="10">
        <v>8</v>
      </c>
      <c r="M864" s="10" t="s">
        <v>35</v>
      </c>
      <c r="N864" s="10">
        <v>87.9</v>
      </c>
      <c r="O864" s="10">
        <v>139</v>
      </c>
      <c r="P864" s="10">
        <v>0</v>
      </c>
      <c r="Q864" s="10" t="str">
        <f>+IF(Tabla2[[#This Row],[Demand_Forecast]]&lt;= 125,"Low demand",IF(Tabla2[[#This Row],[Demand_Forecast]] &gt;=285,"High demand","Mid demand"))</f>
        <v>Mid demand</v>
      </c>
    </row>
    <row r="865" spans="1:17" x14ac:dyDescent="0.25">
      <c r="A865" s="11">
        <v>45355.98542824074</v>
      </c>
      <c r="B865" s="10" t="s">
        <v>48</v>
      </c>
      <c r="C865" s="10" t="s">
        <v>1761</v>
      </c>
      <c r="D865" s="10" t="s">
        <v>1762</v>
      </c>
      <c r="E865" s="10">
        <v>265</v>
      </c>
      <c r="F865" s="10" t="s">
        <v>34</v>
      </c>
      <c r="G865" s="10">
        <v>23.5</v>
      </c>
      <c r="H865" s="10">
        <v>78.400000000000006</v>
      </c>
      <c r="I865" s="10" t="s">
        <v>38</v>
      </c>
      <c r="J865" s="10">
        <v>60</v>
      </c>
      <c r="K865" s="10">
        <v>107</v>
      </c>
      <c r="L865" s="10">
        <v>3</v>
      </c>
      <c r="M865" s="10" t="s">
        <v>27</v>
      </c>
      <c r="N865" s="10">
        <v>62.4</v>
      </c>
      <c r="O865" s="10">
        <v>237</v>
      </c>
      <c r="P865" s="10">
        <v>0</v>
      </c>
      <c r="Q865" s="10" t="str">
        <f>+IF(Tabla2[[#This Row],[Demand_Forecast]]&lt;= 125,"Low demand",IF(Tabla2[[#This Row],[Demand_Forecast]] &gt;=285,"High demand","Mid demand"))</f>
        <v>Mid demand</v>
      </c>
    </row>
    <row r="866" spans="1:17" x14ac:dyDescent="0.25">
      <c r="A866" s="11">
        <v>45452.257638888892</v>
      </c>
      <c r="B866" s="10" t="s">
        <v>56</v>
      </c>
      <c r="C866" s="10" t="s">
        <v>1763</v>
      </c>
      <c r="D866" s="10" t="s">
        <v>1764</v>
      </c>
      <c r="E866" s="10">
        <v>316</v>
      </c>
      <c r="F866" s="10" t="s">
        <v>19</v>
      </c>
      <c r="G866" s="10">
        <v>19.8</v>
      </c>
      <c r="H866" s="10">
        <v>70.599999999999994</v>
      </c>
      <c r="I866" s="10" t="s">
        <v>20</v>
      </c>
      <c r="J866" s="10">
        <v>18</v>
      </c>
      <c r="K866" s="10">
        <v>194</v>
      </c>
      <c r="L866" s="10">
        <v>4</v>
      </c>
      <c r="M866" s="10" t="s">
        <v>51</v>
      </c>
      <c r="N866" s="10">
        <v>95.8</v>
      </c>
      <c r="O866" s="10">
        <v>240</v>
      </c>
      <c r="P866" s="10">
        <v>1</v>
      </c>
      <c r="Q866" s="10" t="str">
        <f>+IF(Tabla2[[#This Row],[Demand_Forecast]]&lt;= 125,"Low demand",IF(Tabla2[[#This Row],[Demand_Forecast]] &gt;=285,"High demand","Mid demand"))</f>
        <v>Mid demand</v>
      </c>
    </row>
    <row r="867" spans="1:17" x14ac:dyDescent="0.25">
      <c r="A867" s="11">
        <v>45507.858449074076</v>
      </c>
      <c r="B867" s="10" t="s">
        <v>22</v>
      </c>
      <c r="C867" s="10" t="s">
        <v>1765</v>
      </c>
      <c r="D867" s="10" t="s">
        <v>1766</v>
      </c>
      <c r="E867" s="10">
        <v>239</v>
      </c>
      <c r="F867" s="10" t="s">
        <v>25</v>
      </c>
      <c r="G867" s="10">
        <v>28.7</v>
      </c>
      <c r="H867" s="10">
        <v>64</v>
      </c>
      <c r="I867" s="10" t="s">
        <v>38</v>
      </c>
      <c r="J867" s="10">
        <v>35</v>
      </c>
      <c r="K867" s="10">
        <v>469</v>
      </c>
      <c r="L867" s="10">
        <v>3</v>
      </c>
      <c r="M867" s="10" t="s">
        <v>27</v>
      </c>
      <c r="N867" s="10">
        <v>63.9</v>
      </c>
      <c r="O867" s="10">
        <v>293</v>
      </c>
      <c r="P867" s="10">
        <v>0</v>
      </c>
      <c r="Q867" s="10" t="str">
        <f>+IF(Tabla2[[#This Row],[Demand_Forecast]]&lt;= 125,"Low demand",IF(Tabla2[[#This Row],[Demand_Forecast]] &gt;=285,"High demand","Mid demand"))</f>
        <v>High demand</v>
      </c>
    </row>
    <row r="868" spans="1:17" x14ac:dyDescent="0.25">
      <c r="A868" s="11">
        <v>45396.345347222225</v>
      </c>
      <c r="B868" s="10" t="s">
        <v>61</v>
      </c>
      <c r="C868" s="10" t="s">
        <v>1767</v>
      </c>
      <c r="D868" s="10" t="s">
        <v>1768</v>
      </c>
      <c r="E868" s="10">
        <v>241</v>
      </c>
      <c r="F868" s="10" t="s">
        <v>19</v>
      </c>
      <c r="G868" s="10">
        <v>21.4</v>
      </c>
      <c r="H868" s="10">
        <v>70.900000000000006</v>
      </c>
      <c r="I868" s="10" t="s">
        <v>38</v>
      </c>
      <c r="J868" s="10">
        <v>48</v>
      </c>
      <c r="K868" s="10">
        <v>121</v>
      </c>
      <c r="L868" s="10">
        <v>4</v>
      </c>
      <c r="M868" s="10" t="s">
        <v>27</v>
      </c>
      <c r="N868" s="10">
        <v>75.3</v>
      </c>
      <c r="O868" s="10">
        <v>195</v>
      </c>
      <c r="P868" s="10">
        <v>1</v>
      </c>
      <c r="Q868" s="10" t="str">
        <f>+IF(Tabla2[[#This Row],[Demand_Forecast]]&lt;= 125,"Low demand",IF(Tabla2[[#This Row],[Demand_Forecast]] &gt;=285,"High demand","Mid demand"))</f>
        <v>Mid demand</v>
      </c>
    </row>
    <row r="869" spans="1:17" x14ac:dyDescent="0.25">
      <c r="A869" s="11">
        <v>45501.314618055556</v>
      </c>
      <c r="B869" s="10" t="s">
        <v>28</v>
      </c>
      <c r="C869" s="10" t="s">
        <v>1769</v>
      </c>
      <c r="D869" s="10" t="s">
        <v>1770</v>
      </c>
      <c r="E869" s="10">
        <v>326</v>
      </c>
      <c r="F869" s="10" t="s">
        <v>19</v>
      </c>
      <c r="G869" s="10">
        <v>27.2</v>
      </c>
      <c r="H869" s="10">
        <v>69.3</v>
      </c>
      <c r="I869" s="10" t="s">
        <v>20</v>
      </c>
      <c r="J869" s="10">
        <v>24</v>
      </c>
      <c r="K869" s="10">
        <v>492</v>
      </c>
      <c r="L869" s="10">
        <v>9</v>
      </c>
      <c r="M869" s="10" t="s">
        <v>27</v>
      </c>
      <c r="N869" s="10">
        <v>72.5</v>
      </c>
      <c r="O869" s="10">
        <v>223</v>
      </c>
      <c r="P869" s="10">
        <v>1</v>
      </c>
      <c r="Q869" s="10" t="str">
        <f>+IF(Tabla2[[#This Row],[Demand_Forecast]]&lt;= 125,"Low demand",IF(Tabla2[[#This Row],[Demand_Forecast]] &gt;=285,"High demand","Mid demand"))</f>
        <v>Mid demand</v>
      </c>
    </row>
    <row r="870" spans="1:17" x14ac:dyDescent="0.25">
      <c r="A870" s="11">
        <v>45548.524733796294</v>
      </c>
      <c r="B870" s="10" t="s">
        <v>48</v>
      </c>
      <c r="C870" s="10" t="s">
        <v>1771</v>
      </c>
      <c r="D870" s="10" t="s">
        <v>1772</v>
      </c>
      <c r="E870" s="10">
        <v>357</v>
      </c>
      <c r="F870" s="10" t="s">
        <v>34</v>
      </c>
      <c r="G870" s="10">
        <v>24</v>
      </c>
      <c r="H870" s="10">
        <v>76.099999999999994</v>
      </c>
      <c r="I870" s="10" t="s">
        <v>20</v>
      </c>
      <c r="J870" s="10">
        <v>39</v>
      </c>
      <c r="K870" s="10">
        <v>339</v>
      </c>
      <c r="L870" s="10">
        <v>9</v>
      </c>
      <c r="M870" s="10" t="s">
        <v>35</v>
      </c>
      <c r="N870" s="10">
        <v>97.8</v>
      </c>
      <c r="O870" s="10">
        <v>146</v>
      </c>
      <c r="P870" s="10">
        <v>0</v>
      </c>
      <c r="Q870" s="10" t="str">
        <f>+IF(Tabla2[[#This Row],[Demand_Forecast]]&lt;= 125,"Low demand",IF(Tabla2[[#This Row],[Demand_Forecast]] &gt;=285,"High demand","Mid demand"))</f>
        <v>Mid demand</v>
      </c>
    </row>
    <row r="871" spans="1:17" x14ac:dyDescent="0.25">
      <c r="A871" s="11">
        <v>45540.227962962963</v>
      </c>
      <c r="B871" s="10" t="s">
        <v>22</v>
      </c>
      <c r="C871" s="10" t="s">
        <v>1773</v>
      </c>
      <c r="D871" s="10" t="s">
        <v>1774</v>
      </c>
      <c r="E871" s="10">
        <v>279</v>
      </c>
      <c r="F871" s="10" t="s">
        <v>34</v>
      </c>
      <c r="G871" s="10">
        <v>19.600000000000001</v>
      </c>
      <c r="H871" s="10">
        <v>55.9</v>
      </c>
      <c r="I871" s="10" t="s">
        <v>26</v>
      </c>
      <c r="J871" s="10">
        <v>30</v>
      </c>
      <c r="K871" s="10">
        <v>187</v>
      </c>
      <c r="L871" s="10">
        <v>9</v>
      </c>
      <c r="M871" s="10" t="s">
        <v>35</v>
      </c>
      <c r="N871" s="10">
        <v>90.5</v>
      </c>
      <c r="O871" s="10">
        <v>126</v>
      </c>
      <c r="P871" s="10">
        <v>1</v>
      </c>
      <c r="Q871" s="10" t="str">
        <f>+IF(Tabla2[[#This Row],[Demand_Forecast]]&lt;= 125,"Low demand",IF(Tabla2[[#This Row],[Demand_Forecast]] &gt;=285,"High demand","Mid demand"))</f>
        <v>Mid demand</v>
      </c>
    </row>
    <row r="872" spans="1:17" x14ac:dyDescent="0.25">
      <c r="A872" s="11">
        <v>45293.307581018518</v>
      </c>
      <c r="B872" s="10" t="s">
        <v>48</v>
      </c>
      <c r="C872" s="10" t="s">
        <v>1775</v>
      </c>
      <c r="D872" s="10" t="s">
        <v>1776</v>
      </c>
      <c r="E872" s="10">
        <v>106</v>
      </c>
      <c r="F872" s="10" t="s">
        <v>34</v>
      </c>
      <c r="G872" s="10">
        <v>26.7</v>
      </c>
      <c r="H872" s="10">
        <v>53.3</v>
      </c>
      <c r="I872" s="10" t="s">
        <v>20</v>
      </c>
      <c r="J872" s="10">
        <v>39</v>
      </c>
      <c r="K872" s="10">
        <v>128</v>
      </c>
      <c r="L872" s="10">
        <v>5</v>
      </c>
      <c r="M872" s="10" t="s">
        <v>27</v>
      </c>
      <c r="N872" s="10">
        <v>88</v>
      </c>
      <c r="O872" s="10">
        <v>117</v>
      </c>
      <c r="P872" s="10">
        <v>0</v>
      </c>
      <c r="Q872" s="10" t="str">
        <f>+IF(Tabla2[[#This Row],[Demand_Forecast]]&lt;= 125,"Low demand",IF(Tabla2[[#This Row],[Demand_Forecast]] &gt;=285,"High demand","Mid demand"))</f>
        <v>Low demand</v>
      </c>
    </row>
    <row r="873" spans="1:17" x14ac:dyDescent="0.25">
      <c r="A873" s="11">
        <v>45604.211099537039</v>
      </c>
      <c r="B873" s="10" t="s">
        <v>16</v>
      </c>
      <c r="C873" s="10" t="s">
        <v>1777</v>
      </c>
      <c r="D873" s="10" t="s">
        <v>1778</v>
      </c>
      <c r="E873" s="10">
        <v>381</v>
      </c>
      <c r="F873" s="10" t="s">
        <v>25</v>
      </c>
      <c r="G873" s="10">
        <v>20</v>
      </c>
      <c r="H873" s="10">
        <v>52.9</v>
      </c>
      <c r="I873" s="10" t="s">
        <v>38</v>
      </c>
      <c r="J873" s="10">
        <v>13</v>
      </c>
      <c r="K873" s="10">
        <v>216</v>
      </c>
      <c r="L873" s="10">
        <v>5</v>
      </c>
      <c r="M873" s="10" t="s">
        <v>27</v>
      </c>
      <c r="N873" s="10">
        <v>87.3</v>
      </c>
      <c r="O873" s="10">
        <v>160</v>
      </c>
      <c r="P873" s="10">
        <v>0</v>
      </c>
      <c r="Q873" s="10" t="str">
        <f>+IF(Tabla2[[#This Row],[Demand_Forecast]]&lt;= 125,"Low demand",IF(Tabla2[[#This Row],[Demand_Forecast]] &gt;=285,"High demand","Mid demand"))</f>
        <v>Mid demand</v>
      </c>
    </row>
    <row r="874" spans="1:17" x14ac:dyDescent="0.25">
      <c r="A874" s="11">
        <v>45611.279363425929</v>
      </c>
      <c r="B874" s="10" t="s">
        <v>16</v>
      </c>
      <c r="C874" s="10" t="s">
        <v>1779</v>
      </c>
      <c r="D874" s="10" t="s">
        <v>1780</v>
      </c>
      <c r="E874" s="10">
        <v>416</v>
      </c>
      <c r="F874" s="10" t="s">
        <v>34</v>
      </c>
      <c r="G874" s="10">
        <v>20.5</v>
      </c>
      <c r="H874" s="10">
        <v>61.9</v>
      </c>
      <c r="I874" s="10" t="s">
        <v>20</v>
      </c>
      <c r="J874" s="10">
        <v>51</v>
      </c>
      <c r="K874" s="10">
        <v>172</v>
      </c>
      <c r="L874" s="10">
        <v>1</v>
      </c>
      <c r="M874" s="10" t="s">
        <v>27</v>
      </c>
      <c r="N874" s="10">
        <v>75.5</v>
      </c>
      <c r="O874" s="10">
        <v>112</v>
      </c>
      <c r="P874" s="10">
        <v>0</v>
      </c>
      <c r="Q874" s="10" t="str">
        <f>+IF(Tabla2[[#This Row],[Demand_Forecast]]&lt;= 125,"Low demand",IF(Tabla2[[#This Row],[Demand_Forecast]] &gt;=285,"High demand","Mid demand"))</f>
        <v>Low demand</v>
      </c>
    </row>
    <row r="875" spans="1:17" x14ac:dyDescent="0.25">
      <c r="A875" s="11">
        <v>45642.881585648145</v>
      </c>
      <c r="B875" s="10" t="s">
        <v>31</v>
      </c>
      <c r="C875" s="10" t="s">
        <v>1781</v>
      </c>
      <c r="D875" s="10" t="s">
        <v>1782</v>
      </c>
      <c r="E875" s="10">
        <v>147</v>
      </c>
      <c r="F875" s="10" t="s">
        <v>19</v>
      </c>
      <c r="G875" s="10">
        <v>19</v>
      </c>
      <c r="H875" s="10">
        <v>73.2</v>
      </c>
      <c r="I875" s="10" t="s">
        <v>20</v>
      </c>
      <c r="J875" s="10">
        <v>60</v>
      </c>
      <c r="K875" s="10">
        <v>260</v>
      </c>
      <c r="L875" s="10">
        <v>5</v>
      </c>
      <c r="M875" s="10" t="s">
        <v>51</v>
      </c>
      <c r="N875" s="10">
        <v>77.2</v>
      </c>
      <c r="O875" s="10">
        <v>216</v>
      </c>
      <c r="P875" s="10">
        <v>1</v>
      </c>
      <c r="Q875" s="10" t="str">
        <f>+IF(Tabla2[[#This Row],[Demand_Forecast]]&lt;= 125,"Low demand",IF(Tabla2[[#This Row],[Demand_Forecast]] &gt;=285,"High demand","Mid demand"))</f>
        <v>Mid demand</v>
      </c>
    </row>
    <row r="876" spans="1:17" x14ac:dyDescent="0.25">
      <c r="A876" s="11">
        <v>45378.102430555555</v>
      </c>
      <c r="B876" s="10" t="s">
        <v>61</v>
      </c>
      <c r="C876" s="10" t="s">
        <v>1783</v>
      </c>
      <c r="D876" s="10" t="s">
        <v>1784</v>
      </c>
      <c r="E876" s="10">
        <v>277</v>
      </c>
      <c r="F876" s="10" t="s">
        <v>25</v>
      </c>
      <c r="G876" s="10">
        <v>28.1</v>
      </c>
      <c r="H876" s="10">
        <v>55.1</v>
      </c>
      <c r="I876" s="10" t="s">
        <v>38</v>
      </c>
      <c r="J876" s="10">
        <v>44</v>
      </c>
      <c r="K876" s="10">
        <v>111</v>
      </c>
      <c r="L876" s="10">
        <v>3</v>
      </c>
      <c r="M876" s="10" t="s">
        <v>27</v>
      </c>
      <c r="N876" s="10">
        <v>91.8</v>
      </c>
      <c r="O876" s="10">
        <v>282</v>
      </c>
      <c r="P876" s="10">
        <v>0</v>
      </c>
      <c r="Q876" s="10" t="str">
        <f>+IF(Tabla2[[#This Row],[Demand_Forecast]]&lt;= 125,"Low demand",IF(Tabla2[[#This Row],[Demand_Forecast]] &gt;=285,"High demand","Mid demand"))</f>
        <v>Mid demand</v>
      </c>
    </row>
    <row r="877" spans="1:17" x14ac:dyDescent="0.25">
      <c r="A877" s="11">
        <v>45564.583483796298</v>
      </c>
      <c r="B877" s="10" t="s">
        <v>95</v>
      </c>
      <c r="C877" s="10" t="s">
        <v>1785</v>
      </c>
      <c r="D877" s="10" t="s">
        <v>1786</v>
      </c>
      <c r="E877" s="10">
        <v>116</v>
      </c>
      <c r="F877" s="10" t="s">
        <v>34</v>
      </c>
      <c r="G877" s="10">
        <v>23</v>
      </c>
      <c r="H877" s="10">
        <v>79.599999999999994</v>
      </c>
      <c r="I877" s="10" t="s">
        <v>20</v>
      </c>
      <c r="J877" s="10">
        <v>55</v>
      </c>
      <c r="K877" s="10">
        <v>362</v>
      </c>
      <c r="L877" s="10">
        <v>1</v>
      </c>
      <c r="M877" s="10" t="s">
        <v>21</v>
      </c>
      <c r="N877" s="10">
        <v>96.6</v>
      </c>
      <c r="O877" s="10">
        <v>222</v>
      </c>
      <c r="P877" s="10">
        <v>0</v>
      </c>
      <c r="Q877" s="10" t="str">
        <f>+IF(Tabla2[[#This Row],[Demand_Forecast]]&lt;= 125,"Low demand",IF(Tabla2[[#This Row],[Demand_Forecast]] &gt;=285,"High demand","Mid demand"))</f>
        <v>Mid demand</v>
      </c>
    </row>
    <row r="878" spans="1:17" x14ac:dyDescent="0.25">
      <c r="A878" s="11">
        <v>45573.583958333336</v>
      </c>
      <c r="B878" s="10" t="s">
        <v>16</v>
      </c>
      <c r="C878" s="10" t="s">
        <v>1787</v>
      </c>
      <c r="D878" s="10" t="s">
        <v>1788</v>
      </c>
      <c r="E878" s="10">
        <v>324</v>
      </c>
      <c r="F878" s="10" t="s">
        <v>34</v>
      </c>
      <c r="G878" s="10">
        <v>22.2</v>
      </c>
      <c r="H878" s="10">
        <v>62.9</v>
      </c>
      <c r="I878" s="10" t="s">
        <v>26</v>
      </c>
      <c r="J878" s="10">
        <v>50</v>
      </c>
      <c r="K878" s="10">
        <v>365</v>
      </c>
      <c r="L878" s="10">
        <v>7</v>
      </c>
      <c r="M878" s="10" t="s">
        <v>27</v>
      </c>
      <c r="N878" s="10">
        <v>95.8</v>
      </c>
      <c r="O878" s="10">
        <v>210</v>
      </c>
      <c r="P878" s="10">
        <v>1</v>
      </c>
      <c r="Q878" s="10" t="str">
        <f>+IF(Tabla2[[#This Row],[Demand_Forecast]]&lt;= 125,"Low demand",IF(Tabla2[[#This Row],[Demand_Forecast]] &gt;=285,"High demand","Mid demand"))</f>
        <v>Mid demand</v>
      </c>
    </row>
    <row r="879" spans="1:17" x14ac:dyDescent="0.25">
      <c r="A879" s="11">
        <v>45649.933888888889</v>
      </c>
      <c r="B879" s="10" t="s">
        <v>95</v>
      </c>
      <c r="C879" s="10" t="s">
        <v>1789</v>
      </c>
      <c r="D879" s="10" t="s">
        <v>1790</v>
      </c>
      <c r="E879" s="10">
        <v>325</v>
      </c>
      <c r="F879" s="10" t="s">
        <v>25</v>
      </c>
      <c r="G879" s="10">
        <v>26</v>
      </c>
      <c r="H879" s="10">
        <v>56</v>
      </c>
      <c r="I879" s="10" t="s">
        <v>38</v>
      </c>
      <c r="J879" s="10">
        <v>34</v>
      </c>
      <c r="K879" s="10">
        <v>359</v>
      </c>
      <c r="L879" s="10">
        <v>4</v>
      </c>
      <c r="M879" s="10" t="s">
        <v>21</v>
      </c>
      <c r="N879" s="10">
        <v>72.2</v>
      </c>
      <c r="O879" s="10">
        <v>248</v>
      </c>
      <c r="P879" s="10">
        <v>0</v>
      </c>
      <c r="Q879" s="10" t="str">
        <f>+IF(Tabla2[[#This Row],[Demand_Forecast]]&lt;= 125,"Low demand",IF(Tabla2[[#This Row],[Demand_Forecast]] &gt;=285,"High demand","Mid demand"))</f>
        <v>Mid demand</v>
      </c>
    </row>
    <row r="880" spans="1:17" x14ac:dyDescent="0.25">
      <c r="A880" s="11">
        <v>45446.403263888889</v>
      </c>
      <c r="B880" s="10" t="s">
        <v>28</v>
      </c>
      <c r="C880" s="10" t="s">
        <v>1791</v>
      </c>
      <c r="D880" s="10" t="s">
        <v>1792</v>
      </c>
      <c r="E880" s="10">
        <v>245</v>
      </c>
      <c r="F880" s="10" t="s">
        <v>34</v>
      </c>
      <c r="G880" s="10">
        <v>22</v>
      </c>
      <c r="H880" s="10">
        <v>61.2</v>
      </c>
      <c r="I880" s="10" t="s">
        <v>20</v>
      </c>
      <c r="J880" s="10">
        <v>22</v>
      </c>
      <c r="K880" s="10">
        <v>480</v>
      </c>
      <c r="L880" s="10">
        <v>6</v>
      </c>
      <c r="M880" s="10" t="s">
        <v>27</v>
      </c>
      <c r="N880" s="10">
        <v>89.3</v>
      </c>
      <c r="O880" s="10">
        <v>284</v>
      </c>
      <c r="P880" s="10">
        <v>0</v>
      </c>
      <c r="Q880" s="10" t="str">
        <f>+IF(Tabla2[[#This Row],[Demand_Forecast]]&lt;= 125,"Low demand",IF(Tabla2[[#This Row],[Demand_Forecast]] &gt;=285,"High demand","Mid demand"))</f>
        <v>Mid demand</v>
      </c>
    </row>
    <row r="881" spans="1:17" x14ac:dyDescent="0.25">
      <c r="A881" s="11">
        <v>45469.472013888888</v>
      </c>
      <c r="B881" s="10" t="s">
        <v>64</v>
      </c>
      <c r="C881" s="10" t="s">
        <v>1793</v>
      </c>
      <c r="D881" s="10" t="s">
        <v>1794</v>
      </c>
      <c r="E881" s="10">
        <v>424</v>
      </c>
      <c r="F881" s="10" t="s">
        <v>34</v>
      </c>
      <c r="G881" s="10">
        <v>23.2</v>
      </c>
      <c r="H881" s="10">
        <v>50.2</v>
      </c>
      <c r="I881" s="10" t="s">
        <v>38</v>
      </c>
      <c r="J881" s="10">
        <v>55</v>
      </c>
      <c r="K881" s="10">
        <v>385</v>
      </c>
      <c r="L881" s="10">
        <v>9</v>
      </c>
      <c r="M881" s="10" t="s">
        <v>27</v>
      </c>
      <c r="N881" s="10">
        <v>83.2</v>
      </c>
      <c r="O881" s="10">
        <v>228</v>
      </c>
      <c r="P881" s="10">
        <v>0</v>
      </c>
      <c r="Q881" s="10" t="str">
        <f>+IF(Tabla2[[#This Row],[Demand_Forecast]]&lt;= 125,"Low demand",IF(Tabla2[[#This Row],[Demand_Forecast]] &gt;=285,"High demand","Mid demand"))</f>
        <v>Mid demand</v>
      </c>
    </row>
    <row r="882" spans="1:17" x14ac:dyDescent="0.25">
      <c r="A882" s="11">
        <v>45639.726701388892</v>
      </c>
      <c r="B882" s="10" t="s">
        <v>64</v>
      </c>
      <c r="C882" s="10" t="s">
        <v>1795</v>
      </c>
      <c r="D882" s="10" t="s">
        <v>1796</v>
      </c>
      <c r="E882" s="10">
        <v>467</v>
      </c>
      <c r="F882" s="10" t="s">
        <v>19</v>
      </c>
      <c r="G882" s="10">
        <v>26.5</v>
      </c>
      <c r="H882" s="10">
        <v>62.1</v>
      </c>
      <c r="I882" s="10" t="s">
        <v>26</v>
      </c>
      <c r="J882" s="10">
        <v>54</v>
      </c>
      <c r="K882" s="10">
        <v>222</v>
      </c>
      <c r="L882" s="10">
        <v>2</v>
      </c>
      <c r="M882" s="10" t="s">
        <v>35</v>
      </c>
      <c r="N882" s="10">
        <v>97.3</v>
      </c>
      <c r="O882" s="10">
        <v>259</v>
      </c>
      <c r="P882" s="10">
        <v>1</v>
      </c>
      <c r="Q882" s="10" t="str">
        <f>+IF(Tabla2[[#This Row],[Demand_Forecast]]&lt;= 125,"Low demand",IF(Tabla2[[#This Row],[Demand_Forecast]] &gt;=285,"High demand","Mid demand"))</f>
        <v>Mid demand</v>
      </c>
    </row>
    <row r="883" spans="1:17" x14ac:dyDescent="0.25">
      <c r="A883" s="11">
        <v>45375.504907407405</v>
      </c>
      <c r="B883" s="10" t="s">
        <v>41</v>
      </c>
      <c r="C883" s="10" t="s">
        <v>1797</v>
      </c>
      <c r="D883" s="10" t="s">
        <v>1798</v>
      </c>
      <c r="E883" s="10">
        <v>262</v>
      </c>
      <c r="F883" s="10" t="s">
        <v>25</v>
      </c>
      <c r="G883" s="10">
        <v>23.4</v>
      </c>
      <c r="H883" s="10">
        <v>62</v>
      </c>
      <c r="I883" s="10" t="s">
        <v>26</v>
      </c>
      <c r="J883" s="10">
        <v>36</v>
      </c>
      <c r="K883" s="10">
        <v>272</v>
      </c>
      <c r="L883" s="10">
        <v>7</v>
      </c>
      <c r="M883" s="10" t="s">
        <v>21</v>
      </c>
      <c r="N883" s="10">
        <v>82.9</v>
      </c>
      <c r="O883" s="10">
        <v>146</v>
      </c>
      <c r="P883" s="10">
        <v>1</v>
      </c>
      <c r="Q883" s="10" t="str">
        <f>+IF(Tabla2[[#This Row],[Demand_Forecast]]&lt;= 125,"Low demand",IF(Tabla2[[#This Row],[Demand_Forecast]] &gt;=285,"High demand","Mid demand"))</f>
        <v>Mid demand</v>
      </c>
    </row>
    <row r="884" spans="1:17" x14ac:dyDescent="0.25">
      <c r="A884" s="11">
        <v>45552.15861111111</v>
      </c>
      <c r="B884" s="10" t="s">
        <v>16</v>
      </c>
      <c r="C884" s="10" t="s">
        <v>1799</v>
      </c>
      <c r="D884" s="10" t="s">
        <v>1800</v>
      </c>
      <c r="E884" s="10">
        <v>356</v>
      </c>
      <c r="F884" s="10" t="s">
        <v>34</v>
      </c>
      <c r="G884" s="10">
        <v>21.6</v>
      </c>
      <c r="H884" s="10">
        <v>60.4</v>
      </c>
      <c r="I884" s="10" t="s">
        <v>38</v>
      </c>
      <c r="J884" s="10">
        <v>45</v>
      </c>
      <c r="K884" s="10">
        <v>292</v>
      </c>
      <c r="L884" s="10">
        <v>1</v>
      </c>
      <c r="M884" s="10" t="s">
        <v>51</v>
      </c>
      <c r="N884" s="10">
        <v>94.3</v>
      </c>
      <c r="O884" s="10">
        <v>196</v>
      </c>
      <c r="P884" s="10">
        <v>0</v>
      </c>
      <c r="Q884" s="10" t="str">
        <f>+IF(Tabla2[[#This Row],[Demand_Forecast]]&lt;= 125,"Low demand",IF(Tabla2[[#This Row],[Demand_Forecast]] &gt;=285,"High demand","Mid demand"))</f>
        <v>Mid demand</v>
      </c>
    </row>
    <row r="885" spans="1:17" x14ac:dyDescent="0.25">
      <c r="A885" s="11">
        <v>45558.738611111112</v>
      </c>
      <c r="B885" s="10" t="s">
        <v>22</v>
      </c>
      <c r="C885" s="10" t="s">
        <v>1801</v>
      </c>
      <c r="D885" s="10" t="s">
        <v>1802</v>
      </c>
      <c r="E885" s="10">
        <v>166</v>
      </c>
      <c r="F885" s="10" t="s">
        <v>19</v>
      </c>
      <c r="G885" s="10">
        <v>20.399999999999999</v>
      </c>
      <c r="H885" s="10">
        <v>70.2</v>
      </c>
      <c r="I885" s="10" t="s">
        <v>38</v>
      </c>
      <c r="J885" s="10">
        <v>19</v>
      </c>
      <c r="K885" s="10">
        <v>391</v>
      </c>
      <c r="L885" s="10">
        <v>5</v>
      </c>
      <c r="M885" s="10" t="s">
        <v>21</v>
      </c>
      <c r="N885" s="10">
        <v>74</v>
      </c>
      <c r="O885" s="10">
        <v>238</v>
      </c>
      <c r="P885" s="10">
        <v>1</v>
      </c>
      <c r="Q885" s="10" t="str">
        <f>+IF(Tabla2[[#This Row],[Demand_Forecast]]&lt;= 125,"Low demand",IF(Tabla2[[#This Row],[Demand_Forecast]] &gt;=285,"High demand","Mid demand"))</f>
        <v>Mid demand</v>
      </c>
    </row>
    <row r="886" spans="1:17" x14ac:dyDescent="0.25">
      <c r="A886" s="11">
        <v>45615.171087962961</v>
      </c>
      <c r="B886" s="10" t="s">
        <v>41</v>
      </c>
      <c r="C886" s="10" t="s">
        <v>1803</v>
      </c>
      <c r="D886" s="10" t="s">
        <v>1804</v>
      </c>
      <c r="E886" s="10">
        <v>349</v>
      </c>
      <c r="F886" s="10" t="s">
        <v>25</v>
      </c>
      <c r="G886" s="10">
        <v>25.6</v>
      </c>
      <c r="H886" s="10">
        <v>53.9</v>
      </c>
      <c r="I886" s="10" t="s">
        <v>26</v>
      </c>
      <c r="J886" s="10">
        <v>26</v>
      </c>
      <c r="K886" s="10">
        <v>189</v>
      </c>
      <c r="L886" s="10">
        <v>9</v>
      </c>
      <c r="M886" s="10" t="s">
        <v>27</v>
      </c>
      <c r="N886" s="10">
        <v>77.099999999999994</v>
      </c>
      <c r="O886" s="10">
        <v>285</v>
      </c>
      <c r="P886" s="10">
        <v>1</v>
      </c>
      <c r="Q886" s="10" t="str">
        <f>+IF(Tabla2[[#This Row],[Demand_Forecast]]&lt;= 125,"Low demand",IF(Tabla2[[#This Row],[Demand_Forecast]] &gt;=285,"High demand","Mid demand"))</f>
        <v>High demand</v>
      </c>
    </row>
    <row r="887" spans="1:17" x14ac:dyDescent="0.25">
      <c r="A887" s="11">
        <v>45517.07135416667</v>
      </c>
      <c r="B887" s="10" t="s">
        <v>16</v>
      </c>
      <c r="C887" s="10" t="s">
        <v>1805</v>
      </c>
      <c r="D887" s="10" t="s">
        <v>1806</v>
      </c>
      <c r="E887" s="10">
        <v>338</v>
      </c>
      <c r="F887" s="10" t="s">
        <v>34</v>
      </c>
      <c r="G887" s="10">
        <v>26.8</v>
      </c>
      <c r="H887" s="10">
        <v>68.3</v>
      </c>
      <c r="I887" s="10" t="s">
        <v>20</v>
      </c>
      <c r="J887" s="10">
        <v>45</v>
      </c>
      <c r="K887" s="10">
        <v>458</v>
      </c>
      <c r="L887" s="10">
        <v>9</v>
      </c>
      <c r="M887" s="10" t="s">
        <v>51</v>
      </c>
      <c r="N887" s="10">
        <v>76.7</v>
      </c>
      <c r="O887" s="10">
        <v>191</v>
      </c>
      <c r="P887" s="10">
        <v>0</v>
      </c>
      <c r="Q887" s="10" t="str">
        <f>+IF(Tabla2[[#This Row],[Demand_Forecast]]&lt;= 125,"Low demand",IF(Tabla2[[#This Row],[Demand_Forecast]] &gt;=285,"High demand","Mid demand"))</f>
        <v>Mid demand</v>
      </c>
    </row>
    <row r="888" spans="1:17" x14ac:dyDescent="0.25">
      <c r="A888" s="11">
        <v>45512.549861111111</v>
      </c>
      <c r="B888" s="10" t="s">
        <v>64</v>
      </c>
      <c r="C888" s="10" t="s">
        <v>1807</v>
      </c>
      <c r="D888" s="10" t="s">
        <v>1808</v>
      </c>
      <c r="E888" s="10">
        <v>273</v>
      </c>
      <c r="F888" s="10" t="s">
        <v>34</v>
      </c>
      <c r="G888" s="10">
        <v>19.899999999999999</v>
      </c>
      <c r="H888" s="10">
        <v>63.6</v>
      </c>
      <c r="I888" s="10" t="s">
        <v>38</v>
      </c>
      <c r="J888" s="10">
        <v>27</v>
      </c>
      <c r="K888" s="10">
        <v>265</v>
      </c>
      <c r="L888" s="10">
        <v>8</v>
      </c>
      <c r="M888" s="10" t="s">
        <v>27</v>
      </c>
      <c r="N888" s="10">
        <v>77</v>
      </c>
      <c r="O888" s="10">
        <v>243</v>
      </c>
      <c r="P888" s="10">
        <v>0</v>
      </c>
      <c r="Q888" s="10" t="str">
        <f>+IF(Tabla2[[#This Row],[Demand_Forecast]]&lt;= 125,"Low demand",IF(Tabla2[[#This Row],[Demand_Forecast]] &gt;=285,"High demand","Mid demand"))</f>
        <v>Mid demand</v>
      </c>
    </row>
    <row r="889" spans="1:17" x14ac:dyDescent="0.25">
      <c r="A889" s="11">
        <v>45544.453611111108</v>
      </c>
      <c r="B889" s="10" t="s">
        <v>16</v>
      </c>
      <c r="C889" s="10" t="s">
        <v>1809</v>
      </c>
      <c r="D889" s="10" t="s">
        <v>1810</v>
      </c>
      <c r="E889" s="10">
        <v>239</v>
      </c>
      <c r="F889" s="10" t="s">
        <v>25</v>
      </c>
      <c r="G889" s="10">
        <v>25.8</v>
      </c>
      <c r="H889" s="10">
        <v>56</v>
      </c>
      <c r="I889" s="10" t="s">
        <v>20</v>
      </c>
      <c r="J889" s="10">
        <v>50</v>
      </c>
      <c r="K889" s="10">
        <v>274</v>
      </c>
      <c r="L889" s="10">
        <v>7</v>
      </c>
      <c r="M889" s="10" t="s">
        <v>27</v>
      </c>
      <c r="N889" s="10">
        <v>88.3</v>
      </c>
      <c r="O889" s="10">
        <v>261</v>
      </c>
      <c r="P889" s="10">
        <v>0</v>
      </c>
      <c r="Q889" s="10" t="str">
        <f>+IF(Tabla2[[#This Row],[Demand_Forecast]]&lt;= 125,"Low demand",IF(Tabla2[[#This Row],[Demand_Forecast]] &gt;=285,"High demand","Mid demand"))</f>
        <v>Mid demand</v>
      </c>
    </row>
    <row r="890" spans="1:17" x14ac:dyDescent="0.25">
      <c r="A890" s="11">
        <v>45623.378981481481</v>
      </c>
      <c r="B890" s="10" t="s">
        <v>31</v>
      </c>
      <c r="C890" s="10" t="s">
        <v>1811</v>
      </c>
      <c r="D890" s="10" t="s">
        <v>1812</v>
      </c>
      <c r="E890" s="10">
        <v>278</v>
      </c>
      <c r="F890" s="10" t="s">
        <v>34</v>
      </c>
      <c r="G890" s="10">
        <v>22.8</v>
      </c>
      <c r="H890" s="10">
        <v>52.9</v>
      </c>
      <c r="I890" s="10" t="s">
        <v>26</v>
      </c>
      <c r="J890" s="10">
        <v>18</v>
      </c>
      <c r="K890" s="10">
        <v>104</v>
      </c>
      <c r="L890" s="10">
        <v>4</v>
      </c>
      <c r="M890" s="10" t="s">
        <v>35</v>
      </c>
      <c r="N890" s="10">
        <v>71.2</v>
      </c>
      <c r="O890" s="10">
        <v>190</v>
      </c>
      <c r="P890" s="10">
        <v>1</v>
      </c>
      <c r="Q890" s="10" t="str">
        <f>+IF(Tabla2[[#This Row],[Demand_Forecast]]&lt;= 125,"Low demand",IF(Tabla2[[#This Row],[Demand_Forecast]] &gt;=285,"High demand","Mid demand"))</f>
        <v>Mid demand</v>
      </c>
    </row>
    <row r="891" spans="1:17" x14ac:dyDescent="0.25">
      <c r="A891" s="11">
        <v>45411.647291666668</v>
      </c>
      <c r="B891" s="10" t="s">
        <v>95</v>
      </c>
      <c r="C891" s="10" t="s">
        <v>1813</v>
      </c>
      <c r="D891" s="10" t="s">
        <v>1814</v>
      </c>
      <c r="E891" s="10">
        <v>412</v>
      </c>
      <c r="F891" s="10" t="s">
        <v>19</v>
      </c>
      <c r="G891" s="10">
        <v>20.2</v>
      </c>
      <c r="H891" s="10">
        <v>65</v>
      </c>
      <c r="I891" s="10" t="s">
        <v>38</v>
      </c>
      <c r="J891" s="10">
        <v>14</v>
      </c>
      <c r="K891" s="10">
        <v>230</v>
      </c>
      <c r="L891" s="10">
        <v>2</v>
      </c>
      <c r="M891" s="10" t="s">
        <v>51</v>
      </c>
      <c r="N891" s="10">
        <v>72.900000000000006</v>
      </c>
      <c r="O891" s="10">
        <v>249</v>
      </c>
      <c r="P891" s="10">
        <v>1</v>
      </c>
      <c r="Q891" s="10" t="str">
        <f>+IF(Tabla2[[#This Row],[Demand_Forecast]]&lt;= 125,"Low demand",IF(Tabla2[[#This Row],[Demand_Forecast]] &gt;=285,"High demand","Mid demand"))</f>
        <v>Mid demand</v>
      </c>
    </row>
    <row r="892" spans="1:17" x14ac:dyDescent="0.25">
      <c r="A892" s="11">
        <v>45656.807615740741</v>
      </c>
      <c r="B892" s="10" t="s">
        <v>22</v>
      </c>
      <c r="C892" s="10" t="s">
        <v>1815</v>
      </c>
      <c r="D892" s="10" t="s">
        <v>1816</v>
      </c>
      <c r="E892" s="10">
        <v>125</v>
      </c>
      <c r="F892" s="10" t="s">
        <v>25</v>
      </c>
      <c r="G892" s="10">
        <v>25.4</v>
      </c>
      <c r="H892" s="10">
        <v>61.5</v>
      </c>
      <c r="I892" s="10" t="s">
        <v>20</v>
      </c>
      <c r="J892" s="10">
        <v>50</v>
      </c>
      <c r="K892" s="10">
        <v>408</v>
      </c>
      <c r="L892" s="10">
        <v>6</v>
      </c>
      <c r="M892" s="10" t="s">
        <v>21</v>
      </c>
      <c r="N892" s="10">
        <v>83.4</v>
      </c>
      <c r="O892" s="10">
        <v>221</v>
      </c>
      <c r="P892" s="10">
        <v>0</v>
      </c>
      <c r="Q892" s="10" t="str">
        <f>+IF(Tabla2[[#This Row],[Demand_Forecast]]&lt;= 125,"Low demand",IF(Tabla2[[#This Row],[Demand_Forecast]] &gt;=285,"High demand","Mid demand"))</f>
        <v>Mid demand</v>
      </c>
    </row>
    <row r="893" spans="1:17" x14ac:dyDescent="0.25">
      <c r="A893" s="11">
        <v>45645.887928240743</v>
      </c>
      <c r="B893" s="10" t="s">
        <v>56</v>
      </c>
      <c r="C893" s="10" t="s">
        <v>1817</v>
      </c>
      <c r="D893" s="10" t="s">
        <v>1818</v>
      </c>
      <c r="E893" s="10">
        <v>404</v>
      </c>
      <c r="F893" s="10" t="s">
        <v>34</v>
      </c>
      <c r="G893" s="10">
        <v>24.7</v>
      </c>
      <c r="H893" s="10">
        <v>74.2</v>
      </c>
      <c r="I893" s="10" t="s">
        <v>26</v>
      </c>
      <c r="J893" s="10">
        <v>23</v>
      </c>
      <c r="K893" s="10">
        <v>459</v>
      </c>
      <c r="L893" s="10">
        <v>1</v>
      </c>
      <c r="M893" s="10" t="s">
        <v>35</v>
      </c>
      <c r="N893" s="10">
        <v>71.7</v>
      </c>
      <c r="O893" s="10">
        <v>127</v>
      </c>
      <c r="P893" s="10">
        <v>1</v>
      </c>
      <c r="Q893" s="10" t="str">
        <f>+IF(Tabla2[[#This Row],[Demand_Forecast]]&lt;= 125,"Low demand",IF(Tabla2[[#This Row],[Demand_Forecast]] &gt;=285,"High demand","Mid demand"))</f>
        <v>Mid demand</v>
      </c>
    </row>
    <row r="894" spans="1:17" x14ac:dyDescent="0.25">
      <c r="A894" s="11">
        <v>45541.537094907406</v>
      </c>
      <c r="B894" s="10" t="s">
        <v>31</v>
      </c>
      <c r="C894" s="10" t="s">
        <v>1819</v>
      </c>
      <c r="D894" s="10" t="s">
        <v>1820</v>
      </c>
      <c r="E894" s="10">
        <v>392</v>
      </c>
      <c r="F894" s="10" t="s">
        <v>34</v>
      </c>
      <c r="G894" s="10">
        <v>29.1</v>
      </c>
      <c r="H894" s="10">
        <v>51.3</v>
      </c>
      <c r="I894" s="10" t="s">
        <v>38</v>
      </c>
      <c r="J894" s="10">
        <v>35</v>
      </c>
      <c r="K894" s="10">
        <v>434</v>
      </c>
      <c r="L894" s="10">
        <v>7</v>
      </c>
      <c r="M894" s="10" t="s">
        <v>21</v>
      </c>
      <c r="N894" s="10">
        <v>70.8</v>
      </c>
      <c r="O894" s="10">
        <v>249</v>
      </c>
      <c r="P894" s="10">
        <v>0</v>
      </c>
      <c r="Q894" s="10" t="str">
        <f>+IF(Tabla2[[#This Row],[Demand_Forecast]]&lt;= 125,"Low demand",IF(Tabla2[[#This Row],[Demand_Forecast]] &gt;=285,"High demand","Mid demand"))</f>
        <v>Mid demand</v>
      </c>
    </row>
    <row r="895" spans="1:17" x14ac:dyDescent="0.25">
      <c r="A895" s="11">
        <v>45656.297789351855</v>
      </c>
      <c r="B895" s="10" t="s">
        <v>16</v>
      </c>
      <c r="C895" s="10" t="s">
        <v>1821</v>
      </c>
      <c r="D895" s="10" t="s">
        <v>1822</v>
      </c>
      <c r="E895" s="10">
        <v>145</v>
      </c>
      <c r="F895" s="10" t="s">
        <v>34</v>
      </c>
      <c r="G895" s="10">
        <v>29.8</v>
      </c>
      <c r="H895" s="10">
        <v>75.7</v>
      </c>
      <c r="I895" s="10" t="s">
        <v>20</v>
      </c>
      <c r="J895" s="10">
        <v>60</v>
      </c>
      <c r="K895" s="10">
        <v>287</v>
      </c>
      <c r="L895" s="10">
        <v>9</v>
      </c>
      <c r="M895" s="10" t="s">
        <v>35</v>
      </c>
      <c r="N895" s="10">
        <v>87.6</v>
      </c>
      <c r="O895" s="10">
        <v>216</v>
      </c>
      <c r="P895" s="10">
        <v>0</v>
      </c>
      <c r="Q895" s="10" t="str">
        <f>+IF(Tabla2[[#This Row],[Demand_Forecast]]&lt;= 125,"Low demand",IF(Tabla2[[#This Row],[Demand_Forecast]] &gt;=285,"High demand","Mid demand"))</f>
        <v>Mid demand</v>
      </c>
    </row>
    <row r="896" spans="1:17" x14ac:dyDescent="0.25">
      <c r="A896" s="11">
        <v>45612.69326388889</v>
      </c>
      <c r="B896" s="10" t="s">
        <v>41</v>
      </c>
      <c r="C896" s="10" t="s">
        <v>1823</v>
      </c>
      <c r="D896" s="10" t="s">
        <v>1824</v>
      </c>
      <c r="E896" s="10">
        <v>485</v>
      </c>
      <c r="F896" s="10" t="s">
        <v>19</v>
      </c>
      <c r="G896" s="10">
        <v>24.6</v>
      </c>
      <c r="H896" s="10">
        <v>50.3</v>
      </c>
      <c r="I896" s="10" t="s">
        <v>26</v>
      </c>
      <c r="J896" s="10">
        <v>11</v>
      </c>
      <c r="K896" s="10">
        <v>155</v>
      </c>
      <c r="L896" s="10">
        <v>1</v>
      </c>
      <c r="M896" s="10" t="s">
        <v>51</v>
      </c>
      <c r="N896" s="10">
        <v>84.9</v>
      </c>
      <c r="O896" s="10">
        <v>161</v>
      </c>
      <c r="P896" s="10">
        <v>1</v>
      </c>
      <c r="Q896" s="10" t="str">
        <f>+IF(Tabla2[[#This Row],[Demand_Forecast]]&lt;= 125,"Low demand",IF(Tabla2[[#This Row],[Demand_Forecast]] &gt;=285,"High demand","Mid demand"))</f>
        <v>Mid demand</v>
      </c>
    </row>
    <row r="897" spans="1:17" x14ac:dyDescent="0.25">
      <c r="A897" s="11">
        <v>45451.381365740737</v>
      </c>
      <c r="B897" s="10" t="s">
        <v>41</v>
      </c>
      <c r="C897" s="10" t="s">
        <v>1825</v>
      </c>
      <c r="D897" s="10" t="s">
        <v>1826</v>
      </c>
      <c r="E897" s="10">
        <v>312</v>
      </c>
      <c r="F897" s="10" t="s">
        <v>19</v>
      </c>
      <c r="G897" s="10">
        <v>19.100000000000001</v>
      </c>
      <c r="H897" s="10">
        <v>52</v>
      </c>
      <c r="I897" s="10" t="s">
        <v>20</v>
      </c>
      <c r="J897" s="10">
        <v>50</v>
      </c>
      <c r="K897" s="10">
        <v>263</v>
      </c>
      <c r="L897" s="10">
        <v>2</v>
      </c>
      <c r="M897" s="10" t="s">
        <v>21</v>
      </c>
      <c r="N897" s="10">
        <v>87.6</v>
      </c>
      <c r="O897" s="10">
        <v>123</v>
      </c>
      <c r="P897" s="10">
        <v>1</v>
      </c>
      <c r="Q897" s="10" t="str">
        <f>+IF(Tabla2[[#This Row],[Demand_Forecast]]&lt;= 125,"Low demand",IF(Tabla2[[#This Row],[Demand_Forecast]] &gt;=285,"High demand","Mid demand"))</f>
        <v>Low demand</v>
      </c>
    </row>
    <row r="898" spans="1:17" x14ac:dyDescent="0.25">
      <c r="A898" s="11">
        <v>45406.748136574075</v>
      </c>
      <c r="B898" s="10" t="s">
        <v>22</v>
      </c>
      <c r="C898" s="10" t="s">
        <v>1827</v>
      </c>
      <c r="D898" s="10" t="s">
        <v>1828</v>
      </c>
      <c r="E898" s="10">
        <v>286</v>
      </c>
      <c r="F898" s="10" t="s">
        <v>25</v>
      </c>
      <c r="G898" s="10">
        <v>25.1</v>
      </c>
      <c r="H898" s="10">
        <v>56.2</v>
      </c>
      <c r="I898" s="10" t="s">
        <v>20</v>
      </c>
      <c r="J898" s="10">
        <v>50</v>
      </c>
      <c r="K898" s="10">
        <v>408</v>
      </c>
      <c r="L898" s="10">
        <v>10</v>
      </c>
      <c r="M898" s="10" t="s">
        <v>35</v>
      </c>
      <c r="N898" s="10">
        <v>99.3</v>
      </c>
      <c r="O898" s="10">
        <v>148</v>
      </c>
      <c r="P898" s="10">
        <v>0</v>
      </c>
      <c r="Q898" s="10" t="str">
        <f>+IF(Tabla2[[#This Row],[Demand_Forecast]]&lt;= 125,"Low demand",IF(Tabla2[[#This Row],[Demand_Forecast]] &gt;=285,"High demand","Mid demand"))</f>
        <v>Mid demand</v>
      </c>
    </row>
    <row r="899" spans="1:17" x14ac:dyDescent="0.25">
      <c r="A899" s="11">
        <v>45352.856111111112</v>
      </c>
      <c r="B899" s="10" t="s">
        <v>61</v>
      </c>
      <c r="C899" s="10" t="s">
        <v>1829</v>
      </c>
      <c r="D899" s="10" t="s">
        <v>1830</v>
      </c>
      <c r="E899" s="10">
        <v>396</v>
      </c>
      <c r="F899" s="10" t="s">
        <v>25</v>
      </c>
      <c r="G899" s="10">
        <v>23</v>
      </c>
      <c r="H899" s="10">
        <v>61.1</v>
      </c>
      <c r="I899" s="10" t="s">
        <v>38</v>
      </c>
      <c r="J899" s="10">
        <v>14</v>
      </c>
      <c r="K899" s="10">
        <v>439</v>
      </c>
      <c r="L899" s="10">
        <v>8</v>
      </c>
      <c r="M899" s="10" t="s">
        <v>21</v>
      </c>
      <c r="N899" s="10">
        <v>91.9</v>
      </c>
      <c r="O899" s="10">
        <v>119</v>
      </c>
      <c r="P899" s="10">
        <v>0</v>
      </c>
      <c r="Q899" s="10" t="str">
        <f>+IF(Tabla2[[#This Row],[Demand_Forecast]]&lt;= 125,"Low demand",IF(Tabla2[[#This Row],[Demand_Forecast]] &gt;=285,"High demand","Mid demand"))</f>
        <v>Low demand</v>
      </c>
    </row>
    <row r="900" spans="1:17" x14ac:dyDescent="0.25">
      <c r="A900" s="11">
        <v>45345.778182870374</v>
      </c>
      <c r="B900" s="10" t="s">
        <v>95</v>
      </c>
      <c r="C900" s="10" t="s">
        <v>1831</v>
      </c>
      <c r="D900" s="10" t="s">
        <v>1832</v>
      </c>
      <c r="E900" s="10">
        <v>352</v>
      </c>
      <c r="F900" s="10" t="s">
        <v>34</v>
      </c>
      <c r="G900" s="10">
        <v>26.6</v>
      </c>
      <c r="H900" s="10">
        <v>70.3</v>
      </c>
      <c r="I900" s="10" t="s">
        <v>20</v>
      </c>
      <c r="J900" s="10">
        <v>12</v>
      </c>
      <c r="K900" s="10">
        <v>260</v>
      </c>
      <c r="L900" s="10">
        <v>7</v>
      </c>
      <c r="M900" s="10" t="s">
        <v>35</v>
      </c>
      <c r="N900" s="10">
        <v>77.400000000000006</v>
      </c>
      <c r="O900" s="10">
        <v>267</v>
      </c>
      <c r="P900" s="10">
        <v>0</v>
      </c>
      <c r="Q900" s="10" t="str">
        <f>+IF(Tabla2[[#This Row],[Demand_Forecast]]&lt;= 125,"Low demand",IF(Tabla2[[#This Row],[Demand_Forecast]] &gt;=285,"High demand","Mid demand"))</f>
        <v>Mid demand</v>
      </c>
    </row>
    <row r="901" spans="1:17" x14ac:dyDescent="0.25">
      <c r="A901" s="11">
        <v>45560.218495370369</v>
      </c>
      <c r="B901" s="10" t="s">
        <v>16</v>
      </c>
      <c r="C901" s="10" t="s">
        <v>1833</v>
      </c>
      <c r="D901" s="10" t="s">
        <v>1834</v>
      </c>
      <c r="E901" s="10">
        <v>410</v>
      </c>
      <c r="F901" s="10" t="s">
        <v>34</v>
      </c>
      <c r="G901" s="10">
        <v>28.4</v>
      </c>
      <c r="H901" s="10">
        <v>52.7</v>
      </c>
      <c r="I901" s="10" t="s">
        <v>20</v>
      </c>
      <c r="J901" s="10">
        <v>48</v>
      </c>
      <c r="K901" s="10">
        <v>352</v>
      </c>
      <c r="L901" s="10">
        <v>8</v>
      </c>
      <c r="M901" s="10" t="s">
        <v>27</v>
      </c>
      <c r="N901" s="10">
        <v>95.5</v>
      </c>
      <c r="O901" s="10">
        <v>213</v>
      </c>
      <c r="P901" s="10">
        <v>0</v>
      </c>
      <c r="Q901" s="10" t="str">
        <f>+IF(Tabla2[[#This Row],[Demand_Forecast]]&lt;= 125,"Low demand",IF(Tabla2[[#This Row],[Demand_Forecast]] &gt;=285,"High demand","Mid demand"))</f>
        <v>Mid demand</v>
      </c>
    </row>
    <row r="902" spans="1:17" x14ac:dyDescent="0.25">
      <c r="A902" s="11">
        <v>45360.799363425926</v>
      </c>
      <c r="B902" s="10" t="s">
        <v>28</v>
      </c>
      <c r="C902" s="10" t="s">
        <v>1835</v>
      </c>
      <c r="D902" s="10" t="s">
        <v>1836</v>
      </c>
      <c r="E902" s="10">
        <v>484</v>
      </c>
      <c r="F902" s="10" t="s">
        <v>19</v>
      </c>
      <c r="G902" s="10">
        <v>22.8</v>
      </c>
      <c r="H902" s="10">
        <v>53.7</v>
      </c>
      <c r="I902" s="10" t="s">
        <v>38</v>
      </c>
      <c r="J902" s="10">
        <v>18</v>
      </c>
      <c r="K902" s="10">
        <v>176</v>
      </c>
      <c r="L902" s="10">
        <v>4</v>
      </c>
      <c r="M902" s="10" t="s">
        <v>27</v>
      </c>
      <c r="N902" s="10">
        <v>73.7</v>
      </c>
      <c r="O902" s="10">
        <v>131</v>
      </c>
      <c r="P902" s="10">
        <v>1</v>
      </c>
      <c r="Q902" s="10" t="str">
        <f>+IF(Tabla2[[#This Row],[Demand_Forecast]]&lt;= 125,"Low demand",IF(Tabla2[[#This Row],[Demand_Forecast]] &gt;=285,"High demand","Mid demand"))</f>
        <v>Mid demand</v>
      </c>
    </row>
    <row r="903" spans="1:17" x14ac:dyDescent="0.25">
      <c r="A903" s="11">
        <v>45320.621493055558</v>
      </c>
      <c r="B903" s="10" t="s">
        <v>95</v>
      </c>
      <c r="C903" s="10" t="s">
        <v>1837</v>
      </c>
      <c r="D903" s="10" t="s">
        <v>1838</v>
      </c>
      <c r="E903" s="10">
        <v>152</v>
      </c>
      <c r="F903" s="10" t="s">
        <v>25</v>
      </c>
      <c r="G903" s="10">
        <v>18.7</v>
      </c>
      <c r="H903" s="10">
        <v>68.599999999999994</v>
      </c>
      <c r="I903" s="10" t="s">
        <v>38</v>
      </c>
      <c r="J903" s="10">
        <v>51</v>
      </c>
      <c r="K903" s="10">
        <v>483</v>
      </c>
      <c r="L903" s="10">
        <v>2</v>
      </c>
      <c r="M903" s="10" t="s">
        <v>27</v>
      </c>
      <c r="N903" s="10">
        <v>87.8</v>
      </c>
      <c r="O903" s="10">
        <v>163</v>
      </c>
      <c r="P903" s="10">
        <v>0</v>
      </c>
      <c r="Q903" s="10" t="str">
        <f>+IF(Tabla2[[#This Row],[Demand_Forecast]]&lt;= 125,"Low demand",IF(Tabla2[[#This Row],[Demand_Forecast]] &gt;=285,"High demand","Mid demand"))</f>
        <v>Mid demand</v>
      </c>
    </row>
    <row r="904" spans="1:17" x14ac:dyDescent="0.25">
      <c r="A904" s="11">
        <v>45572.745775462965</v>
      </c>
      <c r="B904" s="10" t="s">
        <v>64</v>
      </c>
      <c r="C904" s="10" t="s">
        <v>1839</v>
      </c>
      <c r="D904" s="10" t="s">
        <v>1840</v>
      </c>
      <c r="E904" s="10">
        <v>329</v>
      </c>
      <c r="F904" s="10" t="s">
        <v>34</v>
      </c>
      <c r="G904" s="10">
        <v>27.3</v>
      </c>
      <c r="H904" s="10">
        <v>68.400000000000006</v>
      </c>
      <c r="I904" s="10" t="s">
        <v>20</v>
      </c>
      <c r="J904" s="10">
        <v>57</v>
      </c>
      <c r="K904" s="10">
        <v>418</v>
      </c>
      <c r="L904" s="10">
        <v>1</v>
      </c>
      <c r="M904" s="10" t="s">
        <v>35</v>
      </c>
      <c r="N904" s="10">
        <v>90</v>
      </c>
      <c r="O904" s="10">
        <v>101</v>
      </c>
      <c r="P904" s="10">
        <v>0</v>
      </c>
      <c r="Q904" s="10" t="str">
        <f>+IF(Tabla2[[#This Row],[Demand_Forecast]]&lt;= 125,"Low demand",IF(Tabla2[[#This Row],[Demand_Forecast]] &gt;=285,"High demand","Mid demand"))</f>
        <v>Low demand</v>
      </c>
    </row>
    <row r="905" spans="1:17" x14ac:dyDescent="0.25">
      <c r="A905" s="11">
        <v>45582.641504629632</v>
      </c>
      <c r="B905" s="10" t="s">
        <v>61</v>
      </c>
      <c r="C905" s="10" t="s">
        <v>1841</v>
      </c>
      <c r="D905" s="10" t="s">
        <v>1842</v>
      </c>
      <c r="E905" s="10">
        <v>314</v>
      </c>
      <c r="F905" s="10" t="s">
        <v>19</v>
      </c>
      <c r="G905" s="10">
        <v>23.8</v>
      </c>
      <c r="H905" s="10">
        <v>63.7</v>
      </c>
      <c r="I905" s="10" t="s">
        <v>20</v>
      </c>
      <c r="J905" s="10">
        <v>41</v>
      </c>
      <c r="K905" s="10">
        <v>117</v>
      </c>
      <c r="L905" s="10">
        <v>8</v>
      </c>
      <c r="M905" s="10" t="s">
        <v>21</v>
      </c>
      <c r="N905" s="10">
        <v>69.5</v>
      </c>
      <c r="O905" s="10">
        <v>147</v>
      </c>
      <c r="P905" s="10">
        <v>1</v>
      </c>
      <c r="Q905" s="10" t="str">
        <f>+IF(Tabla2[[#This Row],[Demand_Forecast]]&lt;= 125,"Low demand",IF(Tabla2[[#This Row],[Demand_Forecast]] &gt;=285,"High demand","Mid demand"))</f>
        <v>Mid demand</v>
      </c>
    </row>
    <row r="906" spans="1:17" x14ac:dyDescent="0.25">
      <c r="A906" s="11">
        <v>45321.040752314817</v>
      </c>
      <c r="B906" s="10" t="s">
        <v>61</v>
      </c>
      <c r="C906" s="10" t="s">
        <v>1843</v>
      </c>
      <c r="D906" s="10" t="s">
        <v>1844</v>
      </c>
      <c r="E906" s="10">
        <v>121</v>
      </c>
      <c r="F906" s="10" t="s">
        <v>25</v>
      </c>
      <c r="G906" s="10">
        <v>27.2</v>
      </c>
      <c r="H906" s="10">
        <v>71.099999999999994</v>
      </c>
      <c r="I906" s="10" t="s">
        <v>20</v>
      </c>
      <c r="J906" s="10">
        <v>44</v>
      </c>
      <c r="K906" s="10">
        <v>340</v>
      </c>
      <c r="L906" s="10">
        <v>8</v>
      </c>
      <c r="M906" s="10" t="s">
        <v>21</v>
      </c>
      <c r="N906" s="10">
        <v>74.599999999999994</v>
      </c>
      <c r="O906" s="10">
        <v>286</v>
      </c>
      <c r="P906" s="10">
        <v>0</v>
      </c>
      <c r="Q906" s="10" t="str">
        <f>+IF(Tabla2[[#This Row],[Demand_Forecast]]&lt;= 125,"Low demand",IF(Tabla2[[#This Row],[Demand_Forecast]] &gt;=285,"High demand","Mid demand"))</f>
        <v>High demand</v>
      </c>
    </row>
    <row r="907" spans="1:17" x14ac:dyDescent="0.25">
      <c r="A907" s="11">
        <v>45519.336377314816</v>
      </c>
      <c r="B907" s="10" t="s">
        <v>95</v>
      </c>
      <c r="C907" s="10" t="s">
        <v>1845</v>
      </c>
      <c r="D907" s="10" t="s">
        <v>1846</v>
      </c>
      <c r="E907" s="10">
        <v>428</v>
      </c>
      <c r="F907" s="10" t="s">
        <v>34</v>
      </c>
      <c r="G907" s="10">
        <v>24.1</v>
      </c>
      <c r="H907" s="10">
        <v>58.4</v>
      </c>
      <c r="I907" s="10" t="s">
        <v>20</v>
      </c>
      <c r="J907" s="10">
        <v>11</v>
      </c>
      <c r="K907" s="10">
        <v>111</v>
      </c>
      <c r="L907" s="10">
        <v>6</v>
      </c>
      <c r="M907" s="10" t="s">
        <v>27</v>
      </c>
      <c r="N907" s="10">
        <v>81.099999999999994</v>
      </c>
      <c r="O907" s="10">
        <v>111</v>
      </c>
      <c r="P907" s="10">
        <v>0</v>
      </c>
      <c r="Q907" s="10" t="str">
        <f>+IF(Tabla2[[#This Row],[Demand_Forecast]]&lt;= 125,"Low demand",IF(Tabla2[[#This Row],[Demand_Forecast]] &gt;=285,"High demand","Mid demand"))</f>
        <v>Low demand</v>
      </c>
    </row>
    <row r="908" spans="1:17" x14ac:dyDescent="0.25">
      <c r="A908" s="11">
        <v>45328.376134259262</v>
      </c>
      <c r="B908" s="10" t="s">
        <v>28</v>
      </c>
      <c r="C908" s="10" t="s">
        <v>1847</v>
      </c>
      <c r="D908" s="10" t="s">
        <v>1848</v>
      </c>
      <c r="E908" s="10">
        <v>113</v>
      </c>
      <c r="F908" s="10" t="s">
        <v>25</v>
      </c>
      <c r="G908" s="10">
        <v>23</v>
      </c>
      <c r="H908" s="10">
        <v>73.400000000000006</v>
      </c>
      <c r="I908" s="10" t="s">
        <v>20</v>
      </c>
      <c r="J908" s="10">
        <v>50</v>
      </c>
      <c r="K908" s="10">
        <v>309</v>
      </c>
      <c r="L908" s="10">
        <v>8</v>
      </c>
      <c r="M908" s="10" t="s">
        <v>35</v>
      </c>
      <c r="N908" s="10">
        <v>71.7</v>
      </c>
      <c r="O908" s="10">
        <v>293</v>
      </c>
      <c r="P908" s="10">
        <v>0</v>
      </c>
      <c r="Q908" s="10" t="str">
        <f>+IF(Tabla2[[#This Row],[Demand_Forecast]]&lt;= 125,"Low demand",IF(Tabla2[[#This Row],[Demand_Forecast]] &gt;=285,"High demand","Mid demand"))</f>
        <v>High demand</v>
      </c>
    </row>
    <row r="909" spans="1:17" x14ac:dyDescent="0.25">
      <c r="A909" s="11">
        <v>45299.610879629632</v>
      </c>
      <c r="B909" s="10" t="s">
        <v>16</v>
      </c>
      <c r="C909" s="10" t="s">
        <v>1849</v>
      </c>
      <c r="D909" s="10" t="s">
        <v>1850</v>
      </c>
      <c r="E909" s="10">
        <v>201</v>
      </c>
      <c r="F909" s="10" t="s">
        <v>19</v>
      </c>
      <c r="G909" s="10">
        <v>27.9</v>
      </c>
      <c r="H909" s="10">
        <v>64.400000000000006</v>
      </c>
      <c r="I909" s="10" t="s">
        <v>38</v>
      </c>
      <c r="J909" s="10">
        <v>30</v>
      </c>
      <c r="K909" s="10">
        <v>198</v>
      </c>
      <c r="L909" s="10">
        <v>7</v>
      </c>
      <c r="M909" s="10" t="s">
        <v>27</v>
      </c>
      <c r="N909" s="10">
        <v>93.9</v>
      </c>
      <c r="O909" s="10">
        <v>276</v>
      </c>
      <c r="P909" s="10">
        <v>1</v>
      </c>
      <c r="Q909" s="10" t="str">
        <f>+IF(Tabla2[[#This Row],[Demand_Forecast]]&lt;= 125,"Low demand",IF(Tabla2[[#This Row],[Demand_Forecast]] &gt;=285,"High demand","Mid demand"))</f>
        <v>Mid demand</v>
      </c>
    </row>
    <row r="910" spans="1:17" x14ac:dyDescent="0.25">
      <c r="A910" s="11">
        <v>45393.250648148147</v>
      </c>
      <c r="B910" s="10" t="s">
        <v>56</v>
      </c>
      <c r="C910" s="10" t="s">
        <v>1851</v>
      </c>
      <c r="D910" s="10" t="s">
        <v>1852</v>
      </c>
      <c r="E910" s="10">
        <v>227</v>
      </c>
      <c r="F910" s="10" t="s">
        <v>19</v>
      </c>
      <c r="G910" s="10">
        <v>28.3</v>
      </c>
      <c r="H910" s="10">
        <v>62.8</v>
      </c>
      <c r="I910" s="10" t="s">
        <v>20</v>
      </c>
      <c r="J910" s="10">
        <v>30</v>
      </c>
      <c r="K910" s="10">
        <v>400</v>
      </c>
      <c r="L910" s="10">
        <v>4</v>
      </c>
      <c r="M910" s="10" t="s">
        <v>35</v>
      </c>
      <c r="N910" s="10">
        <v>68.2</v>
      </c>
      <c r="O910" s="10">
        <v>194</v>
      </c>
      <c r="P910" s="10">
        <v>1</v>
      </c>
      <c r="Q910" s="10" t="str">
        <f>+IF(Tabla2[[#This Row],[Demand_Forecast]]&lt;= 125,"Low demand",IF(Tabla2[[#This Row],[Demand_Forecast]] &gt;=285,"High demand","Mid demand"))</f>
        <v>Mid demand</v>
      </c>
    </row>
    <row r="911" spans="1:17" x14ac:dyDescent="0.25">
      <c r="A911" s="11">
        <v>45371.897557870368</v>
      </c>
      <c r="B911" s="10" t="s">
        <v>48</v>
      </c>
      <c r="C911" s="10" t="s">
        <v>1853</v>
      </c>
      <c r="D911" s="10" t="s">
        <v>1854</v>
      </c>
      <c r="E911" s="10">
        <v>445</v>
      </c>
      <c r="F911" s="10" t="s">
        <v>34</v>
      </c>
      <c r="G911" s="10">
        <v>25.3</v>
      </c>
      <c r="H911" s="10">
        <v>57.9</v>
      </c>
      <c r="I911" s="10" t="s">
        <v>20</v>
      </c>
      <c r="J911" s="10">
        <v>38</v>
      </c>
      <c r="K911" s="10">
        <v>364</v>
      </c>
      <c r="L911" s="10">
        <v>1</v>
      </c>
      <c r="M911" s="10" t="s">
        <v>35</v>
      </c>
      <c r="N911" s="10">
        <v>93.6</v>
      </c>
      <c r="O911" s="10">
        <v>275</v>
      </c>
      <c r="P911" s="10">
        <v>0</v>
      </c>
      <c r="Q911" s="10" t="str">
        <f>+IF(Tabla2[[#This Row],[Demand_Forecast]]&lt;= 125,"Low demand",IF(Tabla2[[#This Row],[Demand_Forecast]] &gt;=285,"High demand","Mid demand"))</f>
        <v>Mid demand</v>
      </c>
    </row>
    <row r="912" spans="1:17" x14ac:dyDescent="0.25">
      <c r="A912" s="11">
        <v>45411.438287037039</v>
      </c>
      <c r="B912" s="10" t="s">
        <v>48</v>
      </c>
      <c r="C912" s="10" t="s">
        <v>1855</v>
      </c>
      <c r="D912" s="10" t="s">
        <v>1856</v>
      </c>
      <c r="E912" s="10">
        <v>407</v>
      </c>
      <c r="F912" s="10" t="s">
        <v>25</v>
      </c>
      <c r="G912" s="10">
        <v>29.6</v>
      </c>
      <c r="H912" s="10">
        <v>64.3</v>
      </c>
      <c r="I912" s="10" t="s">
        <v>26</v>
      </c>
      <c r="J912" s="10">
        <v>10</v>
      </c>
      <c r="K912" s="10">
        <v>102</v>
      </c>
      <c r="L912" s="10">
        <v>6</v>
      </c>
      <c r="M912" s="10" t="s">
        <v>21</v>
      </c>
      <c r="N912" s="10">
        <v>98.5</v>
      </c>
      <c r="O912" s="10">
        <v>133</v>
      </c>
      <c r="P912" s="10">
        <v>1</v>
      </c>
      <c r="Q912" s="10" t="str">
        <f>+IF(Tabla2[[#This Row],[Demand_Forecast]]&lt;= 125,"Low demand",IF(Tabla2[[#This Row],[Demand_Forecast]] &gt;=285,"High demand","Mid demand"))</f>
        <v>Mid demand</v>
      </c>
    </row>
    <row r="913" spans="1:17" x14ac:dyDescent="0.25">
      <c r="A913" s="11">
        <v>45646.466990740744</v>
      </c>
      <c r="B913" s="10" t="s">
        <v>56</v>
      </c>
      <c r="C913" s="10" t="s">
        <v>1857</v>
      </c>
      <c r="D913" s="10" t="s">
        <v>1858</v>
      </c>
      <c r="E913" s="10">
        <v>135</v>
      </c>
      <c r="F913" s="10" t="s">
        <v>25</v>
      </c>
      <c r="G913" s="10">
        <v>22.9</v>
      </c>
      <c r="H913" s="10">
        <v>60.9</v>
      </c>
      <c r="I913" s="10" t="s">
        <v>26</v>
      </c>
      <c r="J913" s="10">
        <v>42</v>
      </c>
      <c r="K913" s="10">
        <v>379</v>
      </c>
      <c r="L913" s="10">
        <v>8</v>
      </c>
      <c r="M913" s="10" t="s">
        <v>35</v>
      </c>
      <c r="N913" s="10">
        <v>93.2</v>
      </c>
      <c r="O913" s="10">
        <v>159</v>
      </c>
      <c r="P913" s="10">
        <v>1</v>
      </c>
      <c r="Q913" s="10" t="str">
        <f>+IF(Tabla2[[#This Row],[Demand_Forecast]]&lt;= 125,"Low demand",IF(Tabla2[[#This Row],[Demand_Forecast]] &gt;=285,"High demand","Mid demand"))</f>
        <v>Mid demand</v>
      </c>
    </row>
    <row r="914" spans="1:17" x14ac:dyDescent="0.25">
      <c r="A914" s="11">
        <v>45478.78806712963</v>
      </c>
      <c r="B914" s="10" t="s">
        <v>95</v>
      </c>
      <c r="C914" s="10" t="s">
        <v>1859</v>
      </c>
      <c r="D914" s="10" t="s">
        <v>1860</v>
      </c>
      <c r="E914" s="10">
        <v>160</v>
      </c>
      <c r="F914" s="10" t="s">
        <v>34</v>
      </c>
      <c r="G914" s="10">
        <v>22.3</v>
      </c>
      <c r="H914" s="10">
        <v>69.7</v>
      </c>
      <c r="I914" s="10" t="s">
        <v>20</v>
      </c>
      <c r="J914" s="10">
        <v>37</v>
      </c>
      <c r="K914" s="10">
        <v>255</v>
      </c>
      <c r="L914" s="10">
        <v>7</v>
      </c>
      <c r="M914" s="10" t="s">
        <v>35</v>
      </c>
      <c r="N914" s="10">
        <v>66.8</v>
      </c>
      <c r="O914" s="10">
        <v>170</v>
      </c>
      <c r="P914" s="10">
        <v>0</v>
      </c>
      <c r="Q914" s="10" t="str">
        <f>+IF(Tabla2[[#This Row],[Demand_Forecast]]&lt;= 125,"Low demand",IF(Tabla2[[#This Row],[Demand_Forecast]] &gt;=285,"High demand","Mid demand"))</f>
        <v>Mid demand</v>
      </c>
    </row>
    <row r="915" spans="1:17" x14ac:dyDescent="0.25">
      <c r="A915" s="11">
        <v>45349.068807870368</v>
      </c>
      <c r="B915" s="10" t="s">
        <v>64</v>
      </c>
      <c r="C915" s="10" t="s">
        <v>1861</v>
      </c>
      <c r="D915" s="10" t="s">
        <v>1862</v>
      </c>
      <c r="E915" s="10">
        <v>472</v>
      </c>
      <c r="F915" s="10" t="s">
        <v>25</v>
      </c>
      <c r="G915" s="10">
        <v>22.7</v>
      </c>
      <c r="H915" s="10">
        <v>53</v>
      </c>
      <c r="I915" s="10" t="s">
        <v>26</v>
      </c>
      <c r="J915" s="10">
        <v>30</v>
      </c>
      <c r="K915" s="10">
        <v>389</v>
      </c>
      <c r="L915" s="10">
        <v>6</v>
      </c>
      <c r="M915" s="10" t="s">
        <v>27</v>
      </c>
      <c r="N915" s="10">
        <v>86.8</v>
      </c>
      <c r="O915" s="10">
        <v>232</v>
      </c>
      <c r="P915" s="10">
        <v>1</v>
      </c>
      <c r="Q915" s="10" t="str">
        <f>+IF(Tabla2[[#This Row],[Demand_Forecast]]&lt;= 125,"Low demand",IF(Tabla2[[#This Row],[Demand_Forecast]] &gt;=285,"High demand","Mid demand"))</f>
        <v>Mid demand</v>
      </c>
    </row>
    <row r="916" spans="1:17" x14ac:dyDescent="0.25">
      <c r="A916" s="11">
        <v>45576.816886574074</v>
      </c>
      <c r="B916" s="10" t="s">
        <v>28</v>
      </c>
      <c r="C916" s="10" t="s">
        <v>1863</v>
      </c>
      <c r="D916" s="10" t="s">
        <v>1864</v>
      </c>
      <c r="E916" s="10">
        <v>408</v>
      </c>
      <c r="F916" s="10" t="s">
        <v>25</v>
      </c>
      <c r="G916" s="10">
        <v>19.5</v>
      </c>
      <c r="H916" s="10">
        <v>65.2</v>
      </c>
      <c r="I916" s="10" t="s">
        <v>20</v>
      </c>
      <c r="J916" s="10">
        <v>25</v>
      </c>
      <c r="K916" s="10">
        <v>230</v>
      </c>
      <c r="L916" s="10">
        <v>3</v>
      </c>
      <c r="M916" s="10" t="s">
        <v>35</v>
      </c>
      <c r="N916" s="10">
        <v>61.9</v>
      </c>
      <c r="O916" s="10">
        <v>245</v>
      </c>
      <c r="P916" s="10">
        <v>0</v>
      </c>
      <c r="Q916" s="10" t="str">
        <f>+IF(Tabla2[[#This Row],[Demand_Forecast]]&lt;= 125,"Low demand",IF(Tabla2[[#This Row],[Demand_Forecast]] &gt;=285,"High demand","Mid demand"))</f>
        <v>Mid demand</v>
      </c>
    </row>
    <row r="917" spans="1:17" x14ac:dyDescent="0.25">
      <c r="A917" s="11">
        <v>45654.433067129627</v>
      </c>
      <c r="B917" s="10" t="s">
        <v>41</v>
      </c>
      <c r="C917" s="10" t="s">
        <v>1865</v>
      </c>
      <c r="D917" s="10" t="s">
        <v>1866</v>
      </c>
      <c r="E917" s="10">
        <v>306</v>
      </c>
      <c r="F917" s="10" t="s">
        <v>19</v>
      </c>
      <c r="G917" s="10">
        <v>26.1</v>
      </c>
      <c r="H917" s="10">
        <v>74.8</v>
      </c>
      <c r="I917" s="10" t="s">
        <v>26</v>
      </c>
      <c r="J917" s="10">
        <v>37</v>
      </c>
      <c r="K917" s="10">
        <v>232</v>
      </c>
      <c r="L917" s="10">
        <v>7</v>
      </c>
      <c r="M917" s="10" t="s">
        <v>21</v>
      </c>
      <c r="N917" s="10">
        <v>77.099999999999994</v>
      </c>
      <c r="O917" s="10">
        <v>289</v>
      </c>
      <c r="P917" s="10">
        <v>1</v>
      </c>
      <c r="Q917" s="10" t="str">
        <f>+IF(Tabla2[[#This Row],[Demand_Forecast]]&lt;= 125,"Low demand",IF(Tabla2[[#This Row],[Demand_Forecast]] &gt;=285,"High demand","Mid demand"))</f>
        <v>High demand</v>
      </c>
    </row>
    <row r="918" spans="1:17" x14ac:dyDescent="0.25">
      <c r="A918" s="11">
        <v>45319.096435185187</v>
      </c>
      <c r="B918" s="10" t="s">
        <v>61</v>
      </c>
      <c r="C918" s="10" t="s">
        <v>1867</v>
      </c>
      <c r="D918" s="10" t="s">
        <v>1868</v>
      </c>
      <c r="E918" s="10">
        <v>107</v>
      </c>
      <c r="F918" s="10" t="s">
        <v>25</v>
      </c>
      <c r="G918" s="10">
        <v>28.6</v>
      </c>
      <c r="H918" s="10">
        <v>54.6</v>
      </c>
      <c r="I918" s="10" t="s">
        <v>20</v>
      </c>
      <c r="J918" s="10">
        <v>52</v>
      </c>
      <c r="K918" s="10">
        <v>180</v>
      </c>
      <c r="L918" s="10">
        <v>1</v>
      </c>
      <c r="M918" s="10" t="s">
        <v>35</v>
      </c>
      <c r="N918" s="10">
        <v>89.8</v>
      </c>
      <c r="O918" s="10">
        <v>194</v>
      </c>
      <c r="P918" s="10">
        <v>0</v>
      </c>
      <c r="Q918" s="10" t="str">
        <f>+IF(Tabla2[[#This Row],[Demand_Forecast]]&lt;= 125,"Low demand",IF(Tabla2[[#This Row],[Demand_Forecast]] &gt;=285,"High demand","Mid demand"))</f>
        <v>Mid demand</v>
      </c>
    </row>
    <row r="919" spans="1:17" x14ac:dyDescent="0.25">
      <c r="A919" s="11">
        <v>45576.22997685185</v>
      </c>
      <c r="B919" s="10" t="s">
        <v>48</v>
      </c>
      <c r="C919" s="10" t="s">
        <v>1869</v>
      </c>
      <c r="D919" s="10" t="s">
        <v>1870</v>
      </c>
      <c r="E919" s="10">
        <v>155</v>
      </c>
      <c r="F919" s="10" t="s">
        <v>34</v>
      </c>
      <c r="G919" s="10">
        <v>26.9</v>
      </c>
      <c r="H919" s="10">
        <v>75</v>
      </c>
      <c r="I919" s="10" t="s">
        <v>20</v>
      </c>
      <c r="J919" s="10">
        <v>25</v>
      </c>
      <c r="K919" s="10">
        <v>446</v>
      </c>
      <c r="L919" s="10">
        <v>5</v>
      </c>
      <c r="M919" s="10" t="s">
        <v>51</v>
      </c>
      <c r="N919" s="10">
        <v>96.8</v>
      </c>
      <c r="O919" s="10">
        <v>176</v>
      </c>
      <c r="P919" s="10">
        <v>0</v>
      </c>
      <c r="Q919" s="10" t="str">
        <f>+IF(Tabla2[[#This Row],[Demand_Forecast]]&lt;= 125,"Low demand",IF(Tabla2[[#This Row],[Demand_Forecast]] &gt;=285,"High demand","Mid demand"))</f>
        <v>Mid demand</v>
      </c>
    </row>
    <row r="920" spans="1:17" x14ac:dyDescent="0.25">
      <c r="A920" s="11">
        <v>45572.572824074072</v>
      </c>
      <c r="B920" s="10" t="s">
        <v>28</v>
      </c>
      <c r="C920" s="10" t="s">
        <v>1871</v>
      </c>
      <c r="D920" s="10" t="s">
        <v>1872</v>
      </c>
      <c r="E920" s="10">
        <v>414</v>
      </c>
      <c r="F920" s="10" t="s">
        <v>34</v>
      </c>
      <c r="G920" s="10">
        <v>26.8</v>
      </c>
      <c r="H920" s="10">
        <v>73.900000000000006</v>
      </c>
      <c r="I920" s="10" t="s">
        <v>26</v>
      </c>
      <c r="J920" s="10">
        <v>14</v>
      </c>
      <c r="K920" s="10">
        <v>130</v>
      </c>
      <c r="L920" s="10">
        <v>1</v>
      </c>
      <c r="M920" s="10" t="s">
        <v>51</v>
      </c>
      <c r="N920" s="10">
        <v>86.9</v>
      </c>
      <c r="O920" s="10">
        <v>267</v>
      </c>
      <c r="P920" s="10">
        <v>1</v>
      </c>
      <c r="Q920" s="10" t="str">
        <f>+IF(Tabla2[[#This Row],[Demand_Forecast]]&lt;= 125,"Low demand",IF(Tabla2[[#This Row],[Demand_Forecast]] &gt;=285,"High demand","Mid demand"))</f>
        <v>Mid demand</v>
      </c>
    </row>
    <row r="921" spans="1:17" x14ac:dyDescent="0.25">
      <c r="A921" s="11">
        <v>45450.442754629628</v>
      </c>
      <c r="B921" s="10" t="s">
        <v>64</v>
      </c>
      <c r="C921" s="10" t="s">
        <v>1873</v>
      </c>
      <c r="D921" s="10" t="s">
        <v>1874</v>
      </c>
      <c r="E921" s="10">
        <v>177</v>
      </c>
      <c r="F921" s="10" t="s">
        <v>19</v>
      </c>
      <c r="G921" s="10">
        <v>19.899999999999999</v>
      </c>
      <c r="H921" s="10">
        <v>58.4</v>
      </c>
      <c r="I921" s="10" t="s">
        <v>38</v>
      </c>
      <c r="J921" s="10">
        <v>57</v>
      </c>
      <c r="K921" s="10">
        <v>335</v>
      </c>
      <c r="L921" s="10">
        <v>5</v>
      </c>
      <c r="M921" s="10" t="s">
        <v>27</v>
      </c>
      <c r="N921" s="10">
        <v>98.6</v>
      </c>
      <c r="O921" s="10">
        <v>283</v>
      </c>
      <c r="P921" s="10">
        <v>1</v>
      </c>
      <c r="Q921" s="10" t="str">
        <f>+IF(Tabla2[[#This Row],[Demand_Forecast]]&lt;= 125,"Low demand",IF(Tabla2[[#This Row],[Demand_Forecast]] &gt;=285,"High demand","Mid demand"))</f>
        <v>Mid demand</v>
      </c>
    </row>
    <row r="922" spans="1:17" x14ac:dyDescent="0.25">
      <c r="A922" s="11">
        <v>45646.177141203705</v>
      </c>
      <c r="B922" s="10" t="s">
        <v>31</v>
      </c>
      <c r="C922" s="10" t="s">
        <v>1875</v>
      </c>
      <c r="D922" s="10" t="s">
        <v>1876</v>
      </c>
      <c r="E922" s="10">
        <v>118</v>
      </c>
      <c r="F922" s="10" t="s">
        <v>34</v>
      </c>
      <c r="G922" s="10">
        <v>26.8</v>
      </c>
      <c r="H922" s="10">
        <v>65.400000000000006</v>
      </c>
      <c r="I922" s="10" t="s">
        <v>20</v>
      </c>
      <c r="J922" s="10">
        <v>21</v>
      </c>
      <c r="K922" s="10">
        <v>475</v>
      </c>
      <c r="L922" s="10">
        <v>1</v>
      </c>
      <c r="M922" s="10" t="s">
        <v>51</v>
      </c>
      <c r="N922" s="10">
        <v>96.9</v>
      </c>
      <c r="O922" s="10">
        <v>165</v>
      </c>
      <c r="P922" s="10">
        <v>0</v>
      </c>
      <c r="Q922" s="10" t="str">
        <f>+IF(Tabla2[[#This Row],[Demand_Forecast]]&lt;= 125,"Low demand",IF(Tabla2[[#This Row],[Demand_Forecast]] &gt;=285,"High demand","Mid demand"))</f>
        <v>Mid demand</v>
      </c>
    </row>
    <row r="923" spans="1:17" x14ac:dyDescent="0.25">
      <c r="A923" s="11">
        <v>45333.878738425927</v>
      </c>
      <c r="B923" s="10" t="s">
        <v>95</v>
      </c>
      <c r="C923" s="10" t="s">
        <v>1877</v>
      </c>
      <c r="D923" s="10" t="s">
        <v>1878</v>
      </c>
      <c r="E923" s="10">
        <v>438</v>
      </c>
      <c r="F923" s="10" t="s">
        <v>25</v>
      </c>
      <c r="G923" s="10">
        <v>25</v>
      </c>
      <c r="H923" s="10">
        <v>65.2</v>
      </c>
      <c r="I923" s="10" t="s">
        <v>20</v>
      </c>
      <c r="J923" s="10">
        <v>49</v>
      </c>
      <c r="K923" s="10">
        <v>421</v>
      </c>
      <c r="L923" s="10">
        <v>3</v>
      </c>
      <c r="M923" s="10" t="s">
        <v>21</v>
      </c>
      <c r="N923" s="10">
        <v>82.4</v>
      </c>
      <c r="O923" s="10">
        <v>273</v>
      </c>
      <c r="P923" s="10">
        <v>0</v>
      </c>
      <c r="Q923" s="10" t="str">
        <f>+IF(Tabla2[[#This Row],[Demand_Forecast]]&lt;= 125,"Low demand",IF(Tabla2[[#This Row],[Demand_Forecast]] &gt;=285,"High demand","Mid demand"))</f>
        <v>Mid demand</v>
      </c>
    </row>
    <row r="924" spans="1:17" x14ac:dyDescent="0.25">
      <c r="A924" s="11">
        <v>45344.838738425926</v>
      </c>
      <c r="B924" s="10" t="s">
        <v>95</v>
      </c>
      <c r="C924" s="10" t="s">
        <v>1879</v>
      </c>
      <c r="D924" s="10" t="s">
        <v>1880</v>
      </c>
      <c r="E924" s="10">
        <v>154</v>
      </c>
      <c r="F924" s="10" t="s">
        <v>19</v>
      </c>
      <c r="G924" s="10">
        <v>26.8</v>
      </c>
      <c r="H924" s="10">
        <v>56</v>
      </c>
      <c r="I924" s="10" t="s">
        <v>38</v>
      </c>
      <c r="J924" s="10">
        <v>13</v>
      </c>
      <c r="K924" s="10">
        <v>413</v>
      </c>
      <c r="L924" s="10">
        <v>8</v>
      </c>
      <c r="M924" s="10" t="s">
        <v>35</v>
      </c>
      <c r="N924" s="10">
        <v>73.8</v>
      </c>
      <c r="O924" s="10">
        <v>220</v>
      </c>
      <c r="P924" s="10">
        <v>1</v>
      </c>
      <c r="Q924" s="10" t="str">
        <f>+IF(Tabla2[[#This Row],[Demand_Forecast]]&lt;= 125,"Low demand",IF(Tabla2[[#This Row],[Demand_Forecast]] &gt;=285,"High demand","Mid demand"))</f>
        <v>Mid demand</v>
      </c>
    </row>
    <row r="925" spans="1:17" x14ac:dyDescent="0.25">
      <c r="A925" s="11">
        <v>45437.348749999997</v>
      </c>
      <c r="B925" s="10" t="s">
        <v>56</v>
      </c>
      <c r="C925" s="10" t="s">
        <v>1881</v>
      </c>
      <c r="D925" s="10" t="s">
        <v>1882</v>
      </c>
      <c r="E925" s="10">
        <v>320</v>
      </c>
      <c r="F925" s="10" t="s">
        <v>25</v>
      </c>
      <c r="G925" s="10">
        <v>24.3</v>
      </c>
      <c r="H925" s="10">
        <v>77</v>
      </c>
      <c r="I925" s="10" t="s">
        <v>38</v>
      </c>
      <c r="J925" s="10">
        <v>56</v>
      </c>
      <c r="K925" s="10">
        <v>410</v>
      </c>
      <c r="L925" s="10">
        <v>3</v>
      </c>
      <c r="M925" s="10" t="s">
        <v>35</v>
      </c>
      <c r="N925" s="10">
        <v>73.400000000000006</v>
      </c>
      <c r="O925" s="10">
        <v>141</v>
      </c>
      <c r="P925" s="10">
        <v>0</v>
      </c>
      <c r="Q925" s="10" t="str">
        <f>+IF(Tabla2[[#This Row],[Demand_Forecast]]&lt;= 125,"Low demand",IF(Tabla2[[#This Row],[Demand_Forecast]] &gt;=285,"High demand","Mid demand"))</f>
        <v>Mid demand</v>
      </c>
    </row>
    <row r="926" spans="1:17" x14ac:dyDescent="0.25">
      <c r="A926" s="11">
        <v>45476.514594907407</v>
      </c>
      <c r="B926" s="10" t="s">
        <v>95</v>
      </c>
      <c r="C926" s="10" t="s">
        <v>1883</v>
      </c>
      <c r="D926" s="10" t="s">
        <v>1884</v>
      </c>
      <c r="E926" s="10">
        <v>402</v>
      </c>
      <c r="F926" s="10" t="s">
        <v>19</v>
      </c>
      <c r="G926" s="10">
        <v>20.3</v>
      </c>
      <c r="H926" s="10">
        <v>56.6</v>
      </c>
      <c r="I926" s="10" t="s">
        <v>20</v>
      </c>
      <c r="J926" s="10">
        <v>52</v>
      </c>
      <c r="K926" s="10">
        <v>149</v>
      </c>
      <c r="L926" s="10">
        <v>4</v>
      </c>
      <c r="M926" s="10" t="s">
        <v>27</v>
      </c>
      <c r="N926" s="10">
        <v>82.6</v>
      </c>
      <c r="O926" s="10">
        <v>158</v>
      </c>
      <c r="P926" s="10">
        <v>1</v>
      </c>
      <c r="Q926" s="10" t="str">
        <f>+IF(Tabla2[[#This Row],[Demand_Forecast]]&lt;= 125,"Low demand",IF(Tabla2[[#This Row],[Demand_Forecast]] &gt;=285,"High demand","Mid demand"))</f>
        <v>Mid demand</v>
      </c>
    </row>
    <row r="927" spans="1:17" x14ac:dyDescent="0.25">
      <c r="A927" s="11">
        <v>45319.975590277776</v>
      </c>
      <c r="B927" s="10" t="s">
        <v>16</v>
      </c>
      <c r="C927" s="10" t="s">
        <v>1885</v>
      </c>
      <c r="D927" s="10" t="s">
        <v>1886</v>
      </c>
      <c r="E927" s="10">
        <v>443</v>
      </c>
      <c r="F927" s="10" t="s">
        <v>34</v>
      </c>
      <c r="G927" s="10">
        <v>18.899999999999999</v>
      </c>
      <c r="H927" s="10">
        <v>68.8</v>
      </c>
      <c r="I927" s="10" t="s">
        <v>38</v>
      </c>
      <c r="J927" s="10">
        <v>36</v>
      </c>
      <c r="K927" s="10">
        <v>159</v>
      </c>
      <c r="L927" s="10">
        <v>2</v>
      </c>
      <c r="M927" s="10" t="s">
        <v>27</v>
      </c>
      <c r="N927" s="10">
        <v>86.3</v>
      </c>
      <c r="O927" s="10">
        <v>171</v>
      </c>
      <c r="P927" s="10">
        <v>0</v>
      </c>
      <c r="Q927" s="10" t="str">
        <f>+IF(Tabla2[[#This Row],[Demand_Forecast]]&lt;= 125,"Low demand",IF(Tabla2[[#This Row],[Demand_Forecast]] &gt;=285,"High demand","Mid demand"))</f>
        <v>Mid demand</v>
      </c>
    </row>
    <row r="928" spans="1:17" x14ac:dyDescent="0.25">
      <c r="A928" s="11">
        <v>45453.375092592592</v>
      </c>
      <c r="B928" s="10" t="s">
        <v>16</v>
      </c>
      <c r="C928" s="10" t="s">
        <v>1887</v>
      </c>
      <c r="D928" s="10" t="s">
        <v>1888</v>
      </c>
      <c r="E928" s="10">
        <v>246</v>
      </c>
      <c r="F928" s="10" t="s">
        <v>25</v>
      </c>
      <c r="G928" s="10">
        <v>22</v>
      </c>
      <c r="H928" s="10">
        <v>58.1</v>
      </c>
      <c r="I928" s="10" t="s">
        <v>26</v>
      </c>
      <c r="J928" s="10">
        <v>54</v>
      </c>
      <c r="K928" s="10">
        <v>128</v>
      </c>
      <c r="L928" s="10">
        <v>7</v>
      </c>
      <c r="M928" s="10" t="s">
        <v>35</v>
      </c>
      <c r="N928" s="10">
        <v>61</v>
      </c>
      <c r="O928" s="10">
        <v>265</v>
      </c>
      <c r="P928" s="10">
        <v>1</v>
      </c>
      <c r="Q928" s="10" t="str">
        <f>+IF(Tabla2[[#This Row],[Demand_Forecast]]&lt;= 125,"Low demand",IF(Tabla2[[#This Row],[Demand_Forecast]] &gt;=285,"High demand","Mid demand"))</f>
        <v>Mid demand</v>
      </c>
    </row>
    <row r="929" spans="1:17" x14ac:dyDescent="0.25">
      <c r="A929" s="11">
        <v>45359.967465277776</v>
      </c>
      <c r="B929" s="10" t="s">
        <v>31</v>
      </c>
      <c r="C929" s="10" t="s">
        <v>1889</v>
      </c>
      <c r="D929" s="10" t="s">
        <v>1890</v>
      </c>
      <c r="E929" s="10">
        <v>146</v>
      </c>
      <c r="F929" s="10" t="s">
        <v>25</v>
      </c>
      <c r="G929" s="10">
        <v>20.7</v>
      </c>
      <c r="H929" s="10">
        <v>50.6</v>
      </c>
      <c r="I929" s="10" t="s">
        <v>38</v>
      </c>
      <c r="J929" s="10">
        <v>28</v>
      </c>
      <c r="K929" s="10">
        <v>201</v>
      </c>
      <c r="L929" s="10">
        <v>10</v>
      </c>
      <c r="M929" s="10" t="s">
        <v>27</v>
      </c>
      <c r="N929" s="10">
        <v>75.900000000000006</v>
      </c>
      <c r="O929" s="10">
        <v>178</v>
      </c>
      <c r="P929" s="10">
        <v>0</v>
      </c>
      <c r="Q929" s="10" t="str">
        <f>+IF(Tabla2[[#This Row],[Demand_Forecast]]&lt;= 125,"Low demand",IF(Tabla2[[#This Row],[Demand_Forecast]] &gt;=285,"High demand","Mid demand"))</f>
        <v>Mid demand</v>
      </c>
    </row>
    <row r="930" spans="1:17" x14ac:dyDescent="0.25">
      <c r="A930" s="11">
        <v>45500.425798611112</v>
      </c>
      <c r="B930" s="10" t="s">
        <v>95</v>
      </c>
      <c r="C930" s="10" t="s">
        <v>1891</v>
      </c>
      <c r="D930" s="10" t="s">
        <v>1892</v>
      </c>
      <c r="E930" s="10">
        <v>108</v>
      </c>
      <c r="F930" s="10" t="s">
        <v>34</v>
      </c>
      <c r="G930" s="10">
        <v>23</v>
      </c>
      <c r="H930" s="10">
        <v>73.400000000000006</v>
      </c>
      <c r="I930" s="10" t="s">
        <v>38</v>
      </c>
      <c r="J930" s="10">
        <v>13</v>
      </c>
      <c r="K930" s="10">
        <v>324</v>
      </c>
      <c r="L930" s="10">
        <v>2</v>
      </c>
      <c r="M930" s="10" t="s">
        <v>51</v>
      </c>
      <c r="N930" s="10">
        <v>77.900000000000006</v>
      </c>
      <c r="O930" s="10">
        <v>233</v>
      </c>
      <c r="P930" s="10">
        <v>0</v>
      </c>
      <c r="Q930" s="10" t="str">
        <f>+IF(Tabla2[[#This Row],[Demand_Forecast]]&lt;= 125,"Low demand",IF(Tabla2[[#This Row],[Demand_Forecast]] &gt;=285,"High demand","Mid demand"))</f>
        <v>Mid demand</v>
      </c>
    </row>
    <row r="931" spans="1:17" x14ac:dyDescent="0.25">
      <c r="A931" s="11">
        <v>45545.820625</v>
      </c>
      <c r="B931" s="10" t="s">
        <v>95</v>
      </c>
      <c r="C931" s="10" t="s">
        <v>1893</v>
      </c>
      <c r="D931" s="10" t="s">
        <v>1894</v>
      </c>
      <c r="E931" s="10">
        <v>152</v>
      </c>
      <c r="F931" s="10" t="s">
        <v>34</v>
      </c>
      <c r="G931" s="10">
        <v>22.8</v>
      </c>
      <c r="H931" s="10">
        <v>65.2</v>
      </c>
      <c r="I931" s="10" t="s">
        <v>26</v>
      </c>
      <c r="J931" s="10">
        <v>33</v>
      </c>
      <c r="K931" s="10">
        <v>386</v>
      </c>
      <c r="L931" s="10">
        <v>4</v>
      </c>
      <c r="M931" s="10" t="s">
        <v>27</v>
      </c>
      <c r="N931" s="10">
        <v>63.3</v>
      </c>
      <c r="O931" s="10">
        <v>227</v>
      </c>
      <c r="P931" s="10">
        <v>1</v>
      </c>
      <c r="Q931" s="10" t="str">
        <f>+IF(Tabla2[[#This Row],[Demand_Forecast]]&lt;= 125,"Low demand",IF(Tabla2[[#This Row],[Demand_Forecast]] &gt;=285,"High demand","Mid demand"))</f>
        <v>Mid demand</v>
      </c>
    </row>
    <row r="932" spans="1:17" x14ac:dyDescent="0.25">
      <c r="A932" s="11">
        <v>45409.128101851849</v>
      </c>
      <c r="B932" s="10" t="s">
        <v>28</v>
      </c>
      <c r="C932" s="10" t="s">
        <v>1895</v>
      </c>
      <c r="D932" s="10" t="s">
        <v>1896</v>
      </c>
      <c r="E932" s="10">
        <v>361</v>
      </c>
      <c r="F932" s="10" t="s">
        <v>19</v>
      </c>
      <c r="G932" s="10">
        <v>29.7</v>
      </c>
      <c r="H932" s="10">
        <v>62.2</v>
      </c>
      <c r="I932" s="10" t="s">
        <v>20</v>
      </c>
      <c r="J932" s="10">
        <v>35</v>
      </c>
      <c r="K932" s="10">
        <v>131</v>
      </c>
      <c r="L932" s="10">
        <v>9</v>
      </c>
      <c r="M932" s="10" t="s">
        <v>21</v>
      </c>
      <c r="N932" s="10">
        <v>61.8</v>
      </c>
      <c r="O932" s="10">
        <v>253</v>
      </c>
      <c r="P932" s="10">
        <v>1</v>
      </c>
      <c r="Q932" s="10" t="str">
        <f>+IF(Tabla2[[#This Row],[Demand_Forecast]]&lt;= 125,"Low demand",IF(Tabla2[[#This Row],[Demand_Forecast]] &gt;=285,"High demand","Mid demand"))</f>
        <v>Mid demand</v>
      </c>
    </row>
    <row r="933" spans="1:17" x14ac:dyDescent="0.25">
      <c r="A933" s="11">
        <v>45404.949837962966</v>
      </c>
      <c r="B933" s="10" t="s">
        <v>48</v>
      </c>
      <c r="C933" s="10" t="s">
        <v>1897</v>
      </c>
      <c r="D933" s="10" t="s">
        <v>1898</v>
      </c>
      <c r="E933" s="10">
        <v>495</v>
      </c>
      <c r="F933" s="10" t="s">
        <v>25</v>
      </c>
      <c r="G933" s="10">
        <v>23.8</v>
      </c>
      <c r="H933" s="10">
        <v>69.8</v>
      </c>
      <c r="I933" s="10" t="s">
        <v>26</v>
      </c>
      <c r="J933" s="10">
        <v>22</v>
      </c>
      <c r="K933" s="10">
        <v>487</v>
      </c>
      <c r="L933" s="10">
        <v>9</v>
      </c>
      <c r="M933" s="10" t="s">
        <v>27</v>
      </c>
      <c r="N933" s="10">
        <v>86.1</v>
      </c>
      <c r="O933" s="10">
        <v>108</v>
      </c>
      <c r="P933" s="10">
        <v>1</v>
      </c>
      <c r="Q933" s="10" t="str">
        <f>+IF(Tabla2[[#This Row],[Demand_Forecast]]&lt;= 125,"Low demand",IF(Tabla2[[#This Row],[Demand_Forecast]] &gt;=285,"High demand","Mid demand"))</f>
        <v>Low demand</v>
      </c>
    </row>
    <row r="934" spans="1:17" x14ac:dyDescent="0.25">
      <c r="A934" s="11">
        <v>45300.146458333336</v>
      </c>
      <c r="B934" s="10" t="s">
        <v>64</v>
      </c>
      <c r="C934" s="10" t="s">
        <v>1899</v>
      </c>
      <c r="D934" s="10" t="s">
        <v>1900</v>
      </c>
      <c r="E934" s="10">
        <v>187</v>
      </c>
      <c r="F934" s="10" t="s">
        <v>25</v>
      </c>
      <c r="G934" s="10">
        <v>24.5</v>
      </c>
      <c r="H934" s="10">
        <v>73.099999999999994</v>
      </c>
      <c r="I934" s="10" t="s">
        <v>38</v>
      </c>
      <c r="J934" s="10">
        <v>23</v>
      </c>
      <c r="K934" s="10">
        <v>382</v>
      </c>
      <c r="L934" s="10">
        <v>7</v>
      </c>
      <c r="M934" s="10" t="s">
        <v>27</v>
      </c>
      <c r="N934" s="10">
        <v>67.400000000000006</v>
      </c>
      <c r="O934" s="10">
        <v>149</v>
      </c>
      <c r="P934" s="10">
        <v>0</v>
      </c>
      <c r="Q934" s="10" t="str">
        <f>+IF(Tabla2[[#This Row],[Demand_Forecast]]&lt;= 125,"Low demand",IF(Tabla2[[#This Row],[Demand_Forecast]] &gt;=285,"High demand","Mid demand"))</f>
        <v>Mid demand</v>
      </c>
    </row>
    <row r="935" spans="1:17" x14ac:dyDescent="0.25">
      <c r="A935" s="11">
        <v>45635.39947916667</v>
      </c>
      <c r="B935" s="10" t="s">
        <v>61</v>
      </c>
      <c r="C935" s="10" t="s">
        <v>1901</v>
      </c>
      <c r="D935" s="10" t="s">
        <v>1902</v>
      </c>
      <c r="E935" s="10">
        <v>202</v>
      </c>
      <c r="F935" s="10" t="s">
        <v>19</v>
      </c>
      <c r="G935" s="10">
        <v>26.5</v>
      </c>
      <c r="H935" s="10">
        <v>77.8</v>
      </c>
      <c r="I935" s="10" t="s">
        <v>38</v>
      </c>
      <c r="J935" s="10">
        <v>31</v>
      </c>
      <c r="K935" s="10">
        <v>298</v>
      </c>
      <c r="L935" s="10">
        <v>8</v>
      </c>
      <c r="M935" s="10" t="s">
        <v>21</v>
      </c>
      <c r="N935" s="10">
        <v>60.6</v>
      </c>
      <c r="O935" s="10">
        <v>102</v>
      </c>
      <c r="P935" s="10">
        <v>1</v>
      </c>
      <c r="Q935" s="10" t="str">
        <f>+IF(Tabla2[[#This Row],[Demand_Forecast]]&lt;= 125,"Low demand",IF(Tabla2[[#This Row],[Demand_Forecast]] &gt;=285,"High demand","Mid demand"))</f>
        <v>Low demand</v>
      </c>
    </row>
    <row r="936" spans="1:17" x14ac:dyDescent="0.25">
      <c r="A936" s="11">
        <v>45358.147245370368</v>
      </c>
      <c r="B936" s="10" t="s">
        <v>41</v>
      </c>
      <c r="C936" s="10" t="s">
        <v>1903</v>
      </c>
      <c r="D936" s="10" t="s">
        <v>1904</v>
      </c>
      <c r="E936" s="10">
        <v>384</v>
      </c>
      <c r="F936" s="10" t="s">
        <v>34</v>
      </c>
      <c r="G936" s="10">
        <v>24.5</v>
      </c>
      <c r="H936" s="10">
        <v>62.2</v>
      </c>
      <c r="I936" s="10" t="s">
        <v>38</v>
      </c>
      <c r="J936" s="10">
        <v>45</v>
      </c>
      <c r="K936" s="10">
        <v>418</v>
      </c>
      <c r="L936" s="10">
        <v>7</v>
      </c>
      <c r="M936" s="10" t="s">
        <v>21</v>
      </c>
      <c r="N936" s="10">
        <v>75.8</v>
      </c>
      <c r="O936" s="10">
        <v>298</v>
      </c>
      <c r="P936" s="10">
        <v>0</v>
      </c>
      <c r="Q936" s="10" t="str">
        <f>+IF(Tabla2[[#This Row],[Demand_Forecast]]&lt;= 125,"Low demand",IF(Tabla2[[#This Row],[Demand_Forecast]] &gt;=285,"High demand","Mid demand"))</f>
        <v>High demand</v>
      </c>
    </row>
    <row r="937" spans="1:17" x14ac:dyDescent="0.25">
      <c r="A937" s="11">
        <v>45508.132650462961</v>
      </c>
      <c r="B937" s="10" t="s">
        <v>56</v>
      </c>
      <c r="C937" s="10" t="s">
        <v>1905</v>
      </c>
      <c r="D937" s="10" t="s">
        <v>1906</v>
      </c>
      <c r="E937" s="10">
        <v>486</v>
      </c>
      <c r="F937" s="10" t="s">
        <v>25</v>
      </c>
      <c r="G937" s="10">
        <v>25.8</v>
      </c>
      <c r="H937" s="10">
        <v>64.900000000000006</v>
      </c>
      <c r="I937" s="10" t="s">
        <v>38</v>
      </c>
      <c r="J937" s="10">
        <v>31</v>
      </c>
      <c r="K937" s="10">
        <v>136</v>
      </c>
      <c r="L937" s="10">
        <v>9</v>
      </c>
      <c r="M937" s="10" t="s">
        <v>35</v>
      </c>
      <c r="N937" s="10">
        <v>85.4</v>
      </c>
      <c r="O937" s="10">
        <v>178</v>
      </c>
      <c r="P937" s="10">
        <v>0</v>
      </c>
      <c r="Q937" s="10" t="str">
        <f>+IF(Tabla2[[#This Row],[Demand_Forecast]]&lt;= 125,"Low demand",IF(Tabla2[[#This Row],[Demand_Forecast]] &gt;=285,"High demand","Mid demand"))</f>
        <v>Mid demand</v>
      </c>
    </row>
    <row r="938" spans="1:17" x14ac:dyDescent="0.25">
      <c r="A938" s="11">
        <v>45636.776990740742</v>
      </c>
      <c r="B938" s="10" t="s">
        <v>56</v>
      </c>
      <c r="C938" s="10" t="s">
        <v>1907</v>
      </c>
      <c r="D938" s="10" t="s">
        <v>1908</v>
      </c>
      <c r="E938" s="10">
        <v>488</v>
      </c>
      <c r="F938" s="10" t="s">
        <v>25</v>
      </c>
      <c r="G938" s="10">
        <v>25.4</v>
      </c>
      <c r="H938" s="10">
        <v>64.3</v>
      </c>
      <c r="I938" s="10" t="s">
        <v>38</v>
      </c>
      <c r="J938" s="10">
        <v>14</v>
      </c>
      <c r="K938" s="10">
        <v>254</v>
      </c>
      <c r="L938" s="10">
        <v>1</v>
      </c>
      <c r="M938" s="10" t="s">
        <v>27</v>
      </c>
      <c r="N938" s="10">
        <v>84</v>
      </c>
      <c r="O938" s="10">
        <v>250</v>
      </c>
      <c r="P938" s="10">
        <v>0</v>
      </c>
      <c r="Q938" s="10" t="str">
        <f>+IF(Tabla2[[#This Row],[Demand_Forecast]]&lt;= 125,"Low demand",IF(Tabla2[[#This Row],[Demand_Forecast]] &gt;=285,"High demand","Mid demand"))</f>
        <v>Mid demand</v>
      </c>
    </row>
    <row r="939" spans="1:17" x14ac:dyDescent="0.25">
      <c r="A939" s="11">
        <v>45613.524675925924</v>
      </c>
      <c r="B939" s="10" t="s">
        <v>56</v>
      </c>
      <c r="C939" s="10" t="s">
        <v>1909</v>
      </c>
      <c r="D939" s="10" t="s">
        <v>1910</v>
      </c>
      <c r="E939" s="10">
        <v>244</v>
      </c>
      <c r="F939" s="10" t="s">
        <v>19</v>
      </c>
      <c r="G939" s="10">
        <v>29.1</v>
      </c>
      <c r="H939" s="10">
        <v>67.2</v>
      </c>
      <c r="I939" s="10" t="s">
        <v>26</v>
      </c>
      <c r="J939" s="10">
        <v>18</v>
      </c>
      <c r="K939" s="10">
        <v>118</v>
      </c>
      <c r="L939" s="10">
        <v>5</v>
      </c>
      <c r="M939" s="10" t="s">
        <v>35</v>
      </c>
      <c r="N939" s="10">
        <v>70.5</v>
      </c>
      <c r="O939" s="10">
        <v>290</v>
      </c>
      <c r="P939" s="10">
        <v>1</v>
      </c>
      <c r="Q939" s="10" t="str">
        <f>+IF(Tabla2[[#This Row],[Demand_Forecast]]&lt;= 125,"Low demand",IF(Tabla2[[#This Row],[Demand_Forecast]] &gt;=285,"High demand","Mid demand"))</f>
        <v>High demand</v>
      </c>
    </row>
    <row r="940" spans="1:17" x14ac:dyDescent="0.25">
      <c r="A940" s="11">
        <v>45599.011655092596</v>
      </c>
      <c r="B940" s="10" t="s">
        <v>48</v>
      </c>
      <c r="C940" s="10" t="s">
        <v>1911</v>
      </c>
      <c r="D940" s="10" t="s">
        <v>1912</v>
      </c>
      <c r="E940" s="10">
        <v>193</v>
      </c>
      <c r="F940" s="10" t="s">
        <v>25</v>
      </c>
      <c r="G940" s="10">
        <v>25.7</v>
      </c>
      <c r="H940" s="10">
        <v>64</v>
      </c>
      <c r="I940" s="10" t="s">
        <v>26</v>
      </c>
      <c r="J940" s="10">
        <v>33</v>
      </c>
      <c r="K940" s="10">
        <v>335</v>
      </c>
      <c r="L940" s="10">
        <v>8</v>
      </c>
      <c r="M940" s="10" t="s">
        <v>51</v>
      </c>
      <c r="N940" s="10">
        <v>90</v>
      </c>
      <c r="O940" s="10">
        <v>240</v>
      </c>
      <c r="P940" s="10">
        <v>1</v>
      </c>
      <c r="Q940" s="10" t="str">
        <f>+IF(Tabla2[[#This Row],[Demand_Forecast]]&lt;= 125,"Low demand",IF(Tabla2[[#This Row],[Demand_Forecast]] &gt;=285,"High demand","Mid demand"))</f>
        <v>Mid demand</v>
      </c>
    </row>
    <row r="941" spans="1:17" x14ac:dyDescent="0.25">
      <c r="A941" s="11">
        <v>45585.088738425926</v>
      </c>
      <c r="B941" s="10" t="s">
        <v>16</v>
      </c>
      <c r="C941" s="10" t="s">
        <v>1913</v>
      </c>
      <c r="D941" s="10" t="s">
        <v>1914</v>
      </c>
      <c r="E941" s="10">
        <v>268</v>
      </c>
      <c r="F941" s="10" t="s">
        <v>34</v>
      </c>
      <c r="G941" s="10">
        <v>18.7</v>
      </c>
      <c r="H941" s="10">
        <v>69.5</v>
      </c>
      <c r="I941" s="10" t="s">
        <v>26</v>
      </c>
      <c r="J941" s="10">
        <v>39</v>
      </c>
      <c r="K941" s="10">
        <v>101</v>
      </c>
      <c r="L941" s="10">
        <v>9</v>
      </c>
      <c r="M941" s="10" t="s">
        <v>51</v>
      </c>
      <c r="N941" s="10">
        <v>77.099999999999994</v>
      </c>
      <c r="O941" s="10">
        <v>205</v>
      </c>
      <c r="P941" s="10">
        <v>1</v>
      </c>
      <c r="Q941" s="10" t="str">
        <f>+IF(Tabla2[[#This Row],[Demand_Forecast]]&lt;= 125,"Low demand",IF(Tabla2[[#This Row],[Demand_Forecast]] &gt;=285,"High demand","Mid demand"))</f>
        <v>Mid demand</v>
      </c>
    </row>
    <row r="942" spans="1:17" x14ac:dyDescent="0.25">
      <c r="A942" s="11">
        <v>45300.909363425926</v>
      </c>
      <c r="B942" s="10" t="s">
        <v>48</v>
      </c>
      <c r="C942" s="10" t="s">
        <v>1915</v>
      </c>
      <c r="D942" s="10" t="s">
        <v>1916</v>
      </c>
      <c r="E942" s="10">
        <v>375</v>
      </c>
      <c r="F942" s="10" t="s">
        <v>19</v>
      </c>
      <c r="G942" s="10">
        <v>19.2</v>
      </c>
      <c r="H942" s="10">
        <v>72.900000000000006</v>
      </c>
      <c r="I942" s="10" t="s">
        <v>20</v>
      </c>
      <c r="J942" s="10">
        <v>58</v>
      </c>
      <c r="K942" s="10">
        <v>119</v>
      </c>
      <c r="L942" s="10">
        <v>7</v>
      </c>
      <c r="M942" s="10" t="s">
        <v>21</v>
      </c>
      <c r="N942" s="10">
        <v>96.9</v>
      </c>
      <c r="O942" s="10">
        <v>213</v>
      </c>
      <c r="P942" s="10">
        <v>1</v>
      </c>
      <c r="Q942" s="10" t="str">
        <f>+IF(Tabla2[[#This Row],[Demand_Forecast]]&lt;= 125,"Low demand",IF(Tabla2[[#This Row],[Demand_Forecast]] &gt;=285,"High demand","Mid demand"))</f>
        <v>Mid demand</v>
      </c>
    </row>
    <row r="943" spans="1:17" x14ac:dyDescent="0.25">
      <c r="A943" s="11">
        <v>45495.490208333336</v>
      </c>
      <c r="B943" s="10" t="s">
        <v>31</v>
      </c>
      <c r="C943" s="10" t="s">
        <v>1917</v>
      </c>
      <c r="D943" s="10" t="s">
        <v>1918</v>
      </c>
      <c r="E943" s="10">
        <v>465</v>
      </c>
      <c r="F943" s="10" t="s">
        <v>25</v>
      </c>
      <c r="G943" s="10">
        <v>28</v>
      </c>
      <c r="H943" s="10">
        <v>59.6</v>
      </c>
      <c r="I943" s="10" t="s">
        <v>38</v>
      </c>
      <c r="J943" s="10">
        <v>51</v>
      </c>
      <c r="K943" s="10">
        <v>305</v>
      </c>
      <c r="L943" s="10">
        <v>10</v>
      </c>
      <c r="M943" s="10" t="s">
        <v>51</v>
      </c>
      <c r="N943" s="10">
        <v>96.9</v>
      </c>
      <c r="O943" s="10">
        <v>153</v>
      </c>
      <c r="P943" s="10">
        <v>0</v>
      </c>
      <c r="Q943" s="10" t="str">
        <f>+IF(Tabla2[[#This Row],[Demand_Forecast]]&lt;= 125,"Low demand",IF(Tabla2[[#This Row],[Demand_Forecast]] &gt;=285,"High demand","Mid demand"))</f>
        <v>Mid demand</v>
      </c>
    </row>
    <row r="944" spans="1:17" x14ac:dyDescent="0.25">
      <c r="A944" s="11">
        <v>45534.502986111111</v>
      </c>
      <c r="B944" s="10" t="s">
        <v>28</v>
      </c>
      <c r="C944" s="10" t="s">
        <v>1919</v>
      </c>
      <c r="D944" s="10" t="s">
        <v>1920</v>
      </c>
      <c r="E944" s="10">
        <v>258</v>
      </c>
      <c r="F944" s="10" t="s">
        <v>19</v>
      </c>
      <c r="G944" s="10">
        <v>19.3</v>
      </c>
      <c r="H944" s="10">
        <v>74.2</v>
      </c>
      <c r="I944" s="10" t="s">
        <v>20</v>
      </c>
      <c r="J944" s="10">
        <v>52</v>
      </c>
      <c r="K944" s="10">
        <v>407</v>
      </c>
      <c r="L944" s="10">
        <v>8</v>
      </c>
      <c r="M944" s="10" t="s">
        <v>27</v>
      </c>
      <c r="N944" s="10">
        <v>84.7</v>
      </c>
      <c r="O944" s="10">
        <v>245</v>
      </c>
      <c r="P944" s="10">
        <v>1</v>
      </c>
      <c r="Q944" s="10" t="str">
        <f>+IF(Tabla2[[#This Row],[Demand_Forecast]]&lt;= 125,"Low demand",IF(Tabla2[[#This Row],[Demand_Forecast]] &gt;=285,"High demand","Mid demand"))</f>
        <v>Mid demand</v>
      </c>
    </row>
    <row r="945" spans="1:17" x14ac:dyDescent="0.25">
      <c r="A945" s="11">
        <v>45616.781643518516</v>
      </c>
      <c r="B945" s="10" t="s">
        <v>95</v>
      </c>
      <c r="C945" s="10" t="s">
        <v>1921</v>
      </c>
      <c r="D945" s="10" t="s">
        <v>1922</v>
      </c>
      <c r="E945" s="10">
        <v>254</v>
      </c>
      <c r="F945" s="10" t="s">
        <v>34</v>
      </c>
      <c r="G945" s="10">
        <v>27.3</v>
      </c>
      <c r="H945" s="10">
        <v>71.7</v>
      </c>
      <c r="I945" s="10" t="s">
        <v>20</v>
      </c>
      <c r="J945" s="10">
        <v>38</v>
      </c>
      <c r="K945" s="10">
        <v>279</v>
      </c>
      <c r="L945" s="10">
        <v>10</v>
      </c>
      <c r="M945" s="10" t="s">
        <v>35</v>
      </c>
      <c r="N945" s="10">
        <v>91.5</v>
      </c>
      <c r="O945" s="10">
        <v>111</v>
      </c>
      <c r="P945" s="10">
        <v>0</v>
      </c>
      <c r="Q945" s="10" t="str">
        <f>+IF(Tabla2[[#This Row],[Demand_Forecast]]&lt;= 125,"Low demand",IF(Tabla2[[#This Row],[Demand_Forecast]] &gt;=285,"High demand","Mid demand"))</f>
        <v>Low demand</v>
      </c>
    </row>
    <row r="946" spans="1:17" x14ac:dyDescent="0.25">
      <c r="A946" s="11">
        <v>45620.051157407404</v>
      </c>
      <c r="B946" s="10" t="s">
        <v>28</v>
      </c>
      <c r="C946" s="10" t="s">
        <v>1923</v>
      </c>
      <c r="D946" s="10" t="s">
        <v>1924</v>
      </c>
      <c r="E946" s="10">
        <v>456</v>
      </c>
      <c r="F946" s="10" t="s">
        <v>25</v>
      </c>
      <c r="G946" s="10">
        <v>20.9</v>
      </c>
      <c r="H946" s="10">
        <v>71.2</v>
      </c>
      <c r="I946" s="10" t="s">
        <v>38</v>
      </c>
      <c r="J946" s="10">
        <v>46</v>
      </c>
      <c r="K946" s="10">
        <v>414</v>
      </c>
      <c r="L946" s="10">
        <v>10</v>
      </c>
      <c r="M946" s="10" t="s">
        <v>51</v>
      </c>
      <c r="N946" s="10">
        <v>90.6</v>
      </c>
      <c r="O946" s="10">
        <v>280</v>
      </c>
      <c r="P946" s="10">
        <v>0</v>
      </c>
      <c r="Q946" s="10" t="str">
        <f>+IF(Tabla2[[#This Row],[Demand_Forecast]]&lt;= 125,"Low demand",IF(Tabla2[[#This Row],[Demand_Forecast]] &gt;=285,"High demand","Mid demand"))</f>
        <v>Mid demand</v>
      </c>
    </row>
    <row r="947" spans="1:17" x14ac:dyDescent="0.25">
      <c r="A947" s="11">
        <v>45317.72084490741</v>
      </c>
      <c r="B947" s="10" t="s">
        <v>16</v>
      </c>
      <c r="C947" s="10" t="s">
        <v>1925</v>
      </c>
      <c r="D947" s="10" t="s">
        <v>1926</v>
      </c>
      <c r="E947" s="10">
        <v>158</v>
      </c>
      <c r="F947" s="10" t="s">
        <v>25</v>
      </c>
      <c r="G947" s="10">
        <v>29.7</v>
      </c>
      <c r="H947" s="10">
        <v>78.2</v>
      </c>
      <c r="I947" s="10" t="s">
        <v>26</v>
      </c>
      <c r="J947" s="10">
        <v>43</v>
      </c>
      <c r="K947" s="10">
        <v>334</v>
      </c>
      <c r="L947" s="10">
        <v>5</v>
      </c>
      <c r="M947" s="10" t="s">
        <v>27</v>
      </c>
      <c r="N947" s="10">
        <v>72.7</v>
      </c>
      <c r="O947" s="10">
        <v>181</v>
      </c>
      <c r="P947" s="10">
        <v>1</v>
      </c>
      <c r="Q947" s="10" t="str">
        <f>+IF(Tabla2[[#This Row],[Demand_Forecast]]&lt;= 125,"Low demand",IF(Tabla2[[#This Row],[Demand_Forecast]] &gt;=285,"High demand","Mid demand"))</f>
        <v>Mid demand</v>
      </c>
    </row>
    <row r="948" spans="1:17" x14ac:dyDescent="0.25">
      <c r="A948" s="11">
        <v>45496.999120370368</v>
      </c>
      <c r="B948" s="10" t="s">
        <v>64</v>
      </c>
      <c r="C948" s="10" t="s">
        <v>1927</v>
      </c>
      <c r="D948" s="10" t="s">
        <v>1928</v>
      </c>
      <c r="E948" s="10">
        <v>158</v>
      </c>
      <c r="F948" s="10" t="s">
        <v>19</v>
      </c>
      <c r="G948" s="10">
        <v>25.9</v>
      </c>
      <c r="H948" s="10">
        <v>51.3</v>
      </c>
      <c r="I948" s="10" t="s">
        <v>20</v>
      </c>
      <c r="J948" s="10">
        <v>46</v>
      </c>
      <c r="K948" s="10">
        <v>308</v>
      </c>
      <c r="L948" s="10">
        <v>7</v>
      </c>
      <c r="M948" s="10" t="s">
        <v>21</v>
      </c>
      <c r="N948" s="10">
        <v>64.599999999999994</v>
      </c>
      <c r="O948" s="10">
        <v>115</v>
      </c>
      <c r="P948" s="10">
        <v>1</v>
      </c>
      <c r="Q948" s="10" t="str">
        <f>+IF(Tabla2[[#This Row],[Demand_Forecast]]&lt;= 125,"Low demand",IF(Tabla2[[#This Row],[Demand_Forecast]] &gt;=285,"High demand","Mid demand"))</f>
        <v>Low demand</v>
      </c>
    </row>
    <row r="949" spans="1:17" x14ac:dyDescent="0.25">
      <c r="A949" s="11">
        <v>45403.307766203703</v>
      </c>
      <c r="B949" s="10" t="s">
        <v>28</v>
      </c>
      <c r="C949" s="10" t="s">
        <v>1929</v>
      </c>
      <c r="D949" s="10" t="s">
        <v>1930</v>
      </c>
      <c r="E949" s="10">
        <v>260</v>
      </c>
      <c r="F949" s="10" t="s">
        <v>34</v>
      </c>
      <c r="G949" s="10">
        <v>23.2</v>
      </c>
      <c r="H949" s="10">
        <v>56.3</v>
      </c>
      <c r="I949" s="10" t="s">
        <v>38</v>
      </c>
      <c r="J949" s="10">
        <v>57</v>
      </c>
      <c r="K949" s="10">
        <v>329</v>
      </c>
      <c r="L949" s="10">
        <v>7</v>
      </c>
      <c r="M949" s="10" t="s">
        <v>51</v>
      </c>
      <c r="N949" s="10">
        <v>77.900000000000006</v>
      </c>
      <c r="O949" s="10">
        <v>258</v>
      </c>
      <c r="P949" s="10">
        <v>0</v>
      </c>
      <c r="Q949" s="10" t="str">
        <f>+IF(Tabla2[[#This Row],[Demand_Forecast]]&lt;= 125,"Low demand",IF(Tabla2[[#This Row],[Demand_Forecast]] &gt;=285,"High demand","Mid demand"))</f>
        <v>Mid demand</v>
      </c>
    </row>
    <row r="950" spans="1:17" x14ac:dyDescent="0.25">
      <c r="A950" s="11">
        <v>45441.820625</v>
      </c>
      <c r="B950" s="10" t="s">
        <v>48</v>
      </c>
      <c r="C950" s="10" t="s">
        <v>1931</v>
      </c>
      <c r="D950" s="10" t="s">
        <v>1932</v>
      </c>
      <c r="E950" s="10">
        <v>249</v>
      </c>
      <c r="F950" s="10" t="s">
        <v>25</v>
      </c>
      <c r="G950" s="10">
        <v>21.4</v>
      </c>
      <c r="H950" s="10">
        <v>56.6</v>
      </c>
      <c r="I950" s="10" t="s">
        <v>20</v>
      </c>
      <c r="J950" s="10">
        <v>49</v>
      </c>
      <c r="K950" s="10">
        <v>398</v>
      </c>
      <c r="L950" s="10">
        <v>10</v>
      </c>
      <c r="M950" s="10" t="s">
        <v>51</v>
      </c>
      <c r="N950" s="10">
        <v>67.3</v>
      </c>
      <c r="O950" s="10">
        <v>279</v>
      </c>
      <c r="P950" s="10">
        <v>0</v>
      </c>
      <c r="Q950" s="10" t="str">
        <f>+IF(Tabla2[[#This Row],[Demand_Forecast]]&lt;= 125,"Low demand",IF(Tabla2[[#This Row],[Demand_Forecast]] &gt;=285,"High demand","Mid demand"))</f>
        <v>Mid demand</v>
      </c>
    </row>
    <row r="951" spans="1:17" x14ac:dyDescent="0.25">
      <c r="A951" s="11">
        <v>45337.534780092596</v>
      </c>
      <c r="B951" s="10" t="s">
        <v>22</v>
      </c>
      <c r="C951" s="10" t="s">
        <v>1933</v>
      </c>
      <c r="D951" s="10" t="s">
        <v>1934</v>
      </c>
      <c r="E951" s="10">
        <v>224</v>
      </c>
      <c r="F951" s="10" t="s">
        <v>19</v>
      </c>
      <c r="G951" s="10">
        <v>28.3</v>
      </c>
      <c r="H951" s="10">
        <v>69</v>
      </c>
      <c r="I951" s="10" t="s">
        <v>38</v>
      </c>
      <c r="J951" s="10">
        <v>20</v>
      </c>
      <c r="K951" s="10">
        <v>445</v>
      </c>
      <c r="L951" s="10">
        <v>6</v>
      </c>
      <c r="M951" s="10" t="s">
        <v>21</v>
      </c>
      <c r="N951" s="10">
        <v>60.1</v>
      </c>
      <c r="O951" s="10">
        <v>259</v>
      </c>
      <c r="P951" s="10">
        <v>1</v>
      </c>
      <c r="Q951" s="10" t="str">
        <f>+IF(Tabla2[[#This Row],[Demand_Forecast]]&lt;= 125,"Low demand",IF(Tabla2[[#This Row],[Demand_Forecast]] &gt;=285,"High demand","Mid demand"))</f>
        <v>Mid demand</v>
      </c>
    </row>
    <row r="952" spans="1:17" x14ac:dyDescent="0.25">
      <c r="A952" s="11">
        <v>45403.930578703701</v>
      </c>
      <c r="B952" s="10" t="s">
        <v>56</v>
      </c>
      <c r="C952" s="10" t="s">
        <v>1935</v>
      </c>
      <c r="D952" s="10" t="s">
        <v>1936</v>
      </c>
      <c r="E952" s="10">
        <v>162</v>
      </c>
      <c r="F952" s="10" t="s">
        <v>34</v>
      </c>
      <c r="G952" s="10">
        <v>29.4</v>
      </c>
      <c r="H952" s="10">
        <v>65.900000000000006</v>
      </c>
      <c r="I952" s="10" t="s">
        <v>20</v>
      </c>
      <c r="J952" s="10">
        <v>40</v>
      </c>
      <c r="K952" s="10">
        <v>262</v>
      </c>
      <c r="L952" s="10">
        <v>2</v>
      </c>
      <c r="M952" s="10" t="s">
        <v>35</v>
      </c>
      <c r="N952" s="10">
        <v>61.5</v>
      </c>
      <c r="O952" s="10">
        <v>298</v>
      </c>
      <c r="P952" s="10">
        <v>0</v>
      </c>
      <c r="Q952" s="10" t="str">
        <f>+IF(Tabla2[[#This Row],[Demand_Forecast]]&lt;= 125,"Low demand",IF(Tabla2[[#This Row],[Demand_Forecast]] &gt;=285,"High demand","Mid demand"))</f>
        <v>High demand</v>
      </c>
    </row>
    <row r="953" spans="1:17" x14ac:dyDescent="0.25">
      <c r="A953" s="11">
        <v>45542.082766203705</v>
      </c>
      <c r="B953" s="10" t="s">
        <v>41</v>
      </c>
      <c r="C953" s="10" t="s">
        <v>1937</v>
      </c>
      <c r="D953" s="10" t="s">
        <v>1938</v>
      </c>
      <c r="E953" s="10">
        <v>160</v>
      </c>
      <c r="F953" s="10" t="s">
        <v>34</v>
      </c>
      <c r="G953" s="10">
        <v>20.7</v>
      </c>
      <c r="H953" s="10">
        <v>63.1</v>
      </c>
      <c r="I953" s="10" t="s">
        <v>38</v>
      </c>
      <c r="J953" s="10">
        <v>52</v>
      </c>
      <c r="K953" s="10">
        <v>488</v>
      </c>
      <c r="L953" s="10">
        <v>3</v>
      </c>
      <c r="M953" s="10" t="s">
        <v>51</v>
      </c>
      <c r="N953" s="10">
        <v>79.599999999999994</v>
      </c>
      <c r="O953" s="10">
        <v>246</v>
      </c>
      <c r="P953" s="10">
        <v>0</v>
      </c>
      <c r="Q953" s="10" t="str">
        <f>+IF(Tabla2[[#This Row],[Demand_Forecast]]&lt;= 125,"Low demand",IF(Tabla2[[#This Row],[Demand_Forecast]] &gt;=285,"High demand","Mid demand"))</f>
        <v>Mid demand</v>
      </c>
    </row>
    <row r="954" spans="1:17" x14ac:dyDescent="0.25">
      <c r="A954" s="11">
        <v>45408.308807870373</v>
      </c>
      <c r="B954" s="10" t="s">
        <v>56</v>
      </c>
      <c r="C954" s="10" t="s">
        <v>1939</v>
      </c>
      <c r="D954" s="10" t="s">
        <v>1940</v>
      </c>
      <c r="E954" s="10">
        <v>260</v>
      </c>
      <c r="F954" s="10" t="s">
        <v>34</v>
      </c>
      <c r="G954" s="10">
        <v>18.8</v>
      </c>
      <c r="H954" s="10">
        <v>55</v>
      </c>
      <c r="I954" s="10" t="s">
        <v>20</v>
      </c>
      <c r="J954" s="10">
        <v>13</v>
      </c>
      <c r="K954" s="10">
        <v>428</v>
      </c>
      <c r="L954" s="10">
        <v>2</v>
      </c>
      <c r="M954" s="10" t="s">
        <v>27</v>
      </c>
      <c r="N954" s="10">
        <v>73.900000000000006</v>
      </c>
      <c r="O954" s="10">
        <v>198</v>
      </c>
      <c r="P954" s="10">
        <v>0</v>
      </c>
      <c r="Q954" s="10" t="str">
        <f>+IF(Tabla2[[#This Row],[Demand_Forecast]]&lt;= 125,"Low demand",IF(Tabla2[[#This Row],[Demand_Forecast]] &gt;=285,"High demand","Mid demand"))</f>
        <v>Mid demand</v>
      </c>
    </row>
    <row r="955" spans="1:17" x14ac:dyDescent="0.25">
      <c r="A955" s="11">
        <v>45374.577002314814</v>
      </c>
      <c r="B955" s="10" t="s">
        <v>16</v>
      </c>
      <c r="C955" s="10" t="s">
        <v>1941</v>
      </c>
      <c r="D955" s="10" t="s">
        <v>1942</v>
      </c>
      <c r="E955" s="10">
        <v>245</v>
      </c>
      <c r="F955" s="10" t="s">
        <v>25</v>
      </c>
      <c r="G955" s="10">
        <v>23.3</v>
      </c>
      <c r="H955" s="10">
        <v>59.8</v>
      </c>
      <c r="I955" s="10" t="s">
        <v>38</v>
      </c>
      <c r="J955" s="10">
        <v>28</v>
      </c>
      <c r="K955" s="10">
        <v>142</v>
      </c>
      <c r="L955" s="10">
        <v>5</v>
      </c>
      <c r="M955" s="10" t="s">
        <v>21</v>
      </c>
      <c r="N955" s="10">
        <v>80.7</v>
      </c>
      <c r="O955" s="10">
        <v>160</v>
      </c>
      <c r="P955" s="10">
        <v>0</v>
      </c>
      <c r="Q955" s="10" t="str">
        <f>+IF(Tabla2[[#This Row],[Demand_Forecast]]&lt;= 125,"Low demand",IF(Tabla2[[#This Row],[Demand_Forecast]] &gt;=285,"High demand","Mid demand"))</f>
        <v>Mid demand</v>
      </c>
    </row>
    <row r="956" spans="1:17" x14ac:dyDescent="0.25">
      <c r="A956" s="11">
        <v>45387.576516203706</v>
      </c>
      <c r="B956" s="10" t="s">
        <v>16</v>
      </c>
      <c r="C956" s="10" t="s">
        <v>1943</v>
      </c>
      <c r="D956" s="10" t="s">
        <v>1944</v>
      </c>
      <c r="E956" s="10">
        <v>495</v>
      </c>
      <c r="F956" s="10" t="s">
        <v>34</v>
      </c>
      <c r="G956" s="10">
        <v>25.1</v>
      </c>
      <c r="H956" s="10">
        <v>75.5</v>
      </c>
      <c r="I956" s="10" t="s">
        <v>20</v>
      </c>
      <c r="J956" s="10">
        <v>39</v>
      </c>
      <c r="K956" s="10">
        <v>234</v>
      </c>
      <c r="L956" s="10">
        <v>1</v>
      </c>
      <c r="M956" s="10" t="s">
        <v>21</v>
      </c>
      <c r="N956" s="10">
        <v>74.8</v>
      </c>
      <c r="O956" s="10">
        <v>203</v>
      </c>
      <c r="P956" s="10">
        <v>0</v>
      </c>
      <c r="Q956" s="10" t="str">
        <f>+IF(Tabla2[[#This Row],[Demand_Forecast]]&lt;= 125,"Low demand",IF(Tabla2[[#This Row],[Demand_Forecast]] &gt;=285,"High demand","Mid demand"))</f>
        <v>Mid demand</v>
      </c>
    </row>
    <row r="957" spans="1:17" x14ac:dyDescent="0.25">
      <c r="A957" s="11">
        <v>45528.066921296297</v>
      </c>
      <c r="B957" s="10" t="s">
        <v>56</v>
      </c>
      <c r="C957" s="10" t="s">
        <v>1945</v>
      </c>
      <c r="D957" s="10" t="s">
        <v>1946</v>
      </c>
      <c r="E957" s="10">
        <v>236</v>
      </c>
      <c r="F957" s="10" t="s">
        <v>19</v>
      </c>
      <c r="G957" s="10">
        <v>18.2</v>
      </c>
      <c r="H957" s="10">
        <v>50.5</v>
      </c>
      <c r="I957" s="10" t="s">
        <v>38</v>
      </c>
      <c r="J957" s="10">
        <v>20</v>
      </c>
      <c r="K957" s="10">
        <v>260</v>
      </c>
      <c r="L957" s="10">
        <v>2</v>
      </c>
      <c r="M957" s="10" t="s">
        <v>27</v>
      </c>
      <c r="N957" s="10">
        <v>61.1</v>
      </c>
      <c r="O957" s="10">
        <v>278</v>
      </c>
      <c r="P957" s="10">
        <v>1</v>
      </c>
      <c r="Q957" s="10" t="str">
        <f>+IF(Tabla2[[#This Row],[Demand_Forecast]]&lt;= 125,"Low demand",IF(Tabla2[[#This Row],[Demand_Forecast]] &gt;=285,"High demand","Mid demand"))</f>
        <v>Mid demand</v>
      </c>
    </row>
    <row r="958" spans="1:17" x14ac:dyDescent="0.25">
      <c r="A958" s="11">
        <v>45603.169120370374</v>
      </c>
      <c r="B958" s="10" t="s">
        <v>31</v>
      </c>
      <c r="C958" s="10" t="s">
        <v>1947</v>
      </c>
      <c r="D958" s="10" t="s">
        <v>1948</v>
      </c>
      <c r="E958" s="10">
        <v>259</v>
      </c>
      <c r="F958" s="10" t="s">
        <v>34</v>
      </c>
      <c r="G958" s="10">
        <v>21.3</v>
      </c>
      <c r="H958" s="10">
        <v>79.3</v>
      </c>
      <c r="I958" s="10" t="s">
        <v>20</v>
      </c>
      <c r="J958" s="10">
        <v>49</v>
      </c>
      <c r="K958" s="10">
        <v>276</v>
      </c>
      <c r="L958" s="10">
        <v>2</v>
      </c>
      <c r="M958" s="10" t="s">
        <v>21</v>
      </c>
      <c r="N958" s="10">
        <v>99.1</v>
      </c>
      <c r="O958" s="10">
        <v>259</v>
      </c>
      <c r="P958" s="10">
        <v>0</v>
      </c>
      <c r="Q958" s="10" t="str">
        <f>+IF(Tabla2[[#This Row],[Demand_Forecast]]&lt;= 125,"Low demand",IF(Tabla2[[#This Row],[Demand_Forecast]] &gt;=285,"High demand","Mid demand"))</f>
        <v>Mid demand</v>
      </c>
    </row>
    <row r="959" spans="1:17" x14ac:dyDescent="0.25">
      <c r="A959" s="11">
        <v>45555.697511574072</v>
      </c>
      <c r="B959" s="10" t="s">
        <v>16</v>
      </c>
      <c r="C959" s="10" t="s">
        <v>1949</v>
      </c>
      <c r="D959" s="10" t="s">
        <v>1950</v>
      </c>
      <c r="E959" s="10">
        <v>227</v>
      </c>
      <c r="F959" s="10" t="s">
        <v>34</v>
      </c>
      <c r="G959" s="10">
        <v>27.6</v>
      </c>
      <c r="H959" s="10">
        <v>68.099999999999994</v>
      </c>
      <c r="I959" s="10" t="s">
        <v>20</v>
      </c>
      <c r="J959" s="10">
        <v>60</v>
      </c>
      <c r="K959" s="10">
        <v>399</v>
      </c>
      <c r="L959" s="10">
        <v>1</v>
      </c>
      <c r="M959" s="10" t="s">
        <v>35</v>
      </c>
      <c r="N959" s="10">
        <v>64.099999999999994</v>
      </c>
      <c r="O959" s="10">
        <v>126</v>
      </c>
      <c r="P959" s="10">
        <v>0</v>
      </c>
      <c r="Q959" s="10" t="str">
        <f>+IF(Tabla2[[#This Row],[Demand_Forecast]]&lt;= 125,"Low demand",IF(Tabla2[[#This Row],[Demand_Forecast]] &gt;=285,"High demand","Mid demand"))</f>
        <v>Mid demand</v>
      </c>
    </row>
    <row r="960" spans="1:17" x14ac:dyDescent="0.25">
      <c r="A960" s="11">
        <v>45602.915625000001</v>
      </c>
      <c r="B960" s="10" t="s">
        <v>16</v>
      </c>
      <c r="C960" s="10" t="s">
        <v>1951</v>
      </c>
      <c r="D960" s="10" t="s">
        <v>1952</v>
      </c>
      <c r="E960" s="10">
        <v>204</v>
      </c>
      <c r="F960" s="10" t="s">
        <v>25</v>
      </c>
      <c r="G960" s="10">
        <v>20.5</v>
      </c>
      <c r="H960" s="10">
        <v>60.2</v>
      </c>
      <c r="I960" s="10" t="s">
        <v>38</v>
      </c>
      <c r="J960" s="10">
        <v>26</v>
      </c>
      <c r="K960" s="10">
        <v>460</v>
      </c>
      <c r="L960" s="10">
        <v>5</v>
      </c>
      <c r="M960" s="10" t="s">
        <v>21</v>
      </c>
      <c r="N960" s="10">
        <v>66.900000000000006</v>
      </c>
      <c r="O960" s="10">
        <v>231</v>
      </c>
      <c r="P960" s="10">
        <v>0</v>
      </c>
      <c r="Q960" s="10" t="str">
        <f>+IF(Tabla2[[#This Row],[Demand_Forecast]]&lt;= 125,"Low demand",IF(Tabla2[[#This Row],[Demand_Forecast]] &gt;=285,"High demand","Mid demand"))</f>
        <v>Mid demand</v>
      </c>
    </row>
    <row r="961" spans="1:17" x14ac:dyDescent="0.25">
      <c r="A961" s="11">
        <v>45381.504062499997</v>
      </c>
      <c r="B961" s="10" t="s">
        <v>28</v>
      </c>
      <c r="C961" s="10" t="s">
        <v>1953</v>
      </c>
      <c r="D961" s="10" t="s">
        <v>1954</v>
      </c>
      <c r="E961" s="10">
        <v>384</v>
      </c>
      <c r="F961" s="10" t="s">
        <v>19</v>
      </c>
      <c r="G961" s="10">
        <v>18.5</v>
      </c>
      <c r="H961" s="10">
        <v>79</v>
      </c>
      <c r="I961" s="10" t="s">
        <v>20</v>
      </c>
      <c r="J961" s="10">
        <v>21</v>
      </c>
      <c r="K961" s="10">
        <v>185</v>
      </c>
      <c r="L961" s="10">
        <v>8</v>
      </c>
      <c r="M961" s="10" t="s">
        <v>27</v>
      </c>
      <c r="N961" s="10">
        <v>68.099999999999994</v>
      </c>
      <c r="O961" s="10">
        <v>143</v>
      </c>
      <c r="P961" s="10">
        <v>1</v>
      </c>
      <c r="Q961" s="10" t="str">
        <f>+IF(Tabla2[[#This Row],[Demand_Forecast]]&lt;= 125,"Low demand",IF(Tabla2[[#This Row],[Demand_Forecast]] &gt;=285,"High demand","Mid demand"))</f>
        <v>Mid demand</v>
      </c>
    </row>
    <row r="962" spans="1:17" x14ac:dyDescent="0.25">
      <c r="A962" s="11">
        <v>45436.001574074071</v>
      </c>
      <c r="B962" s="10" t="s">
        <v>22</v>
      </c>
      <c r="C962" s="10" t="s">
        <v>1955</v>
      </c>
      <c r="D962" s="10" t="s">
        <v>1956</v>
      </c>
      <c r="E962" s="10">
        <v>187</v>
      </c>
      <c r="F962" s="10" t="s">
        <v>19</v>
      </c>
      <c r="G962" s="10">
        <v>18.899999999999999</v>
      </c>
      <c r="H962" s="10">
        <v>60.3</v>
      </c>
      <c r="I962" s="10" t="s">
        <v>38</v>
      </c>
      <c r="J962" s="10">
        <v>34</v>
      </c>
      <c r="K962" s="10">
        <v>223</v>
      </c>
      <c r="L962" s="10">
        <v>1</v>
      </c>
      <c r="M962" s="10" t="s">
        <v>27</v>
      </c>
      <c r="N962" s="10">
        <v>85.3</v>
      </c>
      <c r="O962" s="10">
        <v>197</v>
      </c>
      <c r="P962" s="10">
        <v>1</v>
      </c>
      <c r="Q962" s="10" t="str">
        <f>+IF(Tabla2[[#This Row],[Demand_Forecast]]&lt;= 125,"Low demand",IF(Tabla2[[#This Row],[Demand_Forecast]] &gt;=285,"High demand","Mid demand"))</f>
        <v>Mid demand</v>
      </c>
    </row>
    <row r="963" spans="1:17" x14ac:dyDescent="0.25">
      <c r="A963" s="11">
        <v>45317.353379629632</v>
      </c>
      <c r="B963" s="10" t="s">
        <v>61</v>
      </c>
      <c r="C963" s="10" t="s">
        <v>1957</v>
      </c>
      <c r="D963" s="10" t="s">
        <v>1958</v>
      </c>
      <c r="E963" s="10">
        <v>302</v>
      </c>
      <c r="F963" s="10" t="s">
        <v>34</v>
      </c>
      <c r="G963" s="10">
        <v>19.5</v>
      </c>
      <c r="H963" s="10">
        <v>64.5</v>
      </c>
      <c r="I963" s="10" t="s">
        <v>20</v>
      </c>
      <c r="J963" s="10">
        <v>38</v>
      </c>
      <c r="K963" s="10">
        <v>149</v>
      </c>
      <c r="L963" s="10">
        <v>10</v>
      </c>
      <c r="M963" s="10" t="s">
        <v>21</v>
      </c>
      <c r="N963" s="10">
        <v>69</v>
      </c>
      <c r="O963" s="10">
        <v>213</v>
      </c>
      <c r="P963" s="10">
        <v>0</v>
      </c>
      <c r="Q963" s="10" t="str">
        <f>+IF(Tabla2[[#This Row],[Demand_Forecast]]&lt;= 125,"Low demand",IF(Tabla2[[#This Row],[Demand_Forecast]] &gt;=285,"High demand","Mid demand"))</f>
        <v>Mid demand</v>
      </c>
    </row>
    <row r="964" spans="1:17" x14ac:dyDescent="0.25">
      <c r="A964" s="11">
        <v>45430.607523148145</v>
      </c>
      <c r="B964" s="10" t="s">
        <v>61</v>
      </c>
      <c r="C964" s="10" t="s">
        <v>1959</v>
      </c>
      <c r="D964" s="10" t="s">
        <v>1960</v>
      </c>
      <c r="E964" s="10">
        <v>177</v>
      </c>
      <c r="F964" s="10" t="s">
        <v>25</v>
      </c>
      <c r="G964" s="10">
        <v>24.7</v>
      </c>
      <c r="H964" s="10">
        <v>70.599999999999994</v>
      </c>
      <c r="I964" s="10" t="s">
        <v>26</v>
      </c>
      <c r="J964" s="10">
        <v>58</v>
      </c>
      <c r="K964" s="10">
        <v>301</v>
      </c>
      <c r="L964" s="10">
        <v>1</v>
      </c>
      <c r="M964" s="10" t="s">
        <v>51</v>
      </c>
      <c r="N964" s="10">
        <v>82.7</v>
      </c>
      <c r="O964" s="10">
        <v>254</v>
      </c>
      <c r="P964" s="10">
        <v>1</v>
      </c>
      <c r="Q964" s="10" t="str">
        <f>+IF(Tabla2[[#This Row],[Demand_Forecast]]&lt;= 125,"Low demand",IF(Tabla2[[#This Row],[Demand_Forecast]] &gt;=285,"High demand","Mid demand"))</f>
        <v>Mid demand</v>
      </c>
    </row>
    <row r="965" spans="1:17" x14ac:dyDescent="0.25">
      <c r="A965" s="11">
        <v>45431.465428240743</v>
      </c>
      <c r="B965" s="10" t="s">
        <v>48</v>
      </c>
      <c r="C965" s="10" t="s">
        <v>1961</v>
      </c>
      <c r="D965" s="10" t="s">
        <v>1962</v>
      </c>
      <c r="E965" s="10">
        <v>448</v>
      </c>
      <c r="F965" s="10" t="s">
        <v>25</v>
      </c>
      <c r="G965" s="10">
        <v>21.5</v>
      </c>
      <c r="H965" s="10">
        <v>55.7</v>
      </c>
      <c r="I965" s="10" t="s">
        <v>26</v>
      </c>
      <c r="J965" s="10">
        <v>55</v>
      </c>
      <c r="K965" s="10">
        <v>500</v>
      </c>
      <c r="L965" s="10">
        <v>2</v>
      </c>
      <c r="M965" s="10" t="s">
        <v>51</v>
      </c>
      <c r="N965" s="10">
        <v>86.7</v>
      </c>
      <c r="O965" s="10">
        <v>173</v>
      </c>
      <c r="P965" s="10">
        <v>1</v>
      </c>
      <c r="Q965" s="10" t="str">
        <f>+IF(Tabla2[[#This Row],[Demand_Forecast]]&lt;= 125,"Low demand",IF(Tabla2[[#This Row],[Demand_Forecast]] &gt;=285,"High demand","Mid demand"))</f>
        <v>Mid demand</v>
      </c>
    </row>
    <row r="966" spans="1:17" x14ac:dyDescent="0.25">
      <c r="A966" s="11">
        <v>45584.672118055554</v>
      </c>
      <c r="B966" s="10" t="s">
        <v>64</v>
      </c>
      <c r="C966" s="10" t="s">
        <v>1963</v>
      </c>
      <c r="D966" s="10" t="s">
        <v>1964</v>
      </c>
      <c r="E966" s="10">
        <v>197</v>
      </c>
      <c r="F966" s="10" t="s">
        <v>25</v>
      </c>
      <c r="G966" s="10">
        <v>22.9</v>
      </c>
      <c r="H966" s="10">
        <v>71.900000000000006</v>
      </c>
      <c r="I966" s="10" t="s">
        <v>38</v>
      </c>
      <c r="J966" s="10">
        <v>18</v>
      </c>
      <c r="K966" s="10">
        <v>387</v>
      </c>
      <c r="L966" s="10">
        <v>9</v>
      </c>
      <c r="M966" s="10" t="s">
        <v>21</v>
      </c>
      <c r="N966" s="10">
        <v>71</v>
      </c>
      <c r="O966" s="10">
        <v>140</v>
      </c>
      <c r="P966" s="10">
        <v>0</v>
      </c>
      <c r="Q966" s="10" t="str">
        <f>+IF(Tabla2[[#This Row],[Demand_Forecast]]&lt;= 125,"Low demand",IF(Tabla2[[#This Row],[Demand_Forecast]] &gt;=285,"High demand","Mid demand"))</f>
        <v>Mid demand</v>
      </c>
    </row>
    <row r="967" spans="1:17" x14ac:dyDescent="0.25">
      <c r="A967" s="11">
        <v>45394.812395833331</v>
      </c>
      <c r="B967" s="10" t="s">
        <v>28</v>
      </c>
      <c r="C967" s="10" t="s">
        <v>1965</v>
      </c>
      <c r="D967" s="10" t="s">
        <v>1966</v>
      </c>
      <c r="E967" s="10">
        <v>428</v>
      </c>
      <c r="F967" s="10" t="s">
        <v>25</v>
      </c>
      <c r="G967" s="10">
        <v>28.6</v>
      </c>
      <c r="H967" s="10">
        <v>77.7</v>
      </c>
      <c r="I967" s="10" t="s">
        <v>26</v>
      </c>
      <c r="J967" s="10">
        <v>14</v>
      </c>
      <c r="K967" s="10">
        <v>175</v>
      </c>
      <c r="L967" s="10">
        <v>9</v>
      </c>
      <c r="M967" s="10" t="s">
        <v>35</v>
      </c>
      <c r="N967" s="10">
        <v>96.2</v>
      </c>
      <c r="O967" s="10">
        <v>115</v>
      </c>
      <c r="P967" s="10">
        <v>1</v>
      </c>
      <c r="Q967" s="10" t="str">
        <f>+IF(Tabla2[[#This Row],[Demand_Forecast]]&lt;= 125,"Low demand",IF(Tabla2[[#This Row],[Demand_Forecast]] &gt;=285,"High demand","Mid demand"))</f>
        <v>Low demand</v>
      </c>
    </row>
    <row r="968" spans="1:17" x14ac:dyDescent="0.25">
      <c r="A968" s="11">
        <v>45351.980532407404</v>
      </c>
      <c r="B968" s="10" t="s">
        <v>56</v>
      </c>
      <c r="C968" s="10" t="s">
        <v>1967</v>
      </c>
      <c r="D968" s="10" t="s">
        <v>1968</v>
      </c>
      <c r="E968" s="10">
        <v>435</v>
      </c>
      <c r="F968" s="10" t="s">
        <v>19</v>
      </c>
      <c r="G968" s="10">
        <v>24.7</v>
      </c>
      <c r="H968" s="10">
        <v>75.3</v>
      </c>
      <c r="I968" s="10" t="s">
        <v>26</v>
      </c>
      <c r="J968" s="10">
        <v>41</v>
      </c>
      <c r="K968" s="10">
        <v>245</v>
      </c>
      <c r="L968" s="10">
        <v>2</v>
      </c>
      <c r="M968" s="10" t="s">
        <v>27</v>
      </c>
      <c r="N968" s="10">
        <v>87.1</v>
      </c>
      <c r="O968" s="10">
        <v>232</v>
      </c>
      <c r="P968" s="10">
        <v>1</v>
      </c>
      <c r="Q968" s="10" t="str">
        <f>+IF(Tabla2[[#This Row],[Demand_Forecast]]&lt;= 125,"Low demand",IF(Tabla2[[#This Row],[Demand_Forecast]] &gt;=285,"High demand","Mid demand"))</f>
        <v>Mid demand</v>
      </c>
    </row>
    <row r="969" spans="1:17" x14ac:dyDescent="0.25">
      <c r="A969" s="11">
        <v>45568.673101851855</v>
      </c>
      <c r="B969" s="10" t="s">
        <v>22</v>
      </c>
      <c r="C969" s="10" t="s">
        <v>1969</v>
      </c>
      <c r="D969" s="10" t="s">
        <v>1970</v>
      </c>
      <c r="E969" s="10">
        <v>309</v>
      </c>
      <c r="F969" s="10" t="s">
        <v>25</v>
      </c>
      <c r="G969" s="10">
        <v>20.2</v>
      </c>
      <c r="H969" s="10">
        <v>65.8</v>
      </c>
      <c r="I969" s="10" t="s">
        <v>20</v>
      </c>
      <c r="J969" s="10">
        <v>26</v>
      </c>
      <c r="K969" s="10">
        <v>105</v>
      </c>
      <c r="L969" s="10">
        <v>9</v>
      </c>
      <c r="M969" s="10" t="s">
        <v>51</v>
      </c>
      <c r="N969" s="10">
        <v>60.7</v>
      </c>
      <c r="O969" s="10">
        <v>244</v>
      </c>
      <c r="P969" s="10">
        <v>0</v>
      </c>
      <c r="Q969" s="10" t="str">
        <f>+IF(Tabla2[[#This Row],[Demand_Forecast]]&lt;= 125,"Low demand",IF(Tabla2[[#This Row],[Demand_Forecast]] &gt;=285,"High demand","Mid demand"))</f>
        <v>Mid demand</v>
      </c>
    </row>
    <row r="970" spans="1:17" x14ac:dyDescent="0.25">
      <c r="A970" s="11">
        <v>45485.426018518519</v>
      </c>
      <c r="B970" s="10" t="s">
        <v>31</v>
      </c>
      <c r="C970" s="10" t="s">
        <v>1971</v>
      </c>
      <c r="D970" s="10" t="s">
        <v>1972</v>
      </c>
      <c r="E970" s="10">
        <v>346</v>
      </c>
      <c r="F970" s="10" t="s">
        <v>34</v>
      </c>
      <c r="G970" s="10">
        <v>21.5</v>
      </c>
      <c r="H970" s="10">
        <v>60.1</v>
      </c>
      <c r="I970" s="10" t="s">
        <v>38</v>
      </c>
      <c r="J970" s="10">
        <v>17</v>
      </c>
      <c r="K970" s="10">
        <v>370</v>
      </c>
      <c r="L970" s="10">
        <v>9</v>
      </c>
      <c r="M970" s="10" t="s">
        <v>21</v>
      </c>
      <c r="N970" s="10">
        <v>70.8</v>
      </c>
      <c r="O970" s="10">
        <v>259</v>
      </c>
      <c r="P970" s="10">
        <v>0</v>
      </c>
      <c r="Q970" s="10" t="str">
        <f>+IF(Tabla2[[#This Row],[Demand_Forecast]]&lt;= 125,"Low demand",IF(Tabla2[[#This Row],[Demand_Forecast]] &gt;=285,"High demand","Mid demand"))</f>
        <v>Mid demand</v>
      </c>
    </row>
    <row r="971" spans="1:17" x14ac:dyDescent="0.25">
      <c r="A971" s="11">
        <v>45589.086562500001</v>
      </c>
      <c r="B971" s="10" t="s">
        <v>48</v>
      </c>
      <c r="C971" s="10" t="s">
        <v>1973</v>
      </c>
      <c r="D971" s="10" t="s">
        <v>1974</v>
      </c>
      <c r="E971" s="10">
        <v>428</v>
      </c>
      <c r="F971" s="10" t="s">
        <v>34</v>
      </c>
      <c r="G971" s="10">
        <v>29.1</v>
      </c>
      <c r="H971" s="10">
        <v>55.9</v>
      </c>
      <c r="I971" s="10" t="s">
        <v>38</v>
      </c>
      <c r="J971" s="10">
        <v>34</v>
      </c>
      <c r="K971" s="10">
        <v>176</v>
      </c>
      <c r="L971" s="10">
        <v>2</v>
      </c>
      <c r="M971" s="10" t="s">
        <v>21</v>
      </c>
      <c r="N971" s="10">
        <v>89.5</v>
      </c>
      <c r="O971" s="10">
        <v>123</v>
      </c>
      <c r="P971" s="10">
        <v>0</v>
      </c>
      <c r="Q971" s="10" t="str">
        <f>+IF(Tabla2[[#This Row],[Demand_Forecast]]&lt;= 125,"Low demand",IF(Tabla2[[#This Row],[Demand_Forecast]] &gt;=285,"High demand","Mid demand"))</f>
        <v>Low demand</v>
      </c>
    </row>
    <row r="972" spans="1:17" x14ac:dyDescent="0.25">
      <c r="A972" s="11">
        <v>45372.497048611112</v>
      </c>
      <c r="B972" s="10" t="s">
        <v>64</v>
      </c>
      <c r="C972" s="10" t="s">
        <v>1975</v>
      </c>
      <c r="D972" s="10" t="s">
        <v>1976</v>
      </c>
      <c r="E972" s="10">
        <v>106</v>
      </c>
      <c r="F972" s="10" t="s">
        <v>34</v>
      </c>
      <c r="G972" s="10">
        <v>21.6</v>
      </c>
      <c r="H972" s="10">
        <v>79.3</v>
      </c>
      <c r="I972" s="10" t="s">
        <v>38</v>
      </c>
      <c r="J972" s="10">
        <v>51</v>
      </c>
      <c r="K972" s="10">
        <v>120</v>
      </c>
      <c r="L972" s="10">
        <v>9</v>
      </c>
      <c r="M972" s="10" t="s">
        <v>27</v>
      </c>
      <c r="N972" s="10">
        <v>96.2</v>
      </c>
      <c r="O972" s="10">
        <v>228</v>
      </c>
      <c r="P972" s="10">
        <v>0</v>
      </c>
      <c r="Q972" s="10" t="str">
        <f>+IF(Tabla2[[#This Row],[Demand_Forecast]]&lt;= 125,"Low demand",IF(Tabla2[[#This Row],[Demand_Forecast]] &gt;=285,"High demand","Mid demand"))</f>
        <v>Mid demand</v>
      </c>
    </row>
    <row r="973" spans="1:17" x14ac:dyDescent="0.25">
      <c r="A973" s="11">
        <v>45487.833773148152</v>
      </c>
      <c r="B973" s="10" t="s">
        <v>61</v>
      </c>
      <c r="C973" s="10" t="s">
        <v>1977</v>
      </c>
      <c r="D973" s="10" t="s">
        <v>1978</v>
      </c>
      <c r="E973" s="10">
        <v>154</v>
      </c>
      <c r="F973" s="10" t="s">
        <v>19</v>
      </c>
      <c r="G973" s="10">
        <v>25.8</v>
      </c>
      <c r="H973" s="10">
        <v>69</v>
      </c>
      <c r="I973" s="10" t="s">
        <v>38</v>
      </c>
      <c r="J973" s="10">
        <v>60</v>
      </c>
      <c r="K973" s="10">
        <v>357</v>
      </c>
      <c r="L973" s="10">
        <v>10</v>
      </c>
      <c r="M973" s="10" t="s">
        <v>51</v>
      </c>
      <c r="N973" s="10">
        <v>87.9</v>
      </c>
      <c r="O973" s="10">
        <v>269</v>
      </c>
      <c r="P973" s="10">
        <v>1</v>
      </c>
      <c r="Q973" s="10" t="str">
        <f>+IF(Tabla2[[#This Row],[Demand_Forecast]]&lt;= 125,"Low demand",IF(Tabla2[[#This Row],[Demand_Forecast]] &gt;=285,"High demand","Mid demand"))</f>
        <v>Mid demand</v>
      </c>
    </row>
    <row r="974" spans="1:17" x14ac:dyDescent="0.25">
      <c r="A974" s="11">
        <v>45619.802754629629</v>
      </c>
      <c r="B974" s="10" t="s">
        <v>28</v>
      </c>
      <c r="C974" s="10" t="s">
        <v>1979</v>
      </c>
      <c r="D974" s="10" t="s">
        <v>1980</v>
      </c>
      <c r="E974" s="10">
        <v>417</v>
      </c>
      <c r="F974" s="10" t="s">
        <v>25</v>
      </c>
      <c r="G974" s="10">
        <v>23.8</v>
      </c>
      <c r="H974" s="10">
        <v>50.7</v>
      </c>
      <c r="I974" s="10" t="s">
        <v>26</v>
      </c>
      <c r="J974" s="10">
        <v>47</v>
      </c>
      <c r="K974" s="10">
        <v>278</v>
      </c>
      <c r="L974" s="10">
        <v>2</v>
      </c>
      <c r="M974" s="10" t="s">
        <v>21</v>
      </c>
      <c r="N974" s="10">
        <v>88.7</v>
      </c>
      <c r="O974" s="10">
        <v>226</v>
      </c>
      <c r="P974" s="10">
        <v>1</v>
      </c>
      <c r="Q974" s="10" t="str">
        <f>+IF(Tabla2[[#This Row],[Demand_Forecast]]&lt;= 125,"Low demand",IF(Tabla2[[#This Row],[Demand_Forecast]] &gt;=285,"High demand","Mid demand"))</f>
        <v>Mid demand</v>
      </c>
    </row>
    <row r="975" spans="1:17" x14ac:dyDescent="0.25">
      <c r="A975" s="11">
        <v>45561.440185185187</v>
      </c>
      <c r="B975" s="10" t="s">
        <v>64</v>
      </c>
      <c r="C975" s="10" t="s">
        <v>1981</v>
      </c>
      <c r="D975" s="10" t="s">
        <v>1982</v>
      </c>
      <c r="E975" s="10">
        <v>438</v>
      </c>
      <c r="F975" s="10" t="s">
        <v>19</v>
      </c>
      <c r="G975" s="10">
        <v>20.6</v>
      </c>
      <c r="H975" s="10">
        <v>79.3</v>
      </c>
      <c r="I975" s="10" t="s">
        <v>26</v>
      </c>
      <c r="J975" s="10">
        <v>37</v>
      </c>
      <c r="K975" s="10">
        <v>431</v>
      </c>
      <c r="L975" s="10">
        <v>5</v>
      </c>
      <c r="M975" s="10" t="s">
        <v>51</v>
      </c>
      <c r="N975" s="10">
        <v>71.7</v>
      </c>
      <c r="O975" s="10">
        <v>246</v>
      </c>
      <c r="P975" s="10">
        <v>1</v>
      </c>
      <c r="Q975" s="10" t="str">
        <f>+IF(Tabla2[[#This Row],[Demand_Forecast]]&lt;= 125,"Low demand",IF(Tabla2[[#This Row],[Demand_Forecast]] &gt;=285,"High demand","Mid demand"))</f>
        <v>Mid demand</v>
      </c>
    </row>
    <row r="976" spans="1:17" x14ac:dyDescent="0.25">
      <c r="A976" s="11">
        <v>45513.700219907405</v>
      </c>
      <c r="B976" s="10" t="s">
        <v>64</v>
      </c>
      <c r="C976" s="10" t="s">
        <v>1983</v>
      </c>
      <c r="D976" s="10" t="s">
        <v>1984</v>
      </c>
      <c r="E976" s="10">
        <v>106</v>
      </c>
      <c r="F976" s="10" t="s">
        <v>19</v>
      </c>
      <c r="G976" s="10">
        <v>29.6</v>
      </c>
      <c r="H976" s="10">
        <v>62</v>
      </c>
      <c r="I976" s="10" t="s">
        <v>26</v>
      </c>
      <c r="J976" s="10">
        <v>54</v>
      </c>
      <c r="K976" s="10">
        <v>410</v>
      </c>
      <c r="L976" s="10">
        <v>9</v>
      </c>
      <c r="M976" s="10" t="s">
        <v>27</v>
      </c>
      <c r="N976" s="10">
        <v>62.3</v>
      </c>
      <c r="O976" s="10">
        <v>111</v>
      </c>
      <c r="P976" s="10">
        <v>1</v>
      </c>
      <c r="Q976" s="10" t="str">
        <f>+IF(Tabla2[[#This Row],[Demand_Forecast]]&lt;= 125,"Low demand",IF(Tabla2[[#This Row],[Demand_Forecast]] &gt;=285,"High demand","Mid demand"))</f>
        <v>Low demand</v>
      </c>
    </row>
    <row r="977" spans="1:17" x14ac:dyDescent="0.25">
      <c r="A977" s="11">
        <v>45619.358067129629</v>
      </c>
      <c r="B977" s="10" t="s">
        <v>41</v>
      </c>
      <c r="C977" s="10" t="s">
        <v>1985</v>
      </c>
      <c r="D977" s="10" t="s">
        <v>1986</v>
      </c>
      <c r="E977" s="10">
        <v>147</v>
      </c>
      <c r="F977" s="10" t="s">
        <v>19</v>
      </c>
      <c r="G977" s="10">
        <v>27.5</v>
      </c>
      <c r="H977" s="10">
        <v>51.6</v>
      </c>
      <c r="I977" s="10" t="s">
        <v>38</v>
      </c>
      <c r="J977" s="10">
        <v>15</v>
      </c>
      <c r="K977" s="10">
        <v>496</v>
      </c>
      <c r="L977" s="10">
        <v>4</v>
      </c>
      <c r="M977" s="10" t="s">
        <v>35</v>
      </c>
      <c r="N977" s="10">
        <v>68.400000000000006</v>
      </c>
      <c r="O977" s="10">
        <v>238</v>
      </c>
      <c r="P977" s="10">
        <v>1</v>
      </c>
      <c r="Q977" s="10" t="str">
        <f>+IF(Tabla2[[#This Row],[Demand_Forecast]]&lt;= 125,"Low demand",IF(Tabla2[[#This Row],[Demand_Forecast]] &gt;=285,"High demand","Mid demand"))</f>
        <v>Mid demand</v>
      </c>
    </row>
    <row r="978" spans="1:17" x14ac:dyDescent="0.25">
      <c r="A978" s="11">
        <v>45581.950925925928</v>
      </c>
      <c r="B978" s="10" t="s">
        <v>16</v>
      </c>
      <c r="C978" s="10" t="s">
        <v>1987</v>
      </c>
      <c r="D978" s="10" t="s">
        <v>1988</v>
      </c>
      <c r="E978" s="10">
        <v>248</v>
      </c>
      <c r="F978" s="10" t="s">
        <v>34</v>
      </c>
      <c r="G978" s="10">
        <v>23</v>
      </c>
      <c r="H978" s="10">
        <v>72.3</v>
      </c>
      <c r="I978" s="10" t="s">
        <v>26</v>
      </c>
      <c r="J978" s="10">
        <v>35</v>
      </c>
      <c r="K978" s="10">
        <v>256</v>
      </c>
      <c r="L978" s="10">
        <v>3</v>
      </c>
      <c r="M978" s="10" t="s">
        <v>35</v>
      </c>
      <c r="N978" s="10">
        <v>99.2</v>
      </c>
      <c r="O978" s="10">
        <v>296</v>
      </c>
      <c r="P978" s="10">
        <v>1</v>
      </c>
      <c r="Q978" s="10" t="str">
        <f>+IF(Tabla2[[#This Row],[Demand_Forecast]]&lt;= 125,"Low demand",IF(Tabla2[[#This Row],[Demand_Forecast]] &gt;=285,"High demand","Mid demand"))</f>
        <v>High demand</v>
      </c>
    </row>
    <row r="979" spans="1:17" x14ac:dyDescent="0.25">
      <c r="A979" s="11">
        <v>45337.945138888892</v>
      </c>
      <c r="B979" s="10" t="s">
        <v>16</v>
      </c>
      <c r="C979" s="10" t="s">
        <v>1989</v>
      </c>
      <c r="D979" s="10" t="s">
        <v>1990</v>
      </c>
      <c r="E979" s="10">
        <v>299</v>
      </c>
      <c r="F979" s="10" t="s">
        <v>25</v>
      </c>
      <c r="G979" s="10">
        <v>20.5</v>
      </c>
      <c r="H979" s="10">
        <v>75.2</v>
      </c>
      <c r="I979" s="10" t="s">
        <v>38</v>
      </c>
      <c r="J979" s="10">
        <v>21</v>
      </c>
      <c r="K979" s="10">
        <v>148</v>
      </c>
      <c r="L979" s="10">
        <v>6</v>
      </c>
      <c r="M979" s="10" t="s">
        <v>51</v>
      </c>
      <c r="N979" s="10">
        <v>67.5</v>
      </c>
      <c r="O979" s="10">
        <v>150</v>
      </c>
      <c r="P979" s="10">
        <v>0</v>
      </c>
      <c r="Q979" s="10" t="str">
        <f>+IF(Tabla2[[#This Row],[Demand_Forecast]]&lt;= 125,"Low demand",IF(Tabla2[[#This Row],[Demand_Forecast]] &gt;=285,"High demand","Mid demand"))</f>
        <v>Mid demand</v>
      </c>
    </row>
    <row r="980" spans="1:17" x14ac:dyDescent="0.25">
      <c r="A980" s="11">
        <v>45458.118298611109</v>
      </c>
      <c r="B980" s="10" t="s">
        <v>16</v>
      </c>
      <c r="C980" s="10" t="s">
        <v>1991</v>
      </c>
      <c r="D980" s="10" t="s">
        <v>1992</v>
      </c>
      <c r="E980" s="10">
        <v>382</v>
      </c>
      <c r="F980" s="10" t="s">
        <v>34</v>
      </c>
      <c r="G980" s="10">
        <v>20.6</v>
      </c>
      <c r="H980" s="10">
        <v>72.8</v>
      </c>
      <c r="I980" s="10" t="s">
        <v>26</v>
      </c>
      <c r="J980" s="10">
        <v>10</v>
      </c>
      <c r="K980" s="10">
        <v>128</v>
      </c>
      <c r="L980" s="10">
        <v>1</v>
      </c>
      <c r="M980" s="10" t="s">
        <v>27</v>
      </c>
      <c r="N980" s="10">
        <v>79.2</v>
      </c>
      <c r="O980" s="10">
        <v>157</v>
      </c>
      <c r="P980" s="10">
        <v>1</v>
      </c>
      <c r="Q980" s="10" t="str">
        <f>+IF(Tabla2[[#This Row],[Demand_Forecast]]&lt;= 125,"Low demand",IF(Tabla2[[#This Row],[Demand_Forecast]] &gt;=285,"High demand","Mid demand"))</f>
        <v>Mid demand</v>
      </c>
    </row>
    <row r="981" spans="1:17" x14ac:dyDescent="0.25">
      <c r="A981" s="11">
        <v>45469.832546296297</v>
      </c>
      <c r="B981" s="10" t="s">
        <v>48</v>
      </c>
      <c r="C981" s="10" t="s">
        <v>1993</v>
      </c>
      <c r="D981" s="10" t="s">
        <v>1994</v>
      </c>
      <c r="E981" s="10">
        <v>236</v>
      </c>
      <c r="F981" s="10" t="s">
        <v>34</v>
      </c>
      <c r="G981" s="10">
        <v>19.399999999999999</v>
      </c>
      <c r="H981" s="10">
        <v>57.2</v>
      </c>
      <c r="I981" s="10" t="s">
        <v>26</v>
      </c>
      <c r="J981" s="10">
        <v>13</v>
      </c>
      <c r="K981" s="10">
        <v>368</v>
      </c>
      <c r="L981" s="10">
        <v>2</v>
      </c>
      <c r="M981" s="10" t="s">
        <v>27</v>
      </c>
      <c r="N981" s="10">
        <v>83.7</v>
      </c>
      <c r="O981" s="10">
        <v>276</v>
      </c>
      <c r="P981" s="10">
        <v>1</v>
      </c>
      <c r="Q981" s="10" t="str">
        <f>+IF(Tabla2[[#This Row],[Demand_Forecast]]&lt;= 125,"Low demand",IF(Tabla2[[#This Row],[Demand_Forecast]] &gt;=285,"High demand","Mid demand"))</f>
        <v>Mid demand</v>
      </c>
    </row>
    <row r="982" spans="1:17" x14ac:dyDescent="0.25">
      <c r="A982" s="11">
        <v>45627.527048611111</v>
      </c>
      <c r="B982" s="10" t="s">
        <v>41</v>
      </c>
      <c r="C982" s="10" t="s">
        <v>1995</v>
      </c>
      <c r="D982" s="10" t="s">
        <v>1996</v>
      </c>
      <c r="E982" s="10">
        <v>122</v>
      </c>
      <c r="F982" s="10" t="s">
        <v>19</v>
      </c>
      <c r="G982" s="10">
        <v>28.3</v>
      </c>
      <c r="H982" s="10">
        <v>80</v>
      </c>
      <c r="I982" s="10" t="s">
        <v>20</v>
      </c>
      <c r="J982" s="10">
        <v>43</v>
      </c>
      <c r="K982" s="10">
        <v>444</v>
      </c>
      <c r="L982" s="10">
        <v>10</v>
      </c>
      <c r="M982" s="10" t="s">
        <v>51</v>
      </c>
      <c r="N982" s="10">
        <v>91.6</v>
      </c>
      <c r="O982" s="10">
        <v>141</v>
      </c>
      <c r="P982" s="10">
        <v>1</v>
      </c>
      <c r="Q982" s="10" t="str">
        <f>+IF(Tabla2[[#This Row],[Demand_Forecast]]&lt;= 125,"Low demand",IF(Tabla2[[#This Row],[Demand_Forecast]] &gt;=285,"High demand","Mid demand"))</f>
        <v>Mid demand</v>
      </c>
    </row>
    <row r="983" spans="1:17" x14ac:dyDescent="0.25">
      <c r="A983" s="11">
        <v>45504.154976851853</v>
      </c>
      <c r="B983" s="10" t="s">
        <v>28</v>
      </c>
      <c r="C983" s="10" t="s">
        <v>1997</v>
      </c>
      <c r="D983" s="10" t="s">
        <v>1998</v>
      </c>
      <c r="E983" s="10">
        <v>201</v>
      </c>
      <c r="F983" s="10" t="s">
        <v>25</v>
      </c>
      <c r="G983" s="10">
        <v>24.4</v>
      </c>
      <c r="H983" s="10">
        <v>50.8</v>
      </c>
      <c r="I983" s="10" t="s">
        <v>26</v>
      </c>
      <c r="J983" s="10">
        <v>13</v>
      </c>
      <c r="K983" s="10">
        <v>367</v>
      </c>
      <c r="L983" s="10">
        <v>2</v>
      </c>
      <c r="M983" s="10" t="s">
        <v>21</v>
      </c>
      <c r="N983" s="10">
        <v>88.3</v>
      </c>
      <c r="O983" s="10">
        <v>174</v>
      </c>
      <c r="P983" s="10">
        <v>1</v>
      </c>
      <c r="Q983" s="10" t="str">
        <f>+IF(Tabla2[[#This Row],[Demand_Forecast]]&lt;= 125,"Low demand",IF(Tabla2[[#This Row],[Demand_Forecast]] &gt;=285,"High demand","Mid demand"))</f>
        <v>Mid demand</v>
      </c>
    </row>
    <row r="984" spans="1:17" x14ac:dyDescent="0.25">
      <c r="A984" s="11">
        <v>45367.555902777778</v>
      </c>
      <c r="B984" s="10" t="s">
        <v>31</v>
      </c>
      <c r="C984" s="10" t="s">
        <v>1999</v>
      </c>
      <c r="D984" s="10" t="s">
        <v>2000</v>
      </c>
      <c r="E984" s="10">
        <v>226</v>
      </c>
      <c r="F984" s="10" t="s">
        <v>25</v>
      </c>
      <c r="G984" s="10">
        <v>18.600000000000001</v>
      </c>
      <c r="H984" s="10">
        <v>77.900000000000006</v>
      </c>
      <c r="I984" s="10" t="s">
        <v>26</v>
      </c>
      <c r="J984" s="10">
        <v>30</v>
      </c>
      <c r="K984" s="10">
        <v>252</v>
      </c>
      <c r="L984" s="10">
        <v>10</v>
      </c>
      <c r="M984" s="10" t="s">
        <v>21</v>
      </c>
      <c r="N984" s="10">
        <v>67.3</v>
      </c>
      <c r="O984" s="10">
        <v>145</v>
      </c>
      <c r="P984" s="10">
        <v>1</v>
      </c>
      <c r="Q984" s="10" t="str">
        <f>+IF(Tabla2[[#This Row],[Demand_Forecast]]&lt;= 125,"Low demand",IF(Tabla2[[#This Row],[Demand_Forecast]] &gt;=285,"High demand","Mid demand"))</f>
        <v>Mid demand</v>
      </c>
    </row>
    <row r="985" spans="1:17" x14ac:dyDescent="0.25">
      <c r="A985" s="11">
        <v>45460.613321759258</v>
      </c>
      <c r="B985" s="10" t="s">
        <v>31</v>
      </c>
      <c r="C985" s="10" t="s">
        <v>2001</v>
      </c>
      <c r="D985" s="10" t="s">
        <v>2002</v>
      </c>
      <c r="E985" s="10">
        <v>266</v>
      </c>
      <c r="F985" s="10" t="s">
        <v>34</v>
      </c>
      <c r="G985" s="10">
        <v>23.5</v>
      </c>
      <c r="H985" s="10">
        <v>60.2</v>
      </c>
      <c r="I985" s="10" t="s">
        <v>26</v>
      </c>
      <c r="J985" s="10">
        <v>57</v>
      </c>
      <c r="K985" s="10">
        <v>108</v>
      </c>
      <c r="L985" s="10">
        <v>2</v>
      </c>
      <c r="M985" s="10" t="s">
        <v>35</v>
      </c>
      <c r="N985" s="10">
        <v>65.5</v>
      </c>
      <c r="O985" s="10">
        <v>202</v>
      </c>
      <c r="P985" s="10">
        <v>1</v>
      </c>
      <c r="Q985" s="10" t="str">
        <f>+IF(Tabla2[[#This Row],[Demand_Forecast]]&lt;= 125,"Low demand",IF(Tabla2[[#This Row],[Demand_Forecast]] &gt;=285,"High demand","Mid demand"))</f>
        <v>Mid demand</v>
      </c>
    </row>
    <row r="986" spans="1:17" x14ac:dyDescent="0.25">
      <c r="A986" s="11">
        <v>45317.208402777775</v>
      </c>
      <c r="B986" s="10" t="s">
        <v>56</v>
      </c>
      <c r="C986" s="10" t="s">
        <v>2003</v>
      </c>
      <c r="D986" s="10" t="s">
        <v>2004</v>
      </c>
      <c r="E986" s="10">
        <v>277</v>
      </c>
      <c r="F986" s="10" t="s">
        <v>34</v>
      </c>
      <c r="G986" s="10">
        <v>29.2</v>
      </c>
      <c r="H986" s="10">
        <v>56.9</v>
      </c>
      <c r="I986" s="10" t="s">
        <v>20</v>
      </c>
      <c r="J986" s="10">
        <v>24</v>
      </c>
      <c r="K986" s="10">
        <v>100</v>
      </c>
      <c r="L986" s="10">
        <v>2</v>
      </c>
      <c r="M986" s="10" t="s">
        <v>51</v>
      </c>
      <c r="N986" s="10">
        <v>84.2</v>
      </c>
      <c r="O986" s="10">
        <v>164</v>
      </c>
      <c r="P986" s="10">
        <v>0</v>
      </c>
      <c r="Q986" s="10" t="str">
        <f>+IF(Tabla2[[#This Row],[Demand_Forecast]]&lt;= 125,"Low demand",IF(Tabla2[[#This Row],[Demand_Forecast]] &gt;=285,"High demand","Mid demand"))</f>
        <v>Mid demand</v>
      </c>
    </row>
    <row r="987" spans="1:17" x14ac:dyDescent="0.25">
      <c r="A987" s="11">
        <v>45360.414259259262</v>
      </c>
      <c r="B987" s="10" t="s">
        <v>41</v>
      </c>
      <c r="C987" s="10" t="s">
        <v>2005</v>
      </c>
      <c r="D987" s="10" t="s">
        <v>2006</v>
      </c>
      <c r="E987" s="10">
        <v>475</v>
      </c>
      <c r="F987" s="10" t="s">
        <v>25</v>
      </c>
      <c r="G987" s="10">
        <v>24.3</v>
      </c>
      <c r="H987" s="10">
        <v>52.6</v>
      </c>
      <c r="I987" s="10" t="s">
        <v>26</v>
      </c>
      <c r="J987" s="10">
        <v>55</v>
      </c>
      <c r="K987" s="10">
        <v>283</v>
      </c>
      <c r="L987" s="10">
        <v>6</v>
      </c>
      <c r="M987" s="10" t="s">
        <v>27</v>
      </c>
      <c r="N987" s="10">
        <v>95.9</v>
      </c>
      <c r="O987" s="10">
        <v>173</v>
      </c>
      <c r="P987" s="10">
        <v>1</v>
      </c>
      <c r="Q987" s="10" t="str">
        <f>+IF(Tabla2[[#This Row],[Demand_Forecast]]&lt;= 125,"Low demand",IF(Tabla2[[#This Row],[Demand_Forecast]] &gt;=285,"High demand","Mid demand"))</f>
        <v>Mid demand</v>
      </c>
    </row>
    <row r="988" spans="1:17" x14ac:dyDescent="0.25">
      <c r="A988" s="11">
        <v>45532.307638888888</v>
      </c>
      <c r="B988" s="10" t="s">
        <v>56</v>
      </c>
      <c r="C988" s="10" t="s">
        <v>2007</v>
      </c>
      <c r="D988" s="10" t="s">
        <v>2008</v>
      </c>
      <c r="E988" s="10">
        <v>387</v>
      </c>
      <c r="F988" s="10" t="s">
        <v>34</v>
      </c>
      <c r="G988" s="10">
        <v>28.1</v>
      </c>
      <c r="H988" s="10">
        <v>64.7</v>
      </c>
      <c r="I988" s="10" t="s">
        <v>38</v>
      </c>
      <c r="J988" s="10">
        <v>51</v>
      </c>
      <c r="K988" s="10">
        <v>340</v>
      </c>
      <c r="L988" s="10">
        <v>10</v>
      </c>
      <c r="M988" s="10" t="s">
        <v>27</v>
      </c>
      <c r="N988" s="10">
        <v>61.1</v>
      </c>
      <c r="O988" s="10">
        <v>243</v>
      </c>
      <c r="P988" s="10">
        <v>0</v>
      </c>
      <c r="Q988" s="10" t="str">
        <f>+IF(Tabla2[[#This Row],[Demand_Forecast]]&lt;= 125,"Low demand",IF(Tabla2[[#This Row],[Demand_Forecast]] &gt;=285,"High demand","Mid demand"))</f>
        <v>Mid demand</v>
      </c>
    </row>
    <row r="989" spans="1:17" x14ac:dyDescent="0.25">
      <c r="A989" s="11">
        <v>45304.790995370371</v>
      </c>
      <c r="B989" s="10" t="s">
        <v>22</v>
      </c>
      <c r="C989" s="10" t="s">
        <v>2009</v>
      </c>
      <c r="D989" s="10" t="s">
        <v>2010</v>
      </c>
      <c r="E989" s="10">
        <v>286</v>
      </c>
      <c r="F989" s="10" t="s">
        <v>25</v>
      </c>
      <c r="G989" s="10">
        <v>25</v>
      </c>
      <c r="H989" s="10">
        <v>68.400000000000006</v>
      </c>
      <c r="I989" s="10" t="s">
        <v>26</v>
      </c>
      <c r="J989" s="10">
        <v>50</v>
      </c>
      <c r="K989" s="10">
        <v>382</v>
      </c>
      <c r="L989" s="10">
        <v>5</v>
      </c>
      <c r="M989" s="10" t="s">
        <v>27</v>
      </c>
      <c r="N989" s="10">
        <v>71.900000000000006</v>
      </c>
      <c r="O989" s="10">
        <v>283</v>
      </c>
      <c r="P989" s="10">
        <v>1</v>
      </c>
      <c r="Q989" s="10" t="str">
        <f>+IF(Tabla2[[#This Row],[Demand_Forecast]]&lt;= 125,"Low demand",IF(Tabla2[[#This Row],[Demand_Forecast]] &gt;=285,"High demand","Mid demand"))</f>
        <v>Mid demand</v>
      </c>
    </row>
    <row r="990" spans="1:17" x14ac:dyDescent="0.25">
      <c r="A990" s="11">
        <v>45647.450416666667</v>
      </c>
      <c r="B990" s="10" t="s">
        <v>16</v>
      </c>
      <c r="C990" s="10" t="s">
        <v>2011</v>
      </c>
      <c r="D990" s="10" t="s">
        <v>2012</v>
      </c>
      <c r="E990" s="10">
        <v>367</v>
      </c>
      <c r="F990" s="10" t="s">
        <v>19</v>
      </c>
      <c r="G990" s="10">
        <v>27</v>
      </c>
      <c r="H990" s="10">
        <v>55.1</v>
      </c>
      <c r="I990" s="10" t="s">
        <v>26</v>
      </c>
      <c r="J990" s="10">
        <v>47</v>
      </c>
      <c r="K990" s="10">
        <v>449</v>
      </c>
      <c r="L990" s="10">
        <v>9</v>
      </c>
      <c r="M990" s="10" t="s">
        <v>51</v>
      </c>
      <c r="N990" s="10">
        <v>99.7</v>
      </c>
      <c r="O990" s="10">
        <v>109</v>
      </c>
      <c r="P990" s="10">
        <v>1</v>
      </c>
      <c r="Q990" s="10" t="str">
        <f>+IF(Tabla2[[#This Row],[Demand_Forecast]]&lt;= 125,"Low demand",IF(Tabla2[[#This Row],[Demand_Forecast]] &gt;=285,"High demand","Mid demand"))</f>
        <v>Low demand</v>
      </c>
    </row>
    <row r="991" spans="1:17" x14ac:dyDescent="0.25">
      <c r="A991" s="11">
        <v>45654.736215277779</v>
      </c>
      <c r="B991" s="10" t="s">
        <v>41</v>
      </c>
      <c r="C991" s="10" t="s">
        <v>2013</v>
      </c>
      <c r="D991" s="10" t="s">
        <v>2014</v>
      </c>
      <c r="E991" s="10">
        <v>371</v>
      </c>
      <c r="F991" s="10" t="s">
        <v>19</v>
      </c>
      <c r="G991" s="10">
        <v>27.4</v>
      </c>
      <c r="H991" s="10">
        <v>50.9</v>
      </c>
      <c r="I991" s="10" t="s">
        <v>38</v>
      </c>
      <c r="J991" s="10">
        <v>40</v>
      </c>
      <c r="K991" s="10">
        <v>463</v>
      </c>
      <c r="L991" s="10">
        <v>8</v>
      </c>
      <c r="M991" s="10" t="s">
        <v>27</v>
      </c>
      <c r="N991" s="10">
        <v>90.7</v>
      </c>
      <c r="O991" s="10">
        <v>144</v>
      </c>
      <c r="P991" s="10">
        <v>1</v>
      </c>
      <c r="Q991" s="10" t="str">
        <f>+IF(Tabla2[[#This Row],[Demand_Forecast]]&lt;= 125,"Low demand",IF(Tabla2[[#This Row],[Demand_Forecast]] &gt;=285,"High demand","Mid demand"))</f>
        <v>Mid demand</v>
      </c>
    </row>
    <row r="992" spans="1:17" x14ac:dyDescent="0.25">
      <c r="A992" s="11">
        <v>45522.244293981479</v>
      </c>
      <c r="B992" s="10" t="s">
        <v>16</v>
      </c>
      <c r="C992" s="10" t="s">
        <v>2015</v>
      </c>
      <c r="D992" s="10" t="s">
        <v>2016</v>
      </c>
      <c r="E992" s="10">
        <v>315</v>
      </c>
      <c r="F992" s="10" t="s">
        <v>34</v>
      </c>
      <c r="G992" s="10">
        <v>23.5</v>
      </c>
      <c r="H992" s="10">
        <v>68.599999999999994</v>
      </c>
      <c r="I992" s="10" t="s">
        <v>26</v>
      </c>
      <c r="J992" s="10">
        <v>20</v>
      </c>
      <c r="K992" s="10">
        <v>372</v>
      </c>
      <c r="L992" s="10">
        <v>1</v>
      </c>
      <c r="M992" s="10" t="s">
        <v>21</v>
      </c>
      <c r="N992" s="10">
        <v>63.8</v>
      </c>
      <c r="O992" s="10">
        <v>221</v>
      </c>
      <c r="P992" s="10">
        <v>1</v>
      </c>
      <c r="Q992" s="10" t="str">
        <f>+IF(Tabla2[[#This Row],[Demand_Forecast]]&lt;= 125,"Low demand",IF(Tabla2[[#This Row],[Demand_Forecast]] &gt;=285,"High demand","Mid demand"))</f>
        <v>Mid demand</v>
      </c>
    </row>
    <row r="993" spans="1:17" x14ac:dyDescent="0.25">
      <c r="A993" s="11">
        <v>45544.231446759259</v>
      </c>
      <c r="B993" s="10" t="s">
        <v>22</v>
      </c>
      <c r="C993" s="10" t="s">
        <v>2017</v>
      </c>
      <c r="D993" s="10" t="s">
        <v>2018</v>
      </c>
      <c r="E993" s="10">
        <v>262</v>
      </c>
      <c r="F993" s="10" t="s">
        <v>25</v>
      </c>
      <c r="G993" s="10">
        <v>24.5</v>
      </c>
      <c r="H993" s="10">
        <v>50.1</v>
      </c>
      <c r="I993" s="10" t="s">
        <v>26</v>
      </c>
      <c r="J993" s="10">
        <v>20</v>
      </c>
      <c r="K993" s="10">
        <v>387</v>
      </c>
      <c r="L993" s="10">
        <v>2</v>
      </c>
      <c r="M993" s="10" t="s">
        <v>27</v>
      </c>
      <c r="N993" s="10">
        <v>95</v>
      </c>
      <c r="O993" s="10">
        <v>145</v>
      </c>
      <c r="P993" s="10">
        <v>1</v>
      </c>
      <c r="Q993" s="10" t="str">
        <f>+IF(Tabla2[[#This Row],[Demand_Forecast]]&lt;= 125,"Low demand",IF(Tabla2[[#This Row],[Demand_Forecast]] &gt;=285,"High demand","Mid demand"))</f>
        <v>Mid demand</v>
      </c>
    </row>
    <row r="994" spans="1:17" x14ac:dyDescent="0.25">
      <c r="A994" s="11">
        <v>45566.389652777776</v>
      </c>
      <c r="B994" s="10" t="s">
        <v>16</v>
      </c>
      <c r="C994" s="10" t="s">
        <v>2019</v>
      </c>
      <c r="D994" s="10" t="s">
        <v>2020</v>
      </c>
      <c r="E994" s="10">
        <v>201</v>
      </c>
      <c r="F994" s="10" t="s">
        <v>19</v>
      </c>
      <c r="G994" s="10">
        <v>23.9</v>
      </c>
      <c r="H994" s="10">
        <v>57.8</v>
      </c>
      <c r="I994" s="10" t="s">
        <v>26</v>
      </c>
      <c r="J994" s="10">
        <v>24</v>
      </c>
      <c r="K994" s="10">
        <v>170</v>
      </c>
      <c r="L994" s="10">
        <v>1</v>
      </c>
      <c r="M994" s="10" t="s">
        <v>51</v>
      </c>
      <c r="N994" s="10">
        <v>90.8</v>
      </c>
      <c r="O994" s="10">
        <v>104</v>
      </c>
      <c r="P994" s="10">
        <v>1</v>
      </c>
      <c r="Q994" s="10" t="str">
        <f>+IF(Tabla2[[#This Row],[Demand_Forecast]]&lt;= 125,"Low demand",IF(Tabla2[[#This Row],[Demand_Forecast]] &gt;=285,"High demand","Mid demand"))</f>
        <v>Low demand</v>
      </c>
    </row>
    <row r="995" spans="1:17" x14ac:dyDescent="0.25">
      <c r="A995" s="11">
        <v>45579.431446759256</v>
      </c>
      <c r="B995" s="10" t="s">
        <v>41</v>
      </c>
      <c r="C995" s="10" t="s">
        <v>2021</v>
      </c>
      <c r="D995" s="10" t="s">
        <v>2022</v>
      </c>
      <c r="E995" s="10">
        <v>420</v>
      </c>
      <c r="F995" s="10" t="s">
        <v>19</v>
      </c>
      <c r="G995" s="10">
        <v>21.6</v>
      </c>
      <c r="H995" s="10">
        <v>62.8</v>
      </c>
      <c r="I995" s="10" t="s">
        <v>38</v>
      </c>
      <c r="J995" s="10">
        <v>31</v>
      </c>
      <c r="K995" s="10">
        <v>242</v>
      </c>
      <c r="L995" s="10">
        <v>10</v>
      </c>
      <c r="M995" s="10" t="s">
        <v>27</v>
      </c>
      <c r="N995" s="10">
        <v>95.6</v>
      </c>
      <c r="O995" s="10">
        <v>221</v>
      </c>
      <c r="P995" s="10">
        <v>1</v>
      </c>
      <c r="Q995" s="10" t="str">
        <f>+IF(Tabla2[[#This Row],[Demand_Forecast]]&lt;= 125,"Low demand",IF(Tabla2[[#This Row],[Demand_Forecast]] &gt;=285,"High demand","Mid demand"))</f>
        <v>Mid demand</v>
      </c>
    </row>
    <row r="996" spans="1:17" x14ac:dyDescent="0.25">
      <c r="A996" s="11">
        <v>45456.020185185182</v>
      </c>
      <c r="B996" s="10" t="s">
        <v>95</v>
      </c>
      <c r="C996" s="10" t="s">
        <v>2023</v>
      </c>
      <c r="D996" s="10" t="s">
        <v>2024</v>
      </c>
      <c r="E996" s="10">
        <v>143</v>
      </c>
      <c r="F996" s="10" t="s">
        <v>34</v>
      </c>
      <c r="G996" s="10">
        <v>21.6</v>
      </c>
      <c r="H996" s="10">
        <v>64.099999999999994</v>
      </c>
      <c r="I996" s="10" t="s">
        <v>20</v>
      </c>
      <c r="J996" s="10">
        <v>32</v>
      </c>
      <c r="K996" s="10">
        <v>307</v>
      </c>
      <c r="L996" s="10">
        <v>10</v>
      </c>
      <c r="M996" s="10" t="s">
        <v>35</v>
      </c>
      <c r="N996" s="10">
        <v>64</v>
      </c>
      <c r="O996" s="10">
        <v>168</v>
      </c>
      <c r="P996" s="10">
        <v>0</v>
      </c>
      <c r="Q996" s="10" t="str">
        <f>+IF(Tabla2[[#This Row],[Demand_Forecast]]&lt;= 125,"Low demand",IF(Tabla2[[#This Row],[Demand_Forecast]] &gt;=285,"High demand","Mid demand"))</f>
        <v>Mid demand</v>
      </c>
    </row>
    <row r="997" spans="1:17" x14ac:dyDescent="0.25">
      <c r="A997" s="11">
        <v>45495.6875</v>
      </c>
      <c r="B997" s="10" t="s">
        <v>22</v>
      </c>
      <c r="C997" s="10" t="s">
        <v>2025</v>
      </c>
      <c r="D997" s="10" t="s">
        <v>2026</v>
      </c>
      <c r="E997" s="10">
        <v>264</v>
      </c>
      <c r="F997" s="10" t="s">
        <v>34</v>
      </c>
      <c r="G997" s="10">
        <v>26.9</v>
      </c>
      <c r="H997" s="10">
        <v>70</v>
      </c>
      <c r="I997" s="10" t="s">
        <v>26</v>
      </c>
      <c r="J997" s="10">
        <v>32</v>
      </c>
      <c r="K997" s="10">
        <v>188</v>
      </c>
      <c r="L997" s="10">
        <v>1</v>
      </c>
      <c r="M997" s="10" t="s">
        <v>27</v>
      </c>
      <c r="N997" s="10">
        <v>79.2</v>
      </c>
      <c r="O997" s="10">
        <v>213</v>
      </c>
      <c r="P997" s="10">
        <v>1</v>
      </c>
      <c r="Q997" s="10" t="str">
        <f>+IF(Tabla2[[#This Row],[Demand_Forecast]]&lt;= 125,"Low demand",IF(Tabla2[[#This Row],[Demand_Forecast]] &gt;=285,"High demand","Mid demand"))</f>
        <v>Mid demand</v>
      </c>
    </row>
    <row r="998" spans="1:17" x14ac:dyDescent="0.25">
      <c r="A998" s="11">
        <v>45412.207615740743</v>
      </c>
      <c r="B998" s="10" t="s">
        <v>64</v>
      </c>
      <c r="C998" s="10" t="s">
        <v>2027</v>
      </c>
      <c r="D998" s="10" t="s">
        <v>2028</v>
      </c>
      <c r="E998" s="10">
        <v>479</v>
      </c>
      <c r="F998" s="10" t="s">
        <v>34</v>
      </c>
      <c r="G998" s="10">
        <v>23.7</v>
      </c>
      <c r="H998" s="10">
        <v>77.900000000000006</v>
      </c>
      <c r="I998" s="10" t="s">
        <v>20</v>
      </c>
      <c r="J998" s="10">
        <v>56</v>
      </c>
      <c r="K998" s="10">
        <v>276</v>
      </c>
      <c r="L998" s="10">
        <v>7</v>
      </c>
      <c r="M998" s="10" t="s">
        <v>27</v>
      </c>
      <c r="N998" s="10">
        <v>83.7</v>
      </c>
      <c r="O998" s="10">
        <v>272</v>
      </c>
      <c r="P998" s="10">
        <v>0</v>
      </c>
      <c r="Q998" s="10" t="str">
        <f>+IF(Tabla2[[#This Row],[Demand_Forecast]]&lt;= 125,"Low demand",IF(Tabla2[[#This Row],[Demand_Forecast]] &gt;=285,"High demand","Mid demand"))</f>
        <v>Mid demand</v>
      </c>
    </row>
    <row r="999" spans="1:17" x14ac:dyDescent="0.25">
      <c r="A999" s="11">
        <v>45592.923067129632</v>
      </c>
      <c r="B999" s="10" t="s">
        <v>48</v>
      </c>
      <c r="C999" s="10" t="s">
        <v>2029</v>
      </c>
      <c r="D999" s="10" t="s">
        <v>2030</v>
      </c>
      <c r="E999" s="10">
        <v>347</v>
      </c>
      <c r="F999" s="10" t="s">
        <v>25</v>
      </c>
      <c r="G999" s="10">
        <v>21</v>
      </c>
      <c r="H999" s="10">
        <v>63.1</v>
      </c>
      <c r="I999" s="10" t="s">
        <v>20</v>
      </c>
      <c r="J999" s="10">
        <v>35</v>
      </c>
      <c r="K999" s="10">
        <v>382</v>
      </c>
      <c r="L999" s="10">
        <v>5</v>
      </c>
      <c r="M999" s="10" t="s">
        <v>21</v>
      </c>
      <c r="N999" s="10">
        <v>74.8</v>
      </c>
      <c r="O999" s="10">
        <v>275</v>
      </c>
      <c r="P999" s="10">
        <v>0</v>
      </c>
      <c r="Q999" s="10" t="str">
        <f>+IF(Tabla2[[#This Row],[Demand_Forecast]]&lt;= 125,"Low demand",IF(Tabla2[[#This Row],[Demand_Forecast]] &gt;=285,"High demand","Mid demand"))</f>
        <v>Mid demand</v>
      </c>
    </row>
    <row r="1000" spans="1:17" x14ac:dyDescent="0.25">
      <c r="A1000" s="11">
        <v>45400.963148148148</v>
      </c>
      <c r="B1000" s="10" t="s">
        <v>48</v>
      </c>
      <c r="C1000" s="10" t="s">
        <v>2031</v>
      </c>
      <c r="D1000" s="10" t="s">
        <v>2032</v>
      </c>
      <c r="E1000" s="10">
        <v>276</v>
      </c>
      <c r="F1000" s="10" t="s">
        <v>34</v>
      </c>
      <c r="G1000" s="10">
        <v>18</v>
      </c>
      <c r="H1000" s="10">
        <v>64.3</v>
      </c>
      <c r="I1000" s="10" t="s">
        <v>26</v>
      </c>
      <c r="J1000" s="10">
        <v>10</v>
      </c>
      <c r="K1000" s="10">
        <v>361</v>
      </c>
      <c r="L1000" s="10">
        <v>5</v>
      </c>
      <c r="M1000" s="10" t="s">
        <v>21</v>
      </c>
      <c r="N1000" s="10">
        <v>88.6</v>
      </c>
      <c r="O1000" s="10">
        <v>242</v>
      </c>
      <c r="P1000" s="10">
        <v>1</v>
      </c>
      <c r="Q1000" s="10" t="str">
        <f>+IF(Tabla2[[#This Row],[Demand_Forecast]]&lt;= 125,"Low demand",IF(Tabla2[[#This Row],[Demand_Forecast]] &gt;=285,"High demand","Mid demand"))</f>
        <v>Mid demand</v>
      </c>
    </row>
    <row r="1001" spans="1:17" x14ac:dyDescent="0.25">
      <c r="A1001" s="11">
        <v>45553.819027777776</v>
      </c>
      <c r="B1001" s="10" t="s">
        <v>56</v>
      </c>
      <c r="C1001" s="10" t="s">
        <v>2033</v>
      </c>
      <c r="D1001" s="10" t="s">
        <v>2034</v>
      </c>
      <c r="E1001" s="10">
        <v>157</v>
      </c>
      <c r="F1001" s="10" t="s">
        <v>19</v>
      </c>
      <c r="G1001" s="10">
        <v>18.7</v>
      </c>
      <c r="H1001" s="10">
        <v>73.599999999999994</v>
      </c>
      <c r="I1001" s="10" t="s">
        <v>38</v>
      </c>
      <c r="J1001" s="10">
        <v>55</v>
      </c>
      <c r="K1001" s="10">
        <v>323</v>
      </c>
      <c r="L1001" s="10">
        <v>9</v>
      </c>
      <c r="M1001" s="10" t="s">
        <v>51</v>
      </c>
      <c r="N1001" s="10">
        <v>81.3</v>
      </c>
      <c r="O1001" s="10">
        <v>141</v>
      </c>
      <c r="P1001" s="10">
        <v>1</v>
      </c>
      <c r="Q1001" s="10" t="str">
        <f>+IF(Tabla2[[#This Row],[Demand_Forecast]]&lt;= 125,"Low demand",IF(Tabla2[[#This Row],[Demand_Forecast]] &gt;=285,"High demand","Mid demand"))</f>
        <v>Mid demand</v>
      </c>
    </row>
  </sheetData>
  <conditionalFormatting sqref="Q2:Q1001">
    <cfRule type="containsText" dxfId="55" priority="1" operator="containsText" text="High demand">
      <formula>NOT(ISERROR(SEARCH("High demand",Q2)))</formula>
    </cfRule>
    <cfRule type="containsText" dxfId="54" priority="3" operator="containsText" text="Low demand">
      <formula>NOT(ISERROR(SEARCH("Low demand",Q2)))</formula>
    </cfRule>
  </conditionalFormatting>
  <conditionalFormatting sqref="Q2:Q1001">
    <cfRule type="containsText" dxfId="53" priority="2" operator="containsText" text="Mid demand">
      <formula>NOT(ISERROR(SEARCH("Mid demand",Q2)))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4" sqref="B4"/>
    </sheetView>
  </sheetViews>
  <sheetFormatPr baseColWidth="10" defaultRowHeight="15" x14ac:dyDescent="0.25"/>
  <cols>
    <col min="1" max="1" width="24" bestFit="1" customWidth="1"/>
    <col min="2" max="2" width="12" customWidth="1"/>
  </cols>
  <sheetData>
    <row r="1" spans="1:2" x14ac:dyDescent="0.25">
      <c r="A1" s="13" t="s">
        <v>2065</v>
      </c>
      <c r="B1" s="14" t="s">
        <v>2066</v>
      </c>
    </row>
    <row r="2" spans="1:2" x14ac:dyDescent="0.25">
      <c r="A2" s="15" t="s">
        <v>2060</v>
      </c>
      <c r="B2" s="16">
        <f>+COUNT(Tabla2[])</f>
        <v>10000</v>
      </c>
    </row>
    <row r="3" spans="1:2" x14ac:dyDescent="0.25">
      <c r="A3" s="17" t="s">
        <v>2061</v>
      </c>
      <c r="B3" s="18">
        <v>16</v>
      </c>
    </row>
    <row r="4" spans="1:2" x14ac:dyDescent="0.25">
      <c r="A4" s="15" t="s">
        <v>2062</v>
      </c>
      <c r="B4" s="16">
        <f>+COUNTIF(Tabla2[Shipment_Status],"In Transit")</f>
        <v>312</v>
      </c>
    </row>
    <row r="5" spans="1:2" x14ac:dyDescent="0.25">
      <c r="A5" s="17" t="s">
        <v>2063</v>
      </c>
      <c r="B5" s="18">
        <v>0</v>
      </c>
    </row>
    <row r="6" spans="1:2" x14ac:dyDescent="0.25">
      <c r="A6" s="12" t="s">
        <v>2064</v>
      </c>
      <c r="B6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D5" sqref="D5"/>
    </sheetView>
  </sheetViews>
  <sheetFormatPr baseColWidth="10" defaultRowHeight="15" x14ac:dyDescent="0.25"/>
  <cols>
    <col min="1" max="1" width="26.42578125" bestFit="1" customWidth="1"/>
    <col min="2" max="2" width="19.140625" bestFit="1" customWidth="1"/>
  </cols>
  <sheetData>
    <row r="1" spans="1:2" x14ac:dyDescent="0.25">
      <c r="A1" t="s">
        <v>2065</v>
      </c>
      <c r="B1" s="19" t="s">
        <v>2075</v>
      </c>
    </row>
    <row r="2" spans="1:2" x14ac:dyDescent="0.25">
      <c r="A2" t="s">
        <v>2067</v>
      </c>
      <c r="B2" s="19">
        <f>+COUNT(Tabla2[])</f>
        <v>10000</v>
      </c>
    </row>
    <row r="3" spans="1:2" x14ac:dyDescent="0.25">
      <c r="A3" t="s">
        <v>2068</v>
      </c>
      <c r="B3" s="19">
        <f>+COUNTIF(Tabla2[Shipment_Status],"In Transit")</f>
        <v>312</v>
      </c>
    </row>
    <row r="4" spans="1:2" x14ac:dyDescent="0.25">
      <c r="A4" t="s">
        <v>2069</v>
      </c>
      <c r="B4">
        <f>+AVERAGE(Tabla2[Inventory_Level])</f>
        <v>297.91500000000002</v>
      </c>
    </row>
    <row r="5" spans="1:2" x14ac:dyDescent="0.25">
      <c r="A5" t="s">
        <v>2070</v>
      </c>
      <c r="B5">
        <f>+AVERAGE(Tabla2[Waiting_Time])</f>
        <v>35.061999999999998</v>
      </c>
    </row>
    <row r="6" spans="1:2" x14ac:dyDescent="0.25">
      <c r="A6" t="s">
        <v>2071</v>
      </c>
      <c r="B6">
        <f>+AVERAGE(Tabla2[[#All],[Temperature]])</f>
        <v>23.893900000000006</v>
      </c>
    </row>
    <row r="7" spans="1:2" x14ac:dyDescent="0.25">
      <c r="A7" t="s">
        <v>2072</v>
      </c>
      <c r="B7">
        <f>+AVERAGE(Tabla2[[#All],[Humidity]])</f>
        <v>65.042199999999966</v>
      </c>
    </row>
    <row r="8" spans="1:2" x14ac:dyDescent="0.25">
      <c r="A8" t="s">
        <v>2073</v>
      </c>
      <c r="B8">
        <f>+AVERAGE(Tabla2[Asset_Utilization])</f>
        <v>79.599100000000035</v>
      </c>
    </row>
    <row r="9" spans="1:2" x14ac:dyDescent="0.25">
      <c r="A9" t="s">
        <v>2074</v>
      </c>
      <c r="B9">
        <f>+AVERAGE(Tabla2[Demand_Forecast])</f>
        <v>199.28399999999999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7C4B-E352-4B93-A8DA-91D66F408219}">
  <dimension ref="A1:P35"/>
  <sheetViews>
    <sheetView zoomScaleNormal="100" workbookViewId="0">
      <selection activeCell="G31" sqref="G31"/>
    </sheetView>
  </sheetViews>
  <sheetFormatPr baseColWidth="10" defaultRowHeight="15" x14ac:dyDescent="0.25"/>
  <cols>
    <col min="1" max="1" width="17.7109375" bestFit="1" customWidth="1"/>
    <col min="2" max="2" width="25.7109375" bestFit="1" customWidth="1"/>
    <col min="5" max="5" width="17.7109375" bestFit="1" customWidth="1"/>
    <col min="6" max="6" width="31.85546875" bestFit="1" customWidth="1"/>
    <col min="9" max="9" width="22.7109375" bestFit="1" customWidth="1"/>
    <col min="10" max="10" width="22.42578125" bestFit="1" customWidth="1"/>
    <col min="11" max="11" width="4" bestFit="1" customWidth="1"/>
    <col min="12" max="12" width="12.5703125" bestFit="1" customWidth="1"/>
    <col min="14" max="14" width="17.5703125" bestFit="1" customWidth="1"/>
    <col min="15" max="16" width="26.7109375" bestFit="1" customWidth="1"/>
    <col min="17" max="18" width="17.42578125" bestFit="1" customWidth="1"/>
    <col min="19" max="19" width="4" bestFit="1" customWidth="1"/>
    <col min="20" max="21" width="12" bestFit="1" customWidth="1"/>
    <col min="22" max="22" width="4" bestFit="1" customWidth="1"/>
    <col min="23" max="23" width="5" bestFit="1" customWidth="1"/>
    <col min="24" max="24" width="6" bestFit="1" customWidth="1"/>
    <col min="25" max="25" width="12" bestFit="1" customWidth="1"/>
    <col min="26" max="27" width="4" bestFit="1" customWidth="1"/>
    <col min="28" max="30" width="12" bestFit="1" customWidth="1"/>
    <col min="31" max="36" width="4" bestFit="1" customWidth="1"/>
    <col min="37" max="37" width="12" bestFit="1" customWidth="1"/>
    <col min="38" max="38" width="5" bestFit="1" customWidth="1"/>
    <col min="39" max="39" width="4" bestFit="1" customWidth="1"/>
    <col min="40" max="40" width="12" bestFit="1" customWidth="1"/>
    <col min="41" max="41" width="4" bestFit="1" customWidth="1"/>
    <col min="42" max="45" width="12" bestFit="1" customWidth="1"/>
    <col min="46" max="46" width="6" bestFit="1" customWidth="1"/>
    <col min="47" max="47" width="4" bestFit="1" customWidth="1"/>
    <col min="48" max="48" width="5" bestFit="1" customWidth="1"/>
    <col min="49" max="52" width="4" bestFit="1" customWidth="1"/>
    <col min="53" max="53" width="12" bestFit="1" customWidth="1"/>
    <col min="54" max="54" width="4" bestFit="1" customWidth="1"/>
    <col min="55" max="55" width="6" bestFit="1" customWidth="1"/>
    <col min="56" max="56" width="4" bestFit="1" customWidth="1"/>
    <col min="57" max="57" width="12" bestFit="1" customWidth="1"/>
    <col min="58" max="58" width="4" bestFit="1" customWidth="1"/>
    <col min="59" max="59" width="6" bestFit="1" customWidth="1"/>
    <col min="60" max="60" width="4" bestFit="1" customWidth="1"/>
    <col min="61" max="61" width="12" bestFit="1" customWidth="1"/>
    <col min="62" max="62" width="4" bestFit="1" customWidth="1"/>
    <col min="63" max="63" width="12" bestFit="1" customWidth="1"/>
    <col min="64" max="64" width="4" bestFit="1" customWidth="1"/>
    <col min="65" max="65" width="12" bestFit="1" customWidth="1"/>
    <col min="66" max="66" width="4" bestFit="1" customWidth="1"/>
    <col min="67" max="68" width="12" bestFit="1" customWidth="1"/>
    <col min="69" max="69" width="4" bestFit="1" customWidth="1"/>
    <col min="70" max="73" width="12" bestFit="1" customWidth="1"/>
    <col min="74" max="74" width="6" bestFit="1" customWidth="1"/>
    <col min="75" max="75" width="4" bestFit="1" customWidth="1"/>
    <col min="76" max="76" width="12" bestFit="1" customWidth="1"/>
    <col min="77" max="77" width="4" bestFit="1" customWidth="1"/>
    <col min="78" max="78" width="5" bestFit="1" customWidth="1"/>
    <col min="79" max="81" width="4" bestFit="1" customWidth="1"/>
    <col min="82" max="84" width="12" bestFit="1" customWidth="1"/>
    <col min="85" max="86" width="4" bestFit="1" customWidth="1"/>
    <col min="87" max="87" width="12" bestFit="1" customWidth="1"/>
    <col min="88" max="88" width="4" bestFit="1" customWidth="1"/>
    <col min="89" max="90" width="12" bestFit="1" customWidth="1"/>
    <col min="91" max="91" width="4" bestFit="1" customWidth="1"/>
    <col min="92" max="92" width="12" bestFit="1" customWidth="1"/>
    <col min="93" max="94" width="4" bestFit="1" customWidth="1"/>
    <col min="95" max="95" width="12" bestFit="1" customWidth="1"/>
    <col min="96" max="96" width="4" bestFit="1" customWidth="1"/>
    <col min="97" max="97" width="12" bestFit="1" customWidth="1"/>
    <col min="98" max="98" width="4" bestFit="1" customWidth="1"/>
    <col min="99" max="99" width="12" bestFit="1" customWidth="1"/>
    <col min="100" max="103" width="4" bestFit="1" customWidth="1"/>
    <col min="104" max="105" width="12" bestFit="1" customWidth="1"/>
    <col min="106" max="110" width="4" bestFit="1" customWidth="1"/>
    <col min="111" max="111" width="12" bestFit="1" customWidth="1"/>
    <col min="112" max="115" width="4" bestFit="1" customWidth="1"/>
    <col min="116" max="116" width="12" bestFit="1" customWidth="1"/>
    <col min="117" max="118" width="4" bestFit="1" customWidth="1"/>
    <col min="119" max="120" width="12" bestFit="1" customWidth="1"/>
    <col min="121" max="125" width="4" bestFit="1" customWidth="1"/>
    <col min="126" max="128" width="12" bestFit="1" customWidth="1"/>
    <col min="129" max="130" width="4" bestFit="1" customWidth="1"/>
    <col min="131" max="131" width="12" bestFit="1" customWidth="1"/>
    <col min="132" max="133" width="4" bestFit="1" customWidth="1"/>
    <col min="134" max="135" width="12" bestFit="1" customWidth="1"/>
    <col min="136" max="136" width="4" bestFit="1" customWidth="1"/>
    <col min="137" max="137" width="5" bestFit="1" customWidth="1"/>
    <col min="138" max="138" width="4" bestFit="1" customWidth="1"/>
    <col min="139" max="142" width="12" bestFit="1" customWidth="1"/>
    <col min="143" max="146" width="4" bestFit="1" customWidth="1"/>
    <col min="147" max="147" width="12" bestFit="1" customWidth="1"/>
    <col min="148" max="148" width="4" bestFit="1" customWidth="1"/>
    <col min="149" max="149" width="12" bestFit="1" customWidth="1"/>
    <col min="150" max="151" width="4" bestFit="1" customWidth="1"/>
    <col min="152" max="152" width="12" bestFit="1" customWidth="1"/>
    <col min="153" max="153" width="4" bestFit="1" customWidth="1"/>
    <col min="154" max="154" width="12" bestFit="1" customWidth="1"/>
    <col min="155" max="155" width="4" bestFit="1" customWidth="1"/>
    <col min="156" max="156" width="6" bestFit="1" customWidth="1"/>
    <col min="157" max="157" width="12" bestFit="1" customWidth="1"/>
    <col min="158" max="159" width="4" bestFit="1" customWidth="1"/>
    <col min="160" max="160" width="6" bestFit="1" customWidth="1"/>
    <col min="161" max="161" width="12" bestFit="1" customWidth="1"/>
    <col min="162" max="162" width="4" bestFit="1" customWidth="1"/>
    <col min="163" max="163" width="12" bestFit="1" customWidth="1"/>
    <col min="164" max="166" width="4" bestFit="1" customWidth="1"/>
    <col min="167" max="167" width="12" bestFit="1" customWidth="1"/>
    <col min="168" max="168" width="4" bestFit="1" customWidth="1"/>
    <col min="169" max="169" width="5" bestFit="1" customWidth="1"/>
    <col min="170" max="172" width="4" bestFit="1" customWidth="1"/>
    <col min="173" max="174" width="12" bestFit="1" customWidth="1"/>
    <col min="175" max="175" width="4" bestFit="1" customWidth="1"/>
    <col min="176" max="176" width="12" bestFit="1" customWidth="1"/>
    <col min="177" max="177" width="5" bestFit="1" customWidth="1"/>
    <col min="178" max="179" width="12" bestFit="1" customWidth="1"/>
    <col min="180" max="181" width="4" bestFit="1" customWidth="1"/>
    <col min="182" max="187" width="12" bestFit="1" customWidth="1"/>
    <col min="188" max="189" width="4" bestFit="1" customWidth="1"/>
    <col min="190" max="190" width="12" bestFit="1" customWidth="1"/>
    <col min="191" max="191" width="4" bestFit="1" customWidth="1"/>
    <col min="192" max="192" width="12" bestFit="1" customWidth="1"/>
    <col min="193" max="196" width="4" bestFit="1" customWidth="1"/>
    <col min="197" max="199" width="12" bestFit="1" customWidth="1"/>
    <col min="200" max="200" width="4" bestFit="1" customWidth="1"/>
    <col min="201" max="201" width="5" bestFit="1" customWidth="1"/>
    <col min="202" max="202" width="12" bestFit="1" customWidth="1"/>
    <col min="203" max="206" width="4" bestFit="1" customWidth="1"/>
    <col min="207" max="208" width="5" bestFit="1" customWidth="1"/>
    <col min="209" max="210" width="4" bestFit="1" customWidth="1"/>
    <col min="211" max="213" width="12" bestFit="1" customWidth="1"/>
    <col min="214" max="214" width="5" bestFit="1" customWidth="1"/>
    <col min="215" max="215" width="12.5703125" bestFit="1" customWidth="1"/>
  </cols>
  <sheetData>
    <row r="1" spans="1:16" x14ac:dyDescent="0.25">
      <c r="A1" s="95" t="s">
        <v>2080</v>
      </c>
      <c r="B1" s="95"/>
      <c r="E1" s="95" t="s">
        <v>2081</v>
      </c>
      <c r="F1" s="95"/>
      <c r="I1" s="95" t="s">
        <v>2094</v>
      </c>
      <c r="J1" s="95"/>
      <c r="K1" s="95"/>
      <c r="L1" s="95"/>
      <c r="N1" s="93" t="s">
        <v>2096</v>
      </c>
      <c r="O1" s="93"/>
      <c r="P1" s="75"/>
    </row>
    <row r="2" spans="1:16" x14ac:dyDescent="0.25">
      <c r="A2" s="22" t="s">
        <v>2076</v>
      </c>
      <c r="B2" s="10" t="s">
        <v>2078</v>
      </c>
      <c r="E2" s="22" t="s">
        <v>2076</v>
      </c>
      <c r="F2" t="s">
        <v>2082</v>
      </c>
      <c r="I2" s="22" t="s">
        <v>2092</v>
      </c>
      <c r="J2" s="22" t="s">
        <v>2079</v>
      </c>
      <c r="N2" s="22" t="s">
        <v>2076</v>
      </c>
      <c r="O2" t="s">
        <v>2095</v>
      </c>
    </row>
    <row r="3" spans="1:16" x14ac:dyDescent="0.25">
      <c r="A3" s="23" t="s">
        <v>19</v>
      </c>
      <c r="B3" s="24">
        <v>350</v>
      </c>
      <c r="E3" s="23" t="s">
        <v>51</v>
      </c>
      <c r="F3" s="24">
        <v>234</v>
      </c>
      <c r="I3" s="22" t="s">
        <v>2076</v>
      </c>
      <c r="J3">
        <v>0</v>
      </c>
      <c r="K3">
        <v>1</v>
      </c>
      <c r="L3" t="s">
        <v>2077</v>
      </c>
      <c r="N3" s="23" t="s">
        <v>2098</v>
      </c>
      <c r="O3" s="74">
        <v>0.56164383561643838</v>
      </c>
    </row>
    <row r="4" spans="1:16" x14ac:dyDescent="0.25">
      <c r="A4" s="23" t="s">
        <v>34</v>
      </c>
      <c r="B4" s="24">
        <v>338</v>
      </c>
      <c r="E4" s="23" t="s">
        <v>21</v>
      </c>
      <c r="F4" s="24">
        <v>263</v>
      </c>
      <c r="I4" s="23" t="s">
        <v>38</v>
      </c>
      <c r="J4" s="24">
        <v>213</v>
      </c>
      <c r="K4" s="24">
        <v>115</v>
      </c>
      <c r="L4" s="24">
        <v>328</v>
      </c>
      <c r="N4" s="23" t="s">
        <v>2099</v>
      </c>
      <c r="O4" s="74">
        <v>0.5714285714285714</v>
      </c>
    </row>
    <row r="5" spans="1:16" x14ac:dyDescent="0.25">
      <c r="A5" s="23" t="s">
        <v>25</v>
      </c>
      <c r="B5" s="24">
        <v>312</v>
      </c>
      <c r="E5" s="23" t="s">
        <v>35</v>
      </c>
      <c r="F5" s="24">
        <v>236</v>
      </c>
      <c r="I5" s="23" t="s">
        <v>20</v>
      </c>
      <c r="J5" s="24">
        <v>221</v>
      </c>
      <c r="K5" s="24">
        <v>124</v>
      </c>
      <c r="L5" s="24">
        <v>345</v>
      </c>
      <c r="N5" s="23" t="s">
        <v>2100</v>
      </c>
      <c r="O5" s="74">
        <v>0.55913978494623651</v>
      </c>
    </row>
    <row r="6" spans="1:16" x14ac:dyDescent="0.25">
      <c r="A6" s="23" t="s">
        <v>2077</v>
      </c>
      <c r="B6" s="24">
        <v>1000</v>
      </c>
      <c r="E6" s="23" t="s">
        <v>27</v>
      </c>
      <c r="F6" s="24">
        <v>267</v>
      </c>
      <c r="I6" s="23" t="s">
        <v>26</v>
      </c>
      <c r="J6" s="24"/>
      <c r="K6" s="24">
        <v>327</v>
      </c>
      <c r="L6" s="24">
        <v>327</v>
      </c>
      <c r="N6" s="23" t="s">
        <v>2077</v>
      </c>
      <c r="O6" s="74">
        <v>0.56112852664576807</v>
      </c>
    </row>
    <row r="7" spans="1:16" ht="15" customHeight="1" x14ac:dyDescent="0.25">
      <c r="A7" s="94" t="s">
        <v>2104</v>
      </c>
      <c r="B7" s="94"/>
      <c r="E7" s="23" t="s">
        <v>2077</v>
      </c>
      <c r="F7" s="24">
        <v>1000</v>
      </c>
      <c r="I7" s="23" t="s">
        <v>2077</v>
      </c>
      <c r="J7" s="24">
        <v>434</v>
      </c>
      <c r="K7" s="24">
        <v>566</v>
      </c>
      <c r="L7" s="24">
        <v>1000</v>
      </c>
      <c r="N7" s="86" t="s">
        <v>2101</v>
      </c>
      <c r="O7" s="86"/>
      <c r="P7" s="27"/>
    </row>
    <row r="8" spans="1:16" x14ac:dyDescent="0.25">
      <c r="A8" s="94"/>
      <c r="B8" s="94"/>
      <c r="I8" s="86" t="s">
        <v>2102</v>
      </c>
      <c r="J8" s="86"/>
      <c r="K8" s="86"/>
      <c r="L8" s="86"/>
      <c r="N8" s="86"/>
      <c r="O8" s="86"/>
      <c r="P8" s="27"/>
    </row>
    <row r="9" spans="1:16" x14ac:dyDescent="0.25">
      <c r="I9" s="86"/>
      <c r="J9" s="86"/>
      <c r="K9" s="86"/>
      <c r="L9" s="86"/>
      <c r="N9" s="86"/>
      <c r="O9" s="86"/>
      <c r="P9" s="27"/>
    </row>
    <row r="10" spans="1:16" x14ac:dyDescent="0.25">
      <c r="A10" s="67" t="s">
        <v>2076</v>
      </c>
      <c r="B10" s="72" t="s">
        <v>2093</v>
      </c>
      <c r="C10" s="58"/>
      <c r="D10" s="58"/>
      <c r="E10" s="58"/>
      <c r="F10" s="59"/>
      <c r="I10" s="86"/>
      <c r="J10" s="86"/>
      <c r="K10" s="86"/>
      <c r="L10" s="86"/>
      <c r="N10" s="86"/>
      <c r="O10" s="86"/>
      <c r="P10" s="27"/>
    </row>
    <row r="11" spans="1:16" x14ac:dyDescent="0.25">
      <c r="A11" s="68" t="s">
        <v>51</v>
      </c>
      <c r="B11" s="64">
        <v>133</v>
      </c>
      <c r="C11" s="60"/>
      <c r="D11" s="60"/>
      <c r="E11" s="60"/>
      <c r="F11" s="61"/>
      <c r="I11" s="86"/>
      <c r="J11" s="86"/>
      <c r="K11" s="86"/>
      <c r="L11" s="86"/>
      <c r="N11" s="86"/>
      <c r="O11" s="86"/>
      <c r="P11" s="27"/>
    </row>
    <row r="12" spans="1:16" x14ac:dyDescent="0.25">
      <c r="A12" s="69" t="s">
        <v>21</v>
      </c>
      <c r="B12" s="65">
        <v>147</v>
      </c>
      <c r="C12" s="60"/>
      <c r="D12" s="60"/>
      <c r="E12" s="60"/>
      <c r="F12" s="61"/>
      <c r="I12" s="86"/>
      <c r="J12" s="86"/>
      <c r="K12" s="86"/>
      <c r="L12" s="86"/>
      <c r="N12" s="86"/>
      <c r="O12" s="86"/>
      <c r="P12" s="27"/>
    </row>
    <row r="13" spans="1:16" x14ac:dyDescent="0.25">
      <c r="A13" s="69" t="s">
        <v>35</v>
      </c>
      <c r="B13" s="65">
        <v>135</v>
      </c>
      <c r="C13" s="60"/>
      <c r="D13" s="60"/>
      <c r="E13" s="60"/>
      <c r="F13" s="61"/>
      <c r="I13" s="86"/>
      <c r="J13" s="86"/>
      <c r="K13" s="86"/>
      <c r="L13" s="86"/>
      <c r="N13" s="86"/>
      <c r="O13" s="86"/>
    </row>
    <row r="14" spans="1:16" x14ac:dyDescent="0.25">
      <c r="A14" s="70" t="s">
        <v>27</v>
      </c>
      <c r="B14" s="65">
        <v>151</v>
      </c>
      <c r="C14" s="60"/>
      <c r="D14" s="60"/>
      <c r="E14" s="60"/>
      <c r="F14" s="61"/>
    </row>
    <row r="15" spans="1:16" x14ac:dyDescent="0.25">
      <c r="A15" s="71" t="s">
        <v>2077</v>
      </c>
      <c r="B15" s="66">
        <v>566</v>
      </c>
      <c r="C15" s="60"/>
      <c r="D15" s="60"/>
      <c r="E15" s="60"/>
      <c r="F15" s="61"/>
    </row>
    <row r="16" spans="1:16" x14ac:dyDescent="0.25">
      <c r="A16" s="87" t="s">
        <v>2103</v>
      </c>
      <c r="B16" s="88"/>
      <c r="C16" s="60"/>
      <c r="D16" s="60"/>
      <c r="E16" s="60"/>
      <c r="F16" s="61"/>
    </row>
    <row r="17" spans="1:12" x14ac:dyDescent="0.25">
      <c r="A17" s="89"/>
      <c r="B17" s="90"/>
      <c r="C17" s="60"/>
      <c r="D17" s="60"/>
      <c r="E17" s="60"/>
      <c r="F17" s="61"/>
    </row>
    <row r="18" spans="1:12" x14ac:dyDescent="0.25">
      <c r="A18" s="89"/>
      <c r="B18" s="90"/>
      <c r="C18" s="60"/>
      <c r="D18" s="60"/>
      <c r="E18" s="60"/>
      <c r="F18" s="61"/>
    </row>
    <row r="19" spans="1:12" x14ac:dyDescent="0.25">
      <c r="A19" s="89"/>
      <c r="B19" s="90"/>
      <c r="C19" s="60"/>
      <c r="D19" s="60"/>
      <c r="E19" s="60"/>
      <c r="F19" s="61"/>
      <c r="I19" s="22" t="s">
        <v>2093</v>
      </c>
      <c r="J19" s="22" t="s">
        <v>2079</v>
      </c>
    </row>
    <row r="20" spans="1:12" x14ac:dyDescent="0.25">
      <c r="A20" s="89"/>
      <c r="B20" s="90"/>
      <c r="C20" s="60"/>
      <c r="D20" s="60"/>
      <c r="E20" s="60"/>
      <c r="F20" s="61"/>
      <c r="I20" s="22" t="s">
        <v>2076</v>
      </c>
      <c r="J20">
        <v>0</v>
      </c>
      <c r="K20">
        <v>1</v>
      </c>
      <c r="L20" t="s">
        <v>2077</v>
      </c>
    </row>
    <row r="21" spans="1:12" x14ac:dyDescent="0.25">
      <c r="A21" s="89"/>
      <c r="B21" s="90"/>
      <c r="C21" s="60"/>
      <c r="D21" s="60"/>
      <c r="E21" s="60"/>
      <c r="F21" s="61"/>
      <c r="I21" s="23" t="s">
        <v>95</v>
      </c>
      <c r="J21" s="24">
        <v>0</v>
      </c>
      <c r="K21" s="24">
        <v>46</v>
      </c>
      <c r="L21" s="24">
        <v>46</v>
      </c>
    </row>
    <row r="22" spans="1:12" x14ac:dyDescent="0.25">
      <c r="A22" s="91"/>
      <c r="B22" s="92"/>
      <c r="C22" s="62"/>
      <c r="D22" s="62"/>
      <c r="E22" s="62"/>
      <c r="F22" s="63"/>
      <c r="I22" s="23" t="s">
        <v>28</v>
      </c>
      <c r="J22" s="24">
        <v>0</v>
      </c>
      <c r="K22" s="24">
        <v>68</v>
      </c>
      <c r="L22" s="24">
        <v>68</v>
      </c>
    </row>
    <row r="23" spans="1:12" ht="15" customHeight="1" x14ac:dyDescent="0.25">
      <c r="A23" s="76"/>
      <c r="B23" s="76"/>
      <c r="C23" s="76"/>
      <c r="D23" s="76"/>
      <c r="E23" s="76"/>
      <c r="F23" s="76"/>
      <c r="I23" s="23" t="s">
        <v>48</v>
      </c>
      <c r="J23" s="24">
        <v>0</v>
      </c>
      <c r="K23" s="24">
        <v>56</v>
      </c>
      <c r="L23" s="24">
        <v>56</v>
      </c>
    </row>
    <row r="24" spans="1:12" x14ac:dyDescent="0.25">
      <c r="A24" s="77"/>
      <c r="B24" s="77"/>
      <c r="C24" s="77"/>
      <c r="D24" s="77"/>
      <c r="E24" s="77"/>
      <c r="F24" s="77"/>
      <c r="I24" s="23" t="s">
        <v>61</v>
      </c>
      <c r="J24" s="24">
        <v>0</v>
      </c>
      <c r="K24" s="24">
        <v>58</v>
      </c>
      <c r="L24" s="24">
        <v>58</v>
      </c>
    </row>
    <row r="25" spans="1:12" x14ac:dyDescent="0.25">
      <c r="A25" s="77"/>
      <c r="B25" s="77"/>
      <c r="C25" s="77"/>
      <c r="D25" s="77"/>
      <c r="E25" s="77"/>
      <c r="F25" s="77"/>
      <c r="I25" s="23" t="s">
        <v>41</v>
      </c>
      <c r="J25" s="24">
        <v>0</v>
      </c>
      <c r="K25" s="24">
        <v>63</v>
      </c>
      <c r="L25" s="24">
        <v>63</v>
      </c>
    </row>
    <row r="26" spans="1:12" x14ac:dyDescent="0.25">
      <c r="A26" s="77"/>
      <c r="B26" s="77"/>
      <c r="C26" s="77"/>
      <c r="D26" s="77"/>
      <c r="E26" s="77"/>
      <c r="F26" s="77"/>
      <c r="I26" s="23" t="s">
        <v>64</v>
      </c>
      <c r="J26" s="24">
        <v>0</v>
      </c>
      <c r="K26" s="24">
        <v>46</v>
      </c>
      <c r="L26" s="24">
        <v>46</v>
      </c>
    </row>
    <row r="27" spans="1:12" x14ac:dyDescent="0.25">
      <c r="I27" s="23" t="s">
        <v>22</v>
      </c>
      <c r="J27" s="24">
        <v>0</v>
      </c>
      <c r="K27" s="24">
        <v>54</v>
      </c>
      <c r="L27" s="24">
        <v>54</v>
      </c>
    </row>
    <row r="28" spans="1:12" x14ac:dyDescent="0.25">
      <c r="I28" s="23" t="s">
        <v>16</v>
      </c>
      <c r="J28" s="24">
        <v>0</v>
      </c>
      <c r="K28" s="24">
        <v>60</v>
      </c>
      <c r="L28" s="24">
        <v>60</v>
      </c>
    </row>
    <row r="29" spans="1:12" x14ac:dyDescent="0.25">
      <c r="I29" s="23" t="s">
        <v>56</v>
      </c>
      <c r="J29" s="24">
        <v>0</v>
      </c>
      <c r="K29" s="24">
        <v>62</v>
      </c>
      <c r="L29" s="24">
        <v>62</v>
      </c>
    </row>
    <row r="30" spans="1:12" x14ac:dyDescent="0.25">
      <c r="I30" s="23" t="s">
        <v>31</v>
      </c>
      <c r="J30" s="24">
        <v>0</v>
      </c>
      <c r="K30" s="24">
        <v>53</v>
      </c>
      <c r="L30" s="24">
        <v>53</v>
      </c>
    </row>
    <row r="31" spans="1:12" x14ac:dyDescent="0.25">
      <c r="I31" s="23" t="s">
        <v>2077</v>
      </c>
      <c r="J31" s="24">
        <v>0</v>
      </c>
      <c r="K31" s="24">
        <v>566</v>
      </c>
      <c r="L31" s="24">
        <v>566</v>
      </c>
    </row>
    <row r="32" spans="1:12" ht="15" customHeight="1" x14ac:dyDescent="0.25">
      <c r="I32" s="86" t="s">
        <v>2102</v>
      </c>
      <c r="J32" s="86"/>
      <c r="K32" s="86"/>
      <c r="L32" s="86"/>
    </row>
    <row r="33" spans="9:12" x14ac:dyDescent="0.25">
      <c r="I33" s="86"/>
      <c r="J33" s="86"/>
      <c r="K33" s="86"/>
      <c r="L33" s="86"/>
    </row>
    <row r="34" spans="9:12" x14ac:dyDescent="0.25">
      <c r="I34" s="86"/>
      <c r="J34" s="86"/>
      <c r="K34" s="86"/>
      <c r="L34" s="86"/>
    </row>
    <row r="35" spans="9:12" x14ac:dyDescent="0.25">
      <c r="I35" s="86"/>
      <c r="J35" s="86"/>
      <c r="K35" s="86"/>
      <c r="L35" s="86"/>
    </row>
  </sheetData>
  <mergeCells count="9">
    <mergeCell ref="I32:L35"/>
    <mergeCell ref="I8:L13"/>
    <mergeCell ref="A16:B22"/>
    <mergeCell ref="N1:O1"/>
    <mergeCell ref="N7:O13"/>
    <mergeCell ref="A7:B8"/>
    <mergeCell ref="A1:B1"/>
    <mergeCell ref="E1:F1"/>
    <mergeCell ref="I1:L1"/>
  </mergeCells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0665-FAA1-4CD5-9560-D41EB8760B5E}">
  <dimension ref="A1:K1001"/>
  <sheetViews>
    <sheetView workbookViewId="0">
      <selection activeCell="K17" sqref="K17"/>
    </sheetView>
  </sheetViews>
  <sheetFormatPr baseColWidth="10" defaultRowHeight="15" x14ac:dyDescent="0.25"/>
  <cols>
    <col min="1" max="1" width="19" customWidth="1"/>
    <col min="2" max="2" width="12" customWidth="1"/>
    <col min="3" max="3" width="11.85546875" bestFit="1" customWidth="1"/>
    <col min="4" max="4" width="11.28515625" bestFit="1" customWidth="1"/>
    <col min="5" max="5" width="12.140625" bestFit="1" customWidth="1"/>
    <col min="6" max="7" width="18.28515625" customWidth="1"/>
    <col min="8" max="8" width="11.42578125" style="47"/>
    <col min="9" max="9" width="18.5703125" style="47" bestFit="1" customWidth="1"/>
    <col min="10" max="10" width="8.42578125" style="47" bestFit="1" customWidth="1"/>
  </cols>
  <sheetData>
    <row r="1" spans="1:11" ht="15.75" thickBot="1" x14ac:dyDescent="0.3">
      <c r="A1" s="49" t="s">
        <v>2084</v>
      </c>
      <c r="B1" s="49" t="s">
        <v>2083</v>
      </c>
      <c r="C1" s="50" t="s">
        <v>2085</v>
      </c>
      <c r="D1" s="51" t="s">
        <v>2086</v>
      </c>
      <c r="E1" s="52" t="s">
        <v>2087</v>
      </c>
      <c r="F1" s="57" t="s">
        <v>1</v>
      </c>
      <c r="G1" s="56" t="s">
        <v>13</v>
      </c>
      <c r="H1" s="48" t="s">
        <v>2088</v>
      </c>
      <c r="I1" s="53" t="s">
        <v>2089</v>
      </c>
      <c r="J1" s="54" t="s">
        <v>2090</v>
      </c>
      <c r="K1" s="55" t="s">
        <v>2091</v>
      </c>
    </row>
    <row r="2" spans="1:11" ht="15.75" thickTop="1" x14ac:dyDescent="0.25">
      <c r="A2" s="37">
        <v>38</v>
      </c>
      <c r="B2" s="33" t="str">
        <f>+IF(A2&lt;= 20,"Low",IF(A2 &gt; 40,"High","mid"))</f>
        <v>mid</v>
      </c>
      <c r="C2" s="34">
        <f>+COUNTIFS(B2:B1001,"Low")</f>
        <v>207</v>
      </c>
      <c r="D2" s="36">
        <f>+COUNTIF(B2:B1001,"Mid")</f>
        <v>405</v>
      </c>
      <c r="E2" s="35">
        <f>+COUNTIF(B2:B1001,"High")</f>
        <v>388</v>
      </c>
      <c r="F2" s="28" t="s">
        <v>16</v>
      </c>
      <c r="G2" s="40">
        <v>60.1</v>
      </c>
      <c r="H2" s="41" t="str">
        <f>+IF(Waiting_status!$G2&lt;= 40,"Bajo",IF(Waiting_status!$G2 &gt;70,"High","Mid"))</f>
        <v>Mid</v>
      </c>
      <c r="I2" s="45">
        <f>+COUNTIF(Waiting_status!$H$2:$H$1001,"Low")</f>
        <v>0</v>
      </c>
      <c r="J2" s="45">
        <f>+COUNTIF(Waiting_status!$H$2:$H$1001,"Mid")</f>
        <v>269</v>
      </c>
      <c r="K2" s="46">
        <f>+COUNTIF(Waiting_status!$H$2:$H$1001,"High")</f>
        <v>731</v>
      </c>
    </row>
    <row r="3" spans="1:11" x14ac:dyDescent="0.25">
      <c r="A3" s="31">
        <v>16</v>
      </c>
      <c r="B3" s="32" t="str">
        <f t="shared" ref="B3:B66" si="0">+IF(A3&lt;= 20,"Low",IF(A3 &gt; 40,"High","mid"))</f>
        <v>Low</v>
      </c>
      <c r="F3" s="29" t="s">
        <v>22</v>
      </c>
      <c r="G3" s="42">
        <v>80.900000000000006</v>
      </c>
      <c r="H3" s="41" t="str">
        <f>+IF(Waiting_status!$G3&lt;= 40,"Bajo",IF(Waiting_status!$G3 &gt;70,"High","Mid"))</f>
        <v>High</v>
      </c>
    </row>
    <row r="4" spans="1:11" x14ac:dyDescent="0.25">
      <c r="A4" s="38">
        <v>34</v>
      </c>
      <c r="B4" s="32" t="str">
        <f t="shared" si="0"/>
        <v>mid</v>
      </c>
      <c r="F4" s="28" t="s">
        <v>28</v>
      </c>
      <c r="G4" s="40">
        <v>99.2</v>
      </c>
      <c r="H4" s="41" t="str">
        <f>+IF(Waiting_status!$G4&lt;= 40,"Bajo",IF(Waiting_status!$G4 &gt;70,"High","Mid"))</f>
        <v>High</v>
      </c>
    </row>
    <row r="5" spans="1:11" x14ac:dyDescent="0.25">
      <c r="A5" s="31">
        <v>37</v>
      </c>
      <c r="B5" s="32" t="str">
        <f t="shared" si="0"/>
        <v>mid</v>
      </c>
      <c r="F5" s="29" t="s">
        <v>31</v>
      </c>
      <c r="G5" s="42">
        <v>97.4</v>
      </c>
      <c r="H5" s="41" t="str">
        <f>+IF(Waiting_status!$G5&lt;= 40,"Bajo",IF(Waiting_status!$G5 &gt;70,"High","Mid"))</f>
        <v>High</v>
      </c>
    </row>
    <row r="6" spans="1:11" x14ac:dyDescent="0.25">
      <c r="A6" s="38">
        <v>56</v>
      </c>
      <c r="B6" s="32" t="str">
        <f t="shared" si="0"/>
        <v>High</v>
      </c>
      <c r="F6" s="28" t="s">
        <v>16</v>
      </c>
      <c r="G6" s="40">
        <v>71.599999999999994</v>
      </c>
      <c r="H6" s="41" t="str">
        <f>+IF(Waiting_status!$G6&lt;= 40,"Bajo",IF(Waiting_status!$G6 &gt;70,"High","Mid"))</f>
        <v>High</v>
      </c>
    </row>
    <row r="7" spans="1:11" x14ac:dyDescent="0.25">
      <c r="A7" s="31">
        <v>56</v>
      </c>
      <c r="B7" s="32" t="str">
        <f t="shared" si="0"/>
        <v>High</v>
      </c>
      <c r="F7" s="29" t="s">
        <v>16</v>
      </c>
      <c r="G7" s="42">
        <v>66.8</v>
      </c>
      <c r="H7" s="41" t="str">
        <f>+IF(Waiting_status!$G7&lt;= 40,"Bajo",IF(Waiting_status!$G7 &gt;70,"High","Mid"))</f>
        <v>Mid</v>
      </c>
    </row>
    <row r="8" spans="1:11" x14ac:dyDescent="0.25">
      <c r="A8" s="38">
        <v>32</v>
      </c>
      <c r="B8" s="32" t="str">
        <f t="shared" si="0"/>
        <v>mid</v>
      </c>
      <c r="F8" s="28" t="s">
        <v>41</v>
      </c>
      <c r="G8" s="40">
        <v>73.3</v>
      </c>
      <c r="H8" s="41" t="str">
        <f>+IF(Waiting_status!$G8&lt;= 40,"Bajo",IF(Waiting_status!$G8 &gt;70,"High","Mid"))</f>
        <v>High</v>
      </c>
    </row>
    <row r="9" spans="1:11" x14ac:dyDescent="0.25">
      <c r="A9" s="31">
        <v>30</v>
      </c>
      <c r="B9" s="32" t="str">
        <f t="shared" si="0"/>
        <v>mid</v>
      </c>
      <c r="F9" s="29" t="s">
        <v>31</v>
      </c>
      <c r="G9" s="42">
        <v>73.8</v>
      </c>
      <c r="H9" s="41" t="str">
        <f>+IF(Waiting_status!$G9&lt;= 40,"Bajo",IF(Waiting_status!$G9 &gt;70,"High","Mid"))</f>
        <v>High</v>
      </c>
    </row>
    <row r="10" spans="1:11" x14ac:dyDescent="0.25">
      <c r="A10" s="38">
        <v>14</v>
      </c>
      <c r="B10" s="32" t="str">
        <f t="shared" si="0"/>
        <v>Low</v>
      </c>
      <c r="F10" s="28" t="s">
        <v>31</v>
      </c>
      <c r="G10" s="40">
        <v>69.599999999999994</v>
      </c>
      <c r="H10" s="41" t="str">
        <f>+IF(Waiting_status!$G10&lt;= 40,"Bajo",IF(Waiting_status!$G10 &gt;70,"High","Mid"))</f>
        <v>Mid</v>
      </c>
    </row>
    <row r="11" spans="1:11" x14ac:dyDescent="0.25">
      <c r="A11" s="31">
        <v>52</v>
      </c>
      <c r="B11" s="32" t="str">
        <f t="shared" si="0"/>
        <v>High</v>
      </c>
      <c r="F11" s="29" t="s">
        <v>48</v>
      </c>
      <c r="G11" s="42">
        <v>63.1</v>
      </c>
      <c r="H11" s="41" t="str">
        <f>+IF(Waiting_status!$G11&lt;= 40,"Bajo",IF(Waiting_status!$G11 &gt;70,"High","Mid"))</f>
        <v>Mid</v>
      </c>
    </row>
    <row r="12" spans="1:11" x14ac:dyDescent="0.25">
      <c r="A12" s="38">
        <v>28</v>
      </c>
      <c r="B12" s="32" t="str">
        <f t="shared" si="0"/>
        <v>mid</v>
      </c>
      <c r="F12" s="28" t="s">
        <v>31</v>
      </c>
      <c r="G12" s="40">
        <v>69.8</v>
      </c>
      <c r="H12" s="41" t="str">
        <f>+IF(Waiting_status!$G12&lt;= 40,"Bajo",IF(Waiting_status!$G12 &gt;70,"High","Mid"))</f>
        <v>Mid</v>
      </c>
    </row>
    <row r="13" spans="1:11" x14ac:dyDescent="0.25">
      <c r="A13" s="31">
        <v>13</v>
      </c>
      <c r="B13" s="32" t="str">
        <f t="shared" si="0"/>
        <v>Low</v>
      </c>
      <c r="F13" s="29" t="s">
        <v>28</v>
      </c>
      <c r="G13" s="42">
        <v>85.5</v>
      </c>
      <c r="H13" s="41" t="str">
        <f>+IF(Waiting_status!$G13&lt;= 40,"Bajo",IF(Waiting_status!$G13 &gt;70,"High","Mid"))</f>
        <v>High</v>
      </c>
    </row>
    <row r="14" spans="1:11" x14ac:dyDescent="0.25">
      <c r="A14" s="38">
        <v>38</v>
      </c>
      <c r="B14" s="32" t="str">
        <f t="shared" si="0"/>
        <v>mid</v>
      </c>
      <c r="F14" s="28" t="s">
        <v>56</v>
      </c>
      <c r="G14" s="40">
        <v>84.4</v>
      </c>
      <c r="H14" s="41" t="str">
        <f>+IF(Waiting_status!$G14&lt;= 40,"Bajo",IF(Waiting_status!$G14 &gt;70,"High","Mid"))</f>
        <v>High</v>
      </c>
    </row>
    <row r="15" spans="1:11" x14ac:dyDescent="0.25">
      <c r="A15" s="31">
        <v>30</v>
      </c>
      <c r="B15" s="32" t="str">
        <f t="shared" si="0"/>
        <v>mid</v>
      </c>
      <c r="F15" s="29" t="s">
        <v>48</v>
      </c>
      <c r="G15" s="42">
        <v>96.4</v>
      </c>
      <c r="H15" s="41" t="str">
        <f>+IF(Waiting_status!$G15&lt;= 40,"Bajo",IF(Waiting_status!$G15 &gt;70,"High","Mid"))</f>
        <v>High</v>
      </c>
    </row>
    <row r="16" spans="1:11" x14ac:dyDescent="0.25">
      <c r="A16" s="38">
        <v>54</v>
      </c>
      <c r="B16" s="32" t="str">
        <f t="shared" si="0"/>
        <v>High</v>
      </c>
      <c r="F16" s="28" t="s">
        <v>61</v>
      </c>
      <c r="G16" s="40">
        <v>93.2</v>
      </c>
      <c r="H16" s="41" t="str">
        <f>+IF(Waiting_status!$G16&lt;= 40,"Bajo",IF(Waiting_status!$G16 &gt;70,"High","Mid"))</f>
        <v>High</v>
      </c>
    </row>
    <row r="17" spans="1:8" x14ac:dyDescent="0.25">
      <c r="A17" s="31">
        <v>45</v>
      </c>
      <c r="B17" s="32" t="str">
        <f t="shared" si="0"/>
        <v>High</v>
      </c>
      <c r="F17" s="29" t="s">
        <v>64</v>
      </c>
      <c r="G17" s="42">
        <v>84.1</v>
      </c>
      <c r="H17" s="41" t="str">
        <f>+IF(Waiting_status!$G17&lt;= 40,"Bajo",IF(Waiting_status!$G17 &gt;70,"High","Mid"))</f>
        <v>High</v>
      </c>
    </row>
    <row r="18" spans="1:8" x14ac:dyDescent="0.25">
      <c r="A18" s="38">
        <v>58</v>
      </c>
      <c r="B18" s="32" t="str">
        <f t="shared" si="0"/>
        <v>High</v>
      </c>
      <c r="F18" s="28" t="s">
        <v>41</v>
      </c>
      <c r="G18" s="40">
        <v>61.5</v>
      </c>
      <c r="H18" s="41" t="str">
        <f>+IF(Waiting_status!$G18&lt;= 40,"Bajo",IF(Waiting_status!$G18 &gt;70,"High","Mid"))</f>
        <v>Mid</v>
      </c>
    </row>
    <row r="19" spans="1:8" x14ac:dyDescent="0.25">
      <c r="A19" s="31">
        <v>23</v>
      </c>
      <c r="B19" s="32" t="str">
        <f t="shared" si="0"/>
        <v>mid</v>
      </c>
      <c r="F19" s="29" t="s">
        <v>16</v>
      </c>
      <c r="G19" s="42">
        <v>93.4</v>
      </c>
      <c r="H19" s="41" t="str">
        <f>+IF(Waiting_status!$G19&lt;= 40,"Bajo",IF(Waiting_status!$G19 &gt;70,"High","Mid"))</f>
        <v>High</v>
      </c>
    </row>
    <row r="20" spans="1:8" x14ac:dyDescent="0.25">
      <c r="A20" s="38">
        <v>29</v>
      </c>
      <c r="B20" s="32" t="str">
        <f t="shared" si="0"/>
        <v>mid</v>
      </c>
      <c r="F20" s="28" t="s">
        <v>64</v>
      </c>
      <c r="G20" s="40">
        <v>72.599999999999994</v>
      </c>
      <c r="H20" s="41" t="str">
        <f>+IF(Waiting_status!$G20&lt;= 40,"Bajo",IF(Waiting_status!$G20 &gt;70,"High","Mid"))</f>
        <v>High</v>
      </c>
    </row>
    <row r="21" spans="1:8" x14ac:dyDescent="0.25">
      <c r="A21" s="31">
        <v>21</v>
      </c>
      <c r="B21" s="32" t="str">
        <f t="shared" si="0"/>
        <v>mid</v>
      </c>
      <c r="F21" s="29" t="s">
        <v>28</v>
      </c>
      <c r="G21" s="42">
        <v>83.4</v>
      </c>
      <c r="H21" s="41" t="str">
        <f>+IF(Waiting_status!$G21&lt;= 40,"Bajo",IF(Waiting_status!$G21 &gt;70,"High","Mid"))</f>
        <v>High</v>
      </c>
    </row>
    <row r="22" spans="1:8" x14ac:dyDescent="0.25">
      <c r="A22" s="38">
        <v>31</v>
      </c>
      <c r="B22" s="32" t="str">
        <f t="shared" si="0"/>
        <v>mid</v>
      </c>
      <c r="F22" s="28" t="s">
        <v>64</v>
      </c>
      <c r="G22" s="40">
        <v>65.900000000000006</v>
      </c>
      <c r="H22" s="41" t="str">
        <f>+IF(Waiting_status!$G22&lt;= 40,"Bajo",IF(Waiting_status!$G22 &gt;70,"High","Mid"))</f>
        <v>Mid</v>
      </c>
    </row>
    <row r="23" spans="1:8" x14ac:dyDescent="0.25">
      <c r="A23" s="31">
        <v>20</v>
      </c>
      <c r="B23" s="32" t="str">
        <f t="shared" si="0"/>
        <v>Low</v>
      </c>
      <c r="F23" s="29" t="s">
        <v>56</v>
      </c>
      <c r="G23" s="42">
        <v>99.3</v>
      </c>
      <c r="H23" s="41" t="str">
        <f>+IF(Waiting_status!$G23&lt;= 40,"Bajo",IF(Waiting_status!$G23 &gt;70,"High","Mid"))</f>
        <v>High</v>
      </c>
    </row>
    <row r="24" spans="1:8" x14ac:dyDescent="0.25">
      <c r="A24" s="38">
        <v>57</v>
      </c>
      <c r="B24" s="32" t="str">
        <f t="shared" si="0"/>
        <v>High</v>
      </c>
      <c r="F24" s="28" t="s">
        <v>22</v>
      </c>
      <c r="G24" s="40">
        <v>78.599999999999994</v>
      </c>
      <c r="H24" s="41" t="str">
        <f>+IF(Waiting_status!$G24&lt;= 40,"Bajo",IF(Waiting_status!$G24 &gt;70,"High","Mid"))</f>
        <v>High</v>
      </c>
    </row>
    <row r="25" spans="1:8" x14ac:dyDescent="0.25">
      <c r="A25" s="31">
        <v>35</v>
      </c>
      <c r="B25" s="32" t="str">
        <f t="shared" si="0"/>
        <v>mid</v>
      </c>
      <c r="F25" s="29" t="s">
        <v>28</v>
      </c>
      <c r="G25" s="42">
        <v>63.1</v>
      </c>
      <c r="H25" s="41" t="str">
        <f>+IF(Waiting_status!$G25&lt;= 40,"Bajo",IF(Waiting_status!$G25 &gt;70,"High","Mid"))</f>
        <v>Mid</v>
      </c>
    </row>
    <row r="26" spans="1:8" x14ac:dyDescent="0.25">
      <c r="A26" s="38">
        <v>41</v>
      </c>
      <c r="B26" s="32" t="str">
        <f t="shared" si="0"/>
        <v>High</v>
      </c>
      <c r="F26" s="28" t="s">
        <v>48</v>
      </c>
      <c r="G26" s="40">
        <v>60.9</v>
      </c>
      <c r="H26" s="41" t="str">
        <f>+IF(Waiting_status!$G26&lt;= 40,"Bajo",IF(Waiting_status!$G26 &gt;70,"High","Mid"))</f>
        <v>Mid</v>
      </c>
    </row>
    <row r="27" spans="1:8" x14ac:dyDescent="0.25">
      <c r="A27" s="31">
        <v>22</v>
      </c>
      <c r="B27" s="32" t="str">
        <f t="shared" si="0"/>
        <v>mid</v>
      </c>
      <c r="F27" s="29" t="s">
        <v>61</v>
      </c>
      <c r="G27" s="42">
        <v>80.900000000000006</v>
      </c>
      <c r="H27" s="41" t="str">
        <f>+IF(Waiting_status!$G27&lt;= 40,"Bajo",IF(Waiting_status!$G27 &gt;70,"High","Mid"))</f>
        <v>High</v>
      </c>
    </row>
    <row r="28" spans="1:8" x14ac:dyDescent="0.25">
      <c r="A28" s="38">
        <v>22</v>
      </c>
      <c r="B28" s="32" t="str">
        <f t="shared" si="0"/>
        <v>mid</v>
      </c>
      <c r="F28" s="28" t="s">
        <v>61</v>
      </c>
      <c r="G28" s="40">
        <v>90.8</v>
      </c>
      <c r="H28" s="41" t="str">
        <f>+IF(Waiting_status!$G28&lt;= 40,"Bajo",IF(Waiting_status!$G28 &gt;70,"High","Mid"))</f>
        <v>High</v>
      </c>
    </row>
    <row r="29" spans="1:8" x14ac:dyDescent="0.25">
      <c r="A29" s="31">
        <v>14</v>
      </c>
      <c r="B29" s="32" t="str">
        <f t="shared" si="0"/>
        <v>Low</v>
      </c>
      <c r="F29" s="29" t="s">
        <v>31</v>
      </c>
      <c r="G29" s="42">
        <v>64</v>
      </c>
      <c r="H29" s="41" t="str">
        <f>+IF(Waiting_status!$G29&lt;= 40,"Bajo",IF(Waiting_status!$G29 &gt;70,"High","Mid"))</f>
        <v>Mid</v>
      </c>
    </row>
    <row r="30" spans="1:8" x14ac:dyDescent="0.25">
      <c r="A30" s="38">
        <v>26</v>
      </c>
      <c r="B30" s="32" t="str">
        <f t="shared" si="0"/>
        <v>mid</v>
      </c>
      <c r="F30" s="28" t="s">
        <v>41</v>
      </c>
      <c r="G30" s="40">
        <v>76.400000000000006</v>
      </c>
      <c r="H30" s="41" t="str">
        <f>+IF(Waiting_status!$G30&lt;= 40,"Bajo",IF(Waiting_status!$G30 &gt;70,"High","Mid"))</f>
        <v>High</v>
      </c>
    </row>
    <row r="31" spans="1:8" x14ac:dyDescent="0.25">
      <c r="A31" s="31">
        <v>17</v>
      </c>
      <c r="B31" s="32" t="str">
        <f t="shared" si="0"/>
        <v>Low</v>
      </c>
      <c r="F31" s="29" t="s">
        <v>56</v>
      </c>
      <c r="G31" s="42">
        <v>88.3</v>
      </c>
      <c r="H31" s="41" t="str">
        <f>+IF(Waiting_status!$G31&lt;= 40,"Bajo",IF(Waiting_status!$G31 &gt;70,"High","Mid"))</f>
        <v>High</v>
      </c>
    </row>
    <row r="32" spans="1:8" x14ac:dyDescent="0.25">
      <c r="A32" s="38">
        <v>41</v>
      </c>
      <c r="B32" s="32" t="str">
        <f t="shared" si="0"/>
        <v>High</v>
      </c>
      <c r="F32" s="28" t="s">
        <v>95</v>
      </c>
      <c r="G32" s="40">
        <v>71.8</v>
      </c>
      <c r="H32" s="41" t="str">
        <f>+IF(Waiting_status!$G32&lt;= 40,"Bajo",IF(Waiting_status!$G32 &gt;70,"High","Mid"))</f>
        <v>High</v>
      </c>
    </row>
    <row r="33" spans="1:8" x14ac:dyDescent="0.25">
      <c r="A33" s="31">
        <v>39</v>
      </c>
      <c r="B33" s="32" t="str">
        <f t="shared" si="0"/>
        <v>mid</v>
      </c>
      <c r="F33" s="29" t="s">
        <v>56</v>
      </c>
      <c r="G33" s="42">
        <v>88.3</v>
      </c>
      <c r="H33" s="41" t="str">
        <f>+IF(Waiting_status!$G33&lt;= 40,"Bajo",IF(Waiting_status!$G33 &gt;70,"High","Mid"))</f>
        <v>High</v>
      </c>
    </row>
    <row r="34" spans="1:8" x14ac:dyDescent="0.25">
      <c r="A34" s="38">
        <v>48</v>
      </c>
      <c r="B34" s="32" t="str">
        <f t="shared" si="0"/>
        <v>High</v>
      </c>
      <c r="F34" s="28" t="s">
        <v>16</v>
      </c>
      <c r="G34" s="40">
        <v>66.7</v>
      </c>
      <c r="H34" s="41" t="str">
        <f>+IF(Waiting_status!$G34&lt;= 40,"Bajo",IF(Waiting_status!$G34 &gt;70,"High","Mid"))</f>
        <v>Mid</v>
      </c>
    </row>
    <row r="35" spans="1:8" x14ac:dyDescent="0.25">
      <c r="A35" s="31">
        <v>45</v>
      </c>
      <c r="B35" s="32" t="str">
        <f t="shared" si="0"/>
        <v>High</v>
      </c>
      <c r="F35" s="29" t="s">
        <v>28</v>
      </c>
      <c r="G35" s="42">
        <v>78.400000000000006</v>
      </c>
      <c r="H35" s="41" t="str">
        <f>+IF(Waiting_status!$G35&lt;= 40,"Bajo",IF(Waiting_status!$G35 &gt;70,"High","Mid"))</f>
        <v>High</v>
      </c>
    </row>
    <row r="36" spans="1:8" x14ac:dyDescent="0.25">
      <c r="A36" s="38">
        <v>28</v>
      </c>
      <c r="B36" s="32" t="str">
        <f t="shared" si="0"/>
        <v>mid</v>
      </c>
      <c r="F36" s="28" t="s">
        <v>48</v>
      </c>
      <c r="G36" s="40">
        <v>74.3</v>
      </c>
      <c r="H36" s="41" t="str">
        <f>+IF(Waiting_status!$G36&lt;= 40,"Bajo",IF(Waiting_status!$G36 &gt;70,"High","Mid"))</f>
        <v>High</v>
      </c>
    </row>
    <row r="37" spans="1:8" x14ac:dyDescent="0.25">
      <c r="A37" s="31">
        <v>54</v>
      </c>
      <c r="B37" s="32" t="str">
        <f t="shared" si="0"/>
        <v>High</v>
      </c>
      <c r="F37" s="29" t="s">
        <v>31</v>
      </c>
      <c r="G37" s="42">
        <v>83.4</v>
      </c>
      <c r="H37" s="41" t="str">
        <f>+IF(Waiting_status!$G37&lt;= 40,"Bajo",IF(Waiting_status!$G37 &gt;70,"High","Mid"))</f>
        <v>High</v>
      </c>
    </row>
    <row r="38" spans="1:8" x14ac:dyDescent="0.25">
      <c r="A38" s="38">
        <v>50</v>
      </c>
      <c r="B38" s="32" t="str">
        <f t="shared" si="0"/>
        <v>High</v>
      </c>
      <c r="F38" s="28" t="s">
        <v>56</v>
      </c>
      <c r="G38" s="40">
        <v>91.6</v>
      </c>
      <c r="H38" s="41" t="str">
        <f>+IF(Waiting_status!$G38&lt;= 40,"Bajo",IF(Waiting_status!$G38 &gt;70,"High","Mid"))</f>
        <v>High</v>
      </c>
    </row>
    <row r="39" spans="1:8" x14ac:dyDescent="0.25">
      <c r="A39" s="31">
        <v>14</v>
      </c>
      <c r="B39" s="32" t="str">
        <f t="shared" si="0"/>
        <v>Low</v>
      </c>
      <c r="F39" s="29" t="s">
        <v>22</v>
      </c>
      <c r="G39" s="42">
        <v>87.8</v>
      </c>
      <c r="H39" s="41" t="str">
        <f>+IF(Waiting_status!$G39&lt;= 40,"Bajo",IF(Waiting_status!$G39 &gt;70,"High","Mid"))</f>
        <v>High</v>
      </c>
    </row>
    <row r="40" spans="1:8" x14ac:dyDescent="0.25">
      <c r="A40" s="38">
        <v>19</v>
      </c>
      <c r="B40" s="32" t="str">
        <f t="shared" si="0"/>
        <v>Low</v>
      </c>
      <c r="F40" s="28" t="s">
        <v>64</v>
      </c>
      <c r="G40" s="40">
        <v>84.1</v>
      </c>
      <c r="H40" s="41" t="str">
        <f>+IF(Waiting_status!$G40&lt;= 40,"Bajo",IF(Waiting_status!$G40 &gt;70,"High","Mid"))</f>
        <v>High</v>
      </c>
    </row>
    <row r="41" spans="1:8" x14ac:dyDescent="0.25">
      <c r="A41" s="31">
        <v>45</v>
      </c>
      <c r="B41" s="32" t="str">
        <f t="shared" si="0"/>
        <v>High</v>
      </c>
      <c r="F41" s="29" t="s">
        <v>16</v>
      </c>
      <c r="G41" s="42">
        <v>98.1</v>
      </c>
      <c r="H41" s="41" t="str">
        <f>+IF(Waiting_status!$G41&lt;= 40,"Bajo",IF(Waiting_status!$G41 &gt;70,"High","Mid"))</f>
        <v>High</v>
      </c>
    </row>
    <row r="42" spans="1:8" x14ac:dyDescent="0.25">
      <c r="A42" s="38">
        <v>12</v>
      </c>
      <c r="B42" s="32" t="str">
        <f t="shared" si="0"/>
        <v>Low</v>
      </c>
      <c r="F42" s="28" t="s">
        <v>48</v>
      </c>
      <c r="G42" s="40">
        <v>63.7</v>
      </c>
      <c r="H42" s="41" t="str">
        <f>+IF(Waiting_status!$G42&lt;= 40,"Bajo",IF(Waiting_status!$G42 &gt;70,"High","Mid"))</f>
        <v>Mid</v>
      </c>
    </row>
    <row r="43" spans="1:8" x14ac:dyDescent="0.25">
      <c r="A43" s="31">
        <v>39</v>
      </c>
      <c r="B43" s="32" t="str">
        <f t="shared" si="0"/>
        <v>mid</v>
      </c>
      <c r="F43" s="29" t="s">
        <v>64</v>
      </c>
      <c r="G43" s="42">
        <v>66.400000000000006</v>
      </c>
      <c r="H43" s="41" t="str">
        <f>+IF(Waiting_status!$G43&lt;= 40,"Bajo",IF(Waiting_status!$G43 &gt;70,"High","Mid"))</f>
        <v>Mid</v>
      </c>
    </row>
    <row r="44" spans="1:8" x14ac:dyDescent="0.25">
      <c r="A44" s="38">
        <v>40</v>
      </c>
      <c r="B44" s="32" t="str">
        <f t="shared" si="0"/>
        <v>mid</v>
      </c>
      <c r="F44" s="28" t="s">
        <v>64</v>
      </c>
      <c r="G44" s="40">
        <v>66.3</v>
      </c>
      <c r="H44" s="41" t="str">
        <f>+IF(Waiting_status!$G44&lt;= 40,"Bajo",IF(Waiting_status!$G44 &gt;70,"High","Mid"))</f>
        <v>Mid</v>
      </c>
    </row>
    <row r="45" spans="1:8" x14ac:dyDescent="0.25">
      <c r="A45" s="31">
        <v>15</v>
      </c>
      <c r="B45" s="32" t="str">
        <f t="shared" si="0"/>
        <v>Low</v>
      </c>
      <c r="F45" s="29" t="s">
        <v>16</v>
      </c>
      <c r="G45" s="42">
        <v>63.9</v>
      </c>
      <c r="H45" s="41" t="str">
        <f>+IF(Waiting_status!$G45&lt;= 40,"Bajo",IF(Waiting_status!$G45 &gt;70,"High","Mid"))</f>
        <v>Mid</v>
      </c>
    </row>
    <row r="46" spans="1:8" x14ac:dyDescent="0.25">
      <c r="A46" s="38">
        <v>52</v>
      </c>
      <c r="B46" s="32" t="str">
        <f t="shared" si="0"/>
        <v>High</v>
      </c>
      <c r="F46" s="28" t="s">
        <v>22</v>
      </c>
      <c r="G46" s="40">
        <v>72.599999999999994</v>
      </c>
      <c r="H46" s="41" t="str">
        <f>+IF(Waiting_status!$G46&lt;= 40,"Bajo",IF(Waiting_status!$G46 &gt;70,"High","Mid"))</f>
        <v>High</v>
      </c>
    </row>
    <row r="47" spans="1:8" x14ac:dyDescent="0.25">
      <c r="A47" s="31">
        <v>17</v>
      </c>
      <c r="B47" s="32" t="str">
        <f t="shared" si="0"/>
        <v>Low</v>
      </c>
      <c r="F47" s="29" t="s">
        <v>48</v>
      </c>
      <c r="G47" s="42">
        <v>99.6</v>
      </c>
      <c r="H47" s="41" t="str">
        <f>+IF(Waiting_status!$G47&lt;= 40,"Bajo",IF(Waiting_status!$G47 &gt;70,"High","Mid"))</f>
        <v>High</v>
      </c>
    </row>
    <row r="48" spans="1:8" x14ac:dyDescent="0.25">
      <c r="A48" s="38">
        <v>47</v>
      </c>
      <c r="B48" s="32" t="str">
        <f t="shared" si="0"/>
        <v>High</v>
      </c>
      <c r="F48" s="28" t="s">
        <v>61</v>
      </c>
      <c r="G48" s="40">
        <v>98.1</v>
      </c>
      <c r="H48" s="41" t="str">
        <f>+IF(Waiting_status!$G48&lt;= 40,"Bajo",IF(Waiting_status!$G48 &gt;70,"High","Mid"))</f>
        <v>High</v>
      </c>
    </row>
    <row r="49" spans="1:8" x14ac:dyDescent="0.25">
      <c r="A49" s="31">
        <v>35</v>
      </c>
      <c r="B49" s="32" t="str">
        <f t="shared" si="0"/>
        <v>mid</v>
      </c>
      <c r="F49" s="29" t="s">
        <v>95</v>
      </c>
      <c r="G49" s="42">
        <v>80.7</v>
      </c>
      <c r="H49" s="41" t="str">
        <f>+IF(Waiting_status!$G49&lt;= 40,"Bajo",IF(Waiting_status!$G49 &gt;70,"High","Mid"))</f>
        <v>High</v>
      </c>
    </row>
    <row r="50" spans="1:8" x14ac:dyDescent="0.25">
      <c r="A50" s="38">
        <v>46</v>
      </c>
      <c r="B50" s="32" t="str">
        <f t="shared" si="0"/>
        <v>High</v>
      </c>
      <c r="F50" s="28" t="s">
        <v>22</v>
      </c>
      <c r="G50" s="40">
        <v>60.1</v>
      </c>
      <c r="H50" s="41" t="str">
        <f>+IF(Waiting_status!$G50&lt;= 40,"Bajo",IF(Waiting_status!$G50 &gt;70,"High","Mid"))</f>
        <v>Mid</v>
      </c>
    </row>
    <row r="51" spans="1:8" x14ac:dyDescent="0.25">
      <c r="A51" s="31">
        <v>47</v>
      </c>
      <c r="B51" s="32" t="str">
        <f t="shared" si="0"/>
        <v>High</v>
      </c>
      <c r="F51" s="29" t="s">
        <v>31</v>
      </c>
      <c r="G51" s="42">
        <v>97.4</v>
      </c>
      <c r="H51" s="41" t="str">
        <f>+IF(Waiting_status!$G51&lt;= 40,"Bajo",IF(Waiting_status!$G51 &gt;70,"High","Mid"))</f>
        <v>High</v>
      </c>
    </row>
    <row r="52" spans="1:8" x14ac:dyDescent="0.25">
      <c r="A52" s="38">
        <v>14</v>
      </c>
      <c r="B52" s="32" t="str">
        <f t="shared" si="0"/>
        <v>Low</v>
      </c>
      <c r="F52" s="28" t="s">
        <v>61</v>
      </c>
      <c r="G52" s="40">
        <v>89.8</v>
      </c>
      <c r="H52" s="41" t="str">
        <f>+IF(Waiting_status!$G52&lt;= 40,"Bajo",IF(Waiting_status!$G52 &gt;70,"High","Mid"))</f>
        <v>High</v>
      </c>
    </row>
    <row r="53" spans="1:8" x14ac:dyDescent="0.25">
      <c r="A53" s="31">
        <v>39</v>
      </c>
      <c r="B53" s="32" t="str">
        <f t="shared" si="0"/>
        <v>mid</v>
      </c>
      <c r="F53" s="29" t="s">
        <v>64</v>
      </c>
      <c r="G53" s="42">
        <v>92.3</v>
      </c>
      <c r="H53" s="41" t="str">
        <f>+IF(Waiting_status!$G53&lt;= 40,"Bajo",IF(Waiting_status!$G53 &gt;70,"High","Mid"))</f>
        <v>High</v>
      </c>
    </row>
    <row r="54" spans="1:8" x14ac:dyDescent="0.25">
      <c r="A54" s="38">
        <v>55</v>
      </c>
      <c r="B54" s="32" t="str">
        <f t="shared" si="0"/>
        <v>High</v>
      </c>
      <c r="F54" s="28" t="s">
        <v>48</v>
      </c>
      <c r="G54" s="40">
        <v>95.2</v>
      </c>
      <c r="H54" s="41" t="str">
        <f>+IF(Waiting_status!$G54&lt;= 40,"Bajo",IF(Waiting_status!$G54 &gt;70,"High","Mid"))</f>
        <v>High</v>
      </c>
    </row>
    <row r="55" spans="1:8" x14ac:dyDescent="0.25">
      <c r="A55" s="31">
        <v>16</v>
      </c>
      <c r="B55" s="32" t="str">
        <f t="shared" si="0"/>
        <v>Low</v>
      </c>
      <c r="F55" s="29" t="s">
        <v>56</v>
      </c>
      <c r="G55" s="42">
        <v>71.900000000000006</v>
      </c>
      <c r="H55" s="41" t="str">
        <f>+IF(Waiting_status!$G55&lt;= 40,"Bajo",IF(Waiting_status!$G55 &gt;70,"High","Mid"))</f>
        <v>High</v>
      </c>
    </row>
    <row r="56" spans="1:8" x14ac:dyDescent="0.25">
      <c r="A56" s="38">
        <v>12</v>
      </c>
      <c r="B56" s="32" t="str">
        <f t="shared" si="0"/>
        <v>Low</v>
      </c>
      <c r="F56" s="28" t="s">
        <v>56</v>
      </c>
      <c r="G56" s="40">
        <v>85.4</v>
      </c>
      <c r="H56" s="41" t="str">
        <f>+IF(Waiting_status!$G56&lt;= 40,"Bajo",IF(Waiting_status!$G56 &gt;70,"High","Mid"))</f>
        <v>High</v>
      </c>
    </row>
    <row r="57" spans="1:8" x14ac:dyDescent="0.25">
      <c r="A57" s="31">
        <v>52</v>
      </c>
      <c r="B57" s="32" t="str">
        <f t="shared" si="0"/>
        <v>High</v>
      </c>
      <c r="F57" s="29" t="s">
        <v>64</v>
      </c>
      <c r="G57" s="42">
        <v>72.400000000000006</v>
      </c>
      <c r="H57" s="41" t="str">
        <f>+IF(Waiting_status!$G57&lt;= 40,"Bajo",IF(Waiting_status!$G57 &gt;70,"High","Mid"))</f>
        <v>High</v>
      </c>
    </row>
    <row r="58" spans="1:8" x14ac:dyDescent="0.25">
      <c r="A58" s="38">
        <v>19</v>
      </c>
      <c r="B58" s="32" t="str">
        <f t="shared" si="0"/>
        <v>Low</v>
      </c>
      <c r="F58" s="28" t="s">
        <v>31</v>
      </c>
      <c r="G58" s="40">
        <v>87.6</v>
      </c>
      <c r="H58" s="41" t="str">
        <f>+IF(Waiting_status!$G58&lt;= 40,"Bajo",IF(Waiting_status!$G58 &gt;70,"High","Mid"))</f>
        <v>High</v>
      </c>
    </row>
    <row r="59" spans="1:8" x14ac:dyDescent="0.25">
      <c r="A59" s="31">
        <v>40</v>
      </c>
      <c r="B59" s="32" t="str">
        <f t="shared" si="0"/>
        <v>mid</v>
      </c>
      <c r="F59" s="29" t="s">
        <v>31</v>
      </c>
      <c r="G59" s="42">
        <v>86.1</v>
      </c>
      <c r="H59" s="41" t="str">
        <f>+IF(Waiting_status!$G59&lt;= 40,"Bajo",IF(Waiting_status!$G59 &gt;70,"High","Mid"))</f>
        <v>High</v>
      </c>
    </row>
    <row r="60" spans="1:8" x14ac:dyDescent="0.25">
      <c r="A60" s="38">
        <v>37</v>
      </c>
      <c r="B60" s="32" t="str">
        <f t="shared" si="0"/>
        <v>mid</v>
      </c>
      <c r="F60" s="28" t="s">
        <v>31</v>
      </c>
      <c r="G60" s="40">
        <v>89.6</v>
      </c>
      <c r="H60" s="41" t="str">
        <f>+IF(Waiting_status!$G60&lt;= 40,"Bajo",IF(Waiting_status!$G60 &gt;70,"High","Mid"))</f>
        <v>High</v>
      </c>
    </row>
    <row r="61" spans="1:8" x14ac:dyDescent="0.25">
      <c r="A61" s="31">
        <v>19</v>
      </c>
      <c r="B61" s="32" t="str">
        <f t="shared" si="0"/>
        <v>Low</v>
      </c>
      <c r="F61" s="29" t="s">
        <v>31</v>
      </c>
      <c r="G61" s="42">
        <v>70.2</v>
      </c>
      <c r="H61" s="41" t="str">
        <f>+IF(Waiting_status!$G61&lt;= 40,"Bajo",IF(Waiting_status!$G61 &gt;70,"High","Mid"))</f>
        <v>High</v>
      </c>
    </row>
    <row r="62" spans="1:8" x14ac:dyDescent="0.25">
      <c r="A62" s="38">
        <v>37</v>
      </c>
      <c r="B62" s="32" t="str">
        <f t="shared" si="0"/>
        <v>mid</v>
      </c>
      <c r="F62" s="28" t="s">
        <v>31</v>
      </c>
      <c r="G62" s="40">
        <v>91.4</v>
      </c>
      <c r="H62" s="41" t="str">
        <f>+IF(Waiting_status!$G62&lt;= 40,"Bajo",IF(Waiting_status!$G62 &gt;70,"High","Mid"))</f>
        <v>High</v>
      </c>
    </row>
    <row r="63" spans="1:8" x14ac:dyDescent="0.25">
      <c r="A63" s="31">
        <v>23</v>
      </c>
      <c r="B63" s="32" t="str">
        <f t="shared" si="0"/>
        <v>mid</v>
      </c>
      <c r="F63" s="29" t="s">
        <v>41</v>
      </c>
      <c r="G63" s="42">
        <v>72</v>
      </c>
      <c r="H63" s="41" t="str">
        <f>+IF(Waiting_status!$G63&lt;= 40,"Bajo",IF(Waiting_status!$G63 &gt;70,"High","Mid"))</f>
        <v>High</v>
      </c>
    </row>
    <row r="64" spans="1:8" x14ac:dyDescent="0.25">
      <c r="A64" s="38">
        <v>49</v>
      </c>
      <c r="B64" s="32" t="str">
        <f t="shared" si="0"/>
        <v>High</v>
      </c>
      <c r="F64" s="28" t="s">
        <v>22</v>
      </c>
      <c r="G64" s="40">
        <v>70.7</v>
      </c>
      <c r="H64" s="41" t="str">
        <f>+IF(Waiting_status!$G64&lt;= 40,"Bajo",IF(Waiting_status!$G64 &gt;70,"High","Mid"))</f>
        <v>High</v>
      </c>
    </row>
    <row r="65" spans="1:8" x14ac:dyDescent="0.25">
      <c r="A65" s="31">
        <v>39</v>
      </c>
      <c r="B65" s="32" t="str">
        <f t="shared" si="0"/>
        <v>mid</v>
      </c>
      <c r="F65" s="29" t="s">
        <v>16</v>
      </c>
      <c r="G65" s="42">
        <v>98.1</v>
      </c>
      <c r="H65" s="41" t="str">
        <f>+IF(Waiting_status!$G65&lt;= 40,"Bajo",IF(Waiting_status!$G65 &gt;70,"High","Mid"))</f>
        <v>High</v>
      </c>
    </row>
    <row r="66" spans="1:8" x14ac:dyDescent="0.25">
      <c r="A66" s="38">
        <v>12</v>
      </c>
      <c r="B66" s="32" t="str">
        <f t="shared" si="0"/>
        <v>Low</v>
      </c>
      <c r="F66" s="28" t="s">
        <v>41</v>
      </c>
      <c r="G66" s="40">
        <v>78.3</v>
      </c>
      <c r="H66" s="41" t="str">
        <f>+IF(Waiting_status!$G66&lt;= 40,"Bajo",IF(Waiting_status!$G66 &gt;70,"High","Mid"))</f>
        <v>High</v>
      </c>
    </row>
    <row r="67" spans="1:8" x14ac:dyDescent="0.25">
      <c r="A67" s="31">
        <v>32</v>
      </c>
      <c r="B67" s="32" t="str">
        <f t="shared" ref="B67:B130" si="1">+IF(A67&lt;= 20,"Low",IF(A67 &gt; 40,"High","mid"))</f>
        <v>mid</v>
      </c>
      <c r="F67" s="29" t="s">
        <v>22</v>
      </c>
      <c r="G67" s="42">
        <v>69.900000000000006</v>
      </c>
      <c r="H67" s="41" t="str">
        <f>+IF(Waiting_status!$G67&lt;= 40,"Bajo",IF(Waiting_status!$G67 &gt;70,"High","Mid"))</f>
        <v>Mid</v>
      </c>
    </row>
    <row r="68" spans="1:8" x14ac:dyDescent="0.25">
      <c r="A68" s="38">
        <v>50</v>
      </c>
      <c r="B68" s="32" t="str">
        <f t="shared" si="1"/>
        <v>High</v>
      </c>
      <c r="F68" s="28" t="s">
        <v>64</v>
      </c>
      <c r="G68" s="40">
        <v>67.8</v>
      </c>
      <c r="H68" s="41" t="str">
        <f>+IF(Waiting_status!$G68&lt;= 40,"Bajo",IF(Waiting_status!$G68 &gt;70,"High","Mid"))</f>
        <v>Mid</v>
      </c>
    </row>
    <row r="69" spans="1:8" x14ac:dyDescent="0.25">
      <c r="A69" s="31">
        <v>34</v>
      </c>
      <c r="B69" s="32" t="str">
        <f t="shared" si="1"/>
        <v>mid</v>
      </c>
      <c r="F69" s="29" t="s">
        <v>41</v>
      </c>
      <c r="G69" s="42">
        <v>88.7</v>
      </c>
      <c r="H69" s="41" t="str">
        <f>+IF(Waiting_status!$G69&lt;= 40,"Bajo",IF(Waiting_status!$G69 &gt;70,"High","Mid"))</f>
        <v>High</v>
      </c>
    </row>
    <row r="70" spans="1:8" x14ac:dyDescent="0.25">
      <c r="A70" s="38">
        <v>24</v>
      </c>
      <c r="B70" s="32" t="str">
        <f t="shared" si="1"/>
        <v>mid</v>
      </c>
      <c r="F70" s="28" t="s">
        <v>95</v>
      </c>
      <c r="G70" s="40">
        <v>69.3</v>
      </c>
      <c r="H70" s="41" t="str">
        <f>+IF(Waiting_status!$G70&lt;= 40,"Bajo",IF(Waiting_status!$G70 &gt;70,"High","Mid"))</f>
        <v>Mid</v>
      </c>
    </row>
    <row r="71" spans="1:8" x14ac:dyDescent="0.25">
      <c r="A71" s="31">
        <v>19</v>
      </c>
      <c r="B71" s="32" t="str">
        <f t="shared" si="1"/>
        <v>Low</v>
      </c>
      <c r="F71" s="29" t="s">
        <v>31</v>
      </c>
      <c r="G71" s="42">
        <v>74.400000000000006</v>
      </c>
      <c r="H71" s="41" t="str">
        <f>+IF(Waiting_status!$G71&lt;= 40,"Bajo",IF(Waiting_status!$G71 &gt;70,"High","Mid"))</f>
        <v>High</v>
      </c>
    </row>
    <row r="72" spans="1:8" x14ac:dyDescent="0.25">
      <c r="A72" s="38">
        <v>49</v>
      </c>
      <c r="B72" s="32" t="str">
        <f t="shared" si="1"/>
        <v>High</v>
      </c>
      <c r="F72" s="28" t="s">
        <v>41</v>
      </c>
      <c r="G72" s="40">
        <v>100</v>
      </c>
      <c r="H72" s="41" t="str">
        <f>+IF(Waiting_status!$G72&lt;= 40,"Bajo",IF(Waiting_status!$G72 &gt;70,"High","Mid"))</f>
        <v>High</v>
      </c>
    </row>
    <row r="73" spans="1:8" x14ac:dyDescent="0.25">
      <c r="A73" s="31">
        <v>35</v>
      </c>
      <c r="B73" s="32" t="str">
        <f t="shared" si="1"/>
        <v>mid</v>
      </c>
      <c r="F73" s="29" t="s">
        <v>48</v>
      </c>
      <c r="G73" s="42">
        <v>71.3</v>
      </c>
      <c r="H73" s="41" t="str">
        <f>+IF(Waiting_status!$G73&lt;= 40,"Bajo",IF(Waiting_status!$G73 &gt;70,"High","Mid"))</f>
        <v>High</v>
      </c>
    </row>
    <row r="74" spans="1:8" x14ac:dyDescent="0.25">
      <c r="A74" s="38">
        <v>12</v>
      </c>
      <c r="B74" s="32" t="str">
        <f t="shared" si="1"/>
        <v>Low</v>
      </c>
      <c r="F74" s="28" t="s">
        <v>56</v>
      </c>
      <c r="G74" s="40">
        <v>92.8</v>
      </c>
      <c r="H74" s="41" t="str">
        <f>+IF(Waiting_status!$G74&lt;= 40,"Bajo",IF(Waiting_status!$G74 &gt;70,"High","Mid"))</f>
        <v>High</v>
      </c>
    </row>
    <row r="75" spans="1:8" x14ac:dyDescent="0.25">
      <c r="A75" s="31">
        <v>56</v>
      </c>
      <c r="B75" s="32" t="str">
        <f t="shared" si="1"/>
        <v>High</v>
      </c>
      <c r="F75" s="29" t="s">
        <v>22</v>
      </c>
      <c r="G75" s="42">
        <v>96.3</v>
      </c>
      <c r="H75" s="41" t="str">
        <f>+IF(Waiting_status!$G75&lt;= 40,"Bajo",IF(Waiting_status!$G75 &gt;70,"High","Mid"))</f>
        <v>High</v>
      </c>
    </row>
    <row r="76" spans="1:8" x14ac:dyDescent="0.25">
      <c r="A76" s="38">
        <v>14</v>
      </c>
      <c r="B76" s="32" t="str">
        <f t="shared" si="1"/>
        <v>Low</v>
      </c>
      <c r="F76" s="28" t="s">
        <v>64</v>
      </c>
      <c r="G76" s="40">
        <v>77.5</v>
      </c>
      <c r="H76" s="41" t="str">
        <f>+IF(Waiting_status!$G76&lt;= 40,"Bajo",IF(Waiting_status!$G76 &gt;70,"High","Mid"))</f>
        <v>High</v>
      </c>
    </row>
    <row r="77" spans="1:8" x14ac:dyDescent="0.25">
      <c r="A77" s="31">
        <v>22</v>
      </c>
      <c r="B77" s="32" t="str">
        <f t="shared" si="1"/>
        <v>mid</v>
      </c>
      <c r="F77" s="29" t="s">
        <v>64</v>
      </c>
      <c r="G77" s="42">
        <v>67.400000000000006</v>
      </c>
      <c r="H77" s="41" t="str">
        <f>+IF(Waiting_status!$G77&lt;= 40,"Bajo",IF(Waiting_status!$G77 &gt;70,"High","Mid"))</f>
        <v>Mid</v>
      </c>
    </row>
    <row r="78" spans="1:8" x14ac:dyDescent="0.25">
      <c r="A78" s="38">
        <v>51</v>
      </c>
      <c r="B78" s="32" t="str">
        <f t="shared" si="1"/>
        <v>High</v>
      </c>
      <c r="F78" s="28" t="s">
        <v>22</v>
      </c>
      <c r="G78" s="40">
        <v>78.7</v>
      </c>
      <c r="H78" s="41" t="str">
        <f>+IF(Waiting_status!$G78&lt;= 40,"Bajo",IF(Waiting_status!$G78 &gt;70,"High","Mid"))</f>
        <v>High</v>
      </c>
    </row>
    <row r="79" spans="1:8" x14ac:dyDescent="0.25">
      <c r="A79" s="31">
        <v>21</v>
      </c>
      <c r="B79" s="32" t="str">
        <f t="shared" si="1"/>
        <v>mid</v>
      </c>
      <c r="F79" s="29" t="s">
        <v>95</v>
      </c>
      <c r="G79" s="42">
        <v>62.6</v>
      </c>
      <c r="H79" s="41" t="str">
        <f>+IF(Waiting_status!$G79&lt;= 40,"Bajo",IF(Waiting_status!$G79 &gt;70,"High","Mid"))</f>
        <v>Mid</v>
      </c>
    </row>
    <row r="80" spans="1:8" x14ac:dyDescent="0.25">
      <c r="A80" s="38">
        <v>57</v>
      </c>
      <c r="B80" s="32" t="str">
        <f t="shared" si="1"/>
        <v>High</v>
      </c>
      <c r="F80" s="28" t="s">
        <v>28</v>
      </c>
      <c r="G80" s="40">
        <v>96.8</v>
      </c>
      <c r="H80" s="41" t="str">
        <f>+IF(Waiting_status!$G80&lt;= 40,"Bajo",IF(Waiting_status!$G80 &gt;70,"High","Mid"))</f>
        <v>High</v>
      </c>
    </row>
    <row r="81" spans="1:8" x14ac:dyDescent="0.25">
      <c r="A81" s="31">
        <v>59</v>
      </c>
      <c r="B81" s="32" t="str">
        <f t="shared" si="1"/>
        <v>High</v>
      </c>
      <c r="F81" s="29" t="s">
        <v>41</v>
      </c>
      <c r="G81" s="42">
        <v>67.2</v>
      </c>
      <c r="H81" s="41" t="str">
        <f>+IF(Waiting_status!$G81&lt;= 40,"Bajo",IF(Waiting_status!$G81 &gt;70,"High","Mid"))</f>
        <v>Mid</v>
      </c>
    </row>
    <row r="82" spans="1:8" x14ac:dyDescent="0.25">
      <c r="A82" s="38">
        <v>38</v>
      </c>
      <c r="B82" s="32" t="str">
        <f t="shared" si="1"/>
        <v>mid</v>
      </c>
      <c r="F82" s="28" t="s">
        <v>64</v>
      </c>
      <c r="G82" s="40">
        <v>95.6</v>
      </c>
      <c r="H82" s="41" t="str">
        <f>+IF(Waiting_status!$G82&lt;= 40,"Bajo",IF(Waiting_status!$G82 &gt;70,"High","Mid"))</f>
        <v>High</v>
      </c>
    </row>
    <row r="83" spans="1:8" x14ac:dyDescent="0.25">
      <c r="A83" s="31">
        <v>39</v>
      </c>
      <c r="B83" s="32" t="str">
        <f t="shared" si="1"/>
        <v>mid</v>
      </c>
      <c r="F83" s="29" t="s">
        <v>22</v>
      </c>
      <c r="G83" s="42">
        <v>91</v>
      </c>
      <c r="H83" s="41" t="str">
        <f>+IF(Waiting_status!$G83&lt;= 40,"Bajo",IF(Waiting_status!$G83 &gt;70,"High","Mid"))</f>
        <v>High</v>
      </c>
    </row>
    <row r="84" spans="1:8" x14ac:dyDescent="0.25">
      <c r="A84" s="38">
        <v>50</v>
      </c>
      <c r="B84" s="32" t="str">
        <f t="shared" si="1"/>
        <v>High</v>
      </c>
      <c r="F84" s="28" t="s">
        <v>64</v>
      </c>
      <c r="G84" s="40">
        <v>64</v>
      </c>
      <c r="H84" s="41" t="str">
        <f>+IF(Waiting_status!$G84&lt;= 40,"Bajo",IF(Waiting_status!$G84 &gt;70,"High","Mid"))</f>
        <v>Mid</v>
      </c>
    </row>
    <row r="85" spans="1:8" x14ac:dyDescent="0.25">
      <c r="A85" s="31">
        <v>39</v>
      </c>
      <c r="B85" s="32" t="str">
        <f t="shared" si="1"/>
        <v>mid</v>
      </c>
      <c r="F85" s="29" t="s">
        <v>16</v>
      </c>
      <c r="G85" s="42">
        <v>67.2</v>
      </c>
      <c r="H85" s="41" t="str">
        <f>+IF(Waiting_status!$G85&lt;= 40,"Bajo",IF(Waiting_status!$G85 &gt;70,"High","Mid"))</f>
        <v>Mid</v>
      </c>
    </row>
    <row r="86" spans="1:8" x14ac:dyDescent="0.25">
      <c r="A86" s="38">
        <v>51</v>
      </c>
      <c r="B86" s="32" t="str">
        <f t="shared" si="1"/>
        <v>High</v>
      </c>
      <c r="F86" s="28" t="s">
        <v>22</v>
      </c>
      <c r="G86" s="40">
        <v>86.5</v>
      </c>
      <c r="H86" s="41" t="str">
        <f>+IF(Waiting_status!$G86&lt;= 40,"Bajo",IF(Waiting_status!$G86 &gt;70,"High","Mid"))</f>
        <v>High</v>
      </c>
    </row>
    <row r="87" spans="1:8" x14ac:dyDescent="0.25">
      <c r="A87" s="31">
        <v>39</v>
      </c>
      <c r="B87" s="32" t="str">
        <f t="shared" si="1"/>
        <v>mid</v>
      </c>
      <c r="F87" s="29" t="s">
        <v>64</v>
      </c>
      <c r="G87" s="42">
        <v>69.099999999999994</v>
      </c>
      <c r="H87" s="41" t="str">
        <f>+IF(Waiting_status!$G87&lt;= 40,"Bajo",IF(Waiting_status!$G87 &gt;70,"High","Mid"))</f>
        <v>Mid</v>
      </c>
    </row>
    <row r="88" spans="1:8" x14ac:dyDescent="0.25">
      <c r="A88" s="38">
        <v>28</v>
      </c>
      <c r="B88" s="32" t="str">
        <f t="shared" si="1"/>
        <v>mid</v>
      </c>
      <c r="F88" s="28" t="s">
        <v>16</v>
      </c>
      <c r="G88" s="40">
        <v>61.9</v>
      </c>
      <c r="H88" s="41" t="str">
        <f>+IF(Waiting_status!$G88&lt;= 40,"Bajo",IF(Waiting_status!$G88 &gt;70,"High","Mid"))</f>
        <v>Mid</v>
      </c>
    </row>
    <row r="89" spans="1:8" x14ac:dyDescent="0.25">
      <c r="A89" s="31">
        <v>41</v>
      </c>
      <c r="B89" s="32" t="str">
        <f t="shared" si="1"/>
        <v>High</v>
      </c>
      <c r="F89" s="29" t="s">
        <v>64</v>
      </c>
      <c r="G89" s="42">
        <v>60.9</v>
      </c>
      <c r="H89" s="41" t="str">
        <f>+IF(Waiting_status!$G89&lt;= 40,"Bajo",IF(Waiting_status!$G89 &gt;70,"High","Mid"))</f>
        <v>Mid</v>
      </c>
    </row>
    <row r="90" spans="1:8" x14ac:dyDescent="0.25">
      <c r="A90" s="38">
        <v>56</v>
      </c>
      <c r="B90" s="32" t="str">
        <f t="shared" si="1"/>
        <v>High</v>
      </c>
      <c r="F90" s="28" t="s">
        <v>41</v>
      </c>
      <c r="G90" s="40">
        <v>93.8</v>
      </c>
      <c r="H90" s="41" t="str">
        <f>+IF(Waiting_status!$G90&lt;= 40,"Bajo",IF(Waiting_status!$G90 &gt;70,"High","Mid"))</f>
        <v>High</v>
      </c>
    </row>
    <row r="91" spans="1:8" x14ac:dyDescent="0.25">
      <c r="A91" s="31">
        <v>25</v>
      </c>
      <c r="B91" s="32" t="str">
        <f t="shared" si="1"/>
        <v>mid</v>
      </c>
      <c r="F91" s="29" t="s">
        <v>64</v>
      </c>
      <c r="G91" s="42">
        <v>60.3</v>
      </c>
      <c r="H91" s="41" t="str">
        <f>+IF(Waiting_status!$G91&lt;= 40,"Bajo",IF(Waiting_status!$G91 &gt;70,"High","Mid"))</f>
        <v>Mid</v>
      </c>
    </row>
    <row r="92" spans="1:8" x14ac:dyDescent="0.25">
      <c r="A92" s="38">
        <v>59</v>
      </c>
      <c r="B92" s="32" t="str">
        <f t="shared" si="1"/>
        <v>High</v>
      </c>
      <c r="F92" s="28" t="s">
        <v>16</v>
      </c>
      <c r="G92" s="40">
        <v>99.1</v>
      </c>
      <c r="H92" s="41" t="str">
        <f>+IF(Waiting_status!$G92&lt;= 40,"Bajo",IF(Waiting_status!$G92 &gt;70,"High","Mid"))</f>
        <v>High</v>
      </c>
    </row>
    <row r="93" spans="1:8" x14ac:dyDescent="0.25">
      <c r="A93" s="31">
        <v>23</v>
      </c>
      <c r="B93" s="32" t="str">
        <f t="shared" si="1"/>
        <v>mid</v>
      </c>
      <c r="F93" s="29" t="s">
        <v>48</v>
      </c>
      <c r="G93" s="42">
        <v>94.2</v>
      </c>
      <c r="H93" s="41" t="str">
        <f>+IF(Waiting_status!$G93&lt;= 40,"Bajo",IF(Waiting_status!$G93 &gt;70,"High","Mid"))</f>
        <v>High</v>
      </c>
    </row>
    <row r="94" spans="1:8" x14ac:dyDescent="0.25">
      <c r="A94" s="38">
        <v>53</v>
      </c>
      <c r="B94" s="32" t="str">
        <f t="shared" si="1"/>
        <v>High</v>
      </c>
      <c r="F94" s="28" t="s">
        <v>95</v>
      </c>
      <c r="G94" s="40">
        <v>99.5</v>
      </c>
      <c r="H94" s="41" t="str">
        <f>+IF(Waiting_status!$G94&lt;= 40,"Bajo",IF(Waiting_status!$G94 &gt;70,"High","Mid"))</f>
        <v>High</v>
      </c>
    </row>
    <row r="95" spans="1:8" x14ac:dyDescent="0.25">
      <c r="A95" s="31">
        <v>19</v>
      </c>
      <c r="B95" s="32" t="str">
        <f t="shared" si="1"/>
        <v>Low</v>
      </c>
      <c r="F95" s="29" t="s">
        <v>28</v>
      </c>
      <c r="G95" s="42">
        <v>92.7</v>
      </c>
      <c r="H95" s="41" t="str">
        <f>+IF(Waiting_status!$G95&lt;= 40,"Bajo",IF(Waiting_status!$G95 &gt;70,"High","Mid"))</f>
        <v>High</v>
      </c>
    </row>
    <row r="96" spans="1:8" x14ac:dyDescent="0.25">
      <c r="A96" s="38">
        <v>26</v>
      </c>
      <c r="B96" s="32" t="str">
        <f t="shared" si="1"/>
        <v>mid</v>
      </c>
      <c r="F96" s="28" t="s">
        <v>56</v>
      </c>
      <c r="G96" s="40">
        <v>69.400000000000006</v>
      </c>
      <c r="H96" s="41" t="str">
        <f>+IF(Waiting_status!$G96&lt;= 40,"Bajo",IF(Waiting_status!$G96 &gt;70,"High","Mid"))</f>
        <v>Mid</v>
      </c>
    </row>
    <row r="97" spans="1:8" x14ac:dyDescent="0.25">
      <c r="A97" s="31">
        <v>21</v>
      </c>
      <c r="B97" s="32" t="str">
        <f t="shared" si="1"/>
        <v>mid</v>
      </c>
      <c r="F97" s="29" t="s">
        <v>41</v>
      </c>
      <c r="G97" s="42">
        <v>87.9</v>
      </c>
      <c r="H97" s="41" t="str">
        <f>+IF(Waiting_status!$G97&lt;= 40,"Bajo",IF(Waiting_status!$G97 &gt;70,"High","Mid"))</f>
        <v>High</v>
      </c>
    </row>
    <row r="98" spans="1:8" x14ac:dyDescent="0.25">
      <c r="A98" s="38">
        <v>29</v>
      </c>
      <c r="B98" s="32" t="str">
        <f t="shared" si="1"/>
        <v>mid</v>
      </c>
      <c r="F98" s="28" t="s">
        <v>22</v>
      </c>
      <c r="G98" s="40">
        <v>71.2</v>
      </c>
      <c r="H98" s="41" t="str">
        <f>+IF(Waiting_status!$G98&lt;= 40,"Bajo",IF(Waiting_status!$G98 &gt;70,"High","Mid"))</f>
        <v>High</v>
      </c>
    </row>
    <row r="99" spans="1:8" x14ac:dyDescent="0.25">
      <c r="A99" s="31">
        <v>26</v>
      </c>
      <c r="B99" s="32" t="str">
        <f t="shared" si="1"/>
        <v>mid</v>
      </c>
      <c r="F99" s="29" t="s">
        <v>31</v>
      </c>
      <c r="G99" s="42">
        <v>99.2</v>
      </c>
      <c r="H99" s="41" t="str">
        <f>+IF(Waiting_status!$G99&lt;= 40,"Bajo",IF(Waiting_status!$G99 &gt;70,"High","Mid"))</f>
        <v>High</v>
      </c>
    </row>
    <row r="100" spans="1:8" x14ac:dyDescent="0.25">
      <c r="A100" s="38">
        <v>35</v>
      </c>
      <c r="B100" s="32" t="str">
        <f t="shared" si="1"/>
        <v>mid</v>
      </c>
      <c r="F100" s="28" t="s">
        <v>41</v>
      </c>
      <c r="G100" s="40">
        <v>93.7</v>
      </c>
      <c r="H100" s="41" t="str">
        <f>+IF(Waiting_status!$G100&lt;= 40,"Bajo",IF(Waiting_status!$G100 &gt;70,"High","Mid"))</f>
        <v>High</v>
      </c>
    </row>
    <row r="101" spans="1:8" x14ac:dyDescent="0.25">
      <c r="A101" s="31">
        <v>51</v>
      </c>
      <c r="B101" s="32" t="str">
        <f t="shared" si="1"/>
        <v>High</v>
      </c>
      <c r="F101" s="29" t="s">
        <v>48</v>
      </c>
      <c r="G101" s="42">
        <v>84.9</v>
      </c>
      <c r="H101" s="41" t="str">
        <f>+IF(Waiting_status!$G101&lt;= 40,"Bajo",IF(Waiting_status!$G101 &gt;70,"High","Mid"))</f>
        <v>High</v>
      </c>
    </row>
    <row r="102" spans="1:8" x14ac:dyDescent="0.25">
      <c r="A102" s="38">
        <v>18</v>
      </c>
      <c r="B102" s="32" t="str">
        <f t="shared" si="1"/>
        <v>Low</v>
      </c>
      <c r="F102" s="28" t="s">
        <v>41</v>
      </c>
      <c r="G102" s="40">
        <v>63.1</v>
      </c>
      <c r="H102" s="41" t="str">
        <f>+IF(Waiting_status!$G102&lt;= 40,"Bajo",IF(Waiting_status!$G102 &gt;70,"High","Mid"))</f>
        <v>Mid</v>
      </c>
    </row>
    <row r="103" spans="1:8" x14ac:dyDescent="0.25">
      <c r="A103" s="31">
        <v>38</v>
      </c>
      <c r="B103" s="32" t="str">
        <f t="shared" si="1"/>
        <v>mid</v>
      </c>
      <c r="F103" s="29" t="s">
        <v>64</v>
      </c>
      <c r="G103" s="42">
        <v>81.400000000000006</v>
      </c>
      <c r="H103" s="41" t="str">
        <f>+IF(Waiting_status!$G103&lt;= 40,"Bajo",IF(Waiting_status!$G103 &gt;70,"High","Mid"))</f>
        <v>High</v>
      </c>
    </row>
    <row r="104" spans="1:8" x14ac:dyDescent="0.25">
      <c r="A104" s="38">
        <v>41</v>
      </c>
      <c r="B104" s="32" t="str">
        <f t="shared" si="1"/>
        <v>High</v>
      </c>
      <c r="F104" s="28" t="s">
        <v>28</v>
      </c>
      <c r="G104" s="40">
        <v>70.8</v>
      </c>
      <c r="H104" s="41" t="str">
        <f>+IF(Waiting_status!$G104&lt;= 40,"Bajo",IF(Waiting_status!$G104 &gt;70,"High","Mid"))</f>
        <v>High</v>
      </c>
    </row>
    <row r="105" spans="1:8" x14ac:dyDescent="0.25">
      <c r="A105" s="31">
        <v>43</v>
      </c>
      <c r="B105" s="32" t="str">
        <f t="shared" si="1"/>
        <v>High</v>
      </c>
      <c r="F105" s="29" t="s">
        <v>64</v>
      </c>
      <c r="G105" s="42">
        <v>71.099999999999994</v>
      </c>
      <c r="H105" s="41" t="str">
        <f>+IF(Waiting_status!$G105&lt;= 40,"Bajo",IF(Waiting_status!$G105 &gt;70,"High","Mid"))</f>
        <v>High</v>
      </c>
    </row>
    <row r="106" spans="1:8" x14ac:dyDescent="0.25">
      <c r="A106" s="38">
        <v>47</v>
      </c>
      <c r="B106" s="32" t="str">
        <f t="shared" si="1"/>
        <v>High</v>
      </c>
      <c r="F106" s="28" t="s">
        <v>16</v>
      </c>
      <c r="G106" s="40">
        <v>74.099999999999994</v>
      </c>
      <c r="H106" s="41" t="str">
        <f>+IF(Waiting_status!$G106&lt;= 40,"Bajo",IF(Waiting_status!$G106 &gt;70,"High","Mid"))</f>
        <v>High</v>
      </c>
    </row>
    <row r="107" spans="1:8" x14ac:dyDescent="0.25">
      <c r="A107" s="31">
        <v>31</v>
      </c>
      <c r="B107" s="32" t="str">
        <f t="shared" si="1"/>
        <v>mid</v>
      </c>
      <c r="F107" s="29" t="s">
        <v>48</v>
      </c>
      <c r="G107" s="42">
        <v>86.1</v>
      </c>
      <c r="H107" s="41" t="str">
        <f>+IF(Waiting_status!$G107&lt;= 40,"Bajo",IF(Waiting_status!$G107 &gt;70,"High","Mid"))</f>
        <v>High</v>
      </c>
    </row>
    <row r="108" spans="1:8" x14ac:dyDescent="0.25">
      <c r="A108" s="38">
        <v>44</v>
      </c>
      <c r="B108" s="32" t="str">
        <f t="shared" si="1"/>
        <v>High</v>
      </c>
      <c r="F108" s="28" t="s">
        <v>64</v>
      </c>
      <c r="G108" s="40">
        <v>71.900000000000006</v>
      </c>
      <c r="H108" s="41" t="str">
        <f>+IF(Waiting_status!$G108&lt;= 40,"Bajo",IF(Waiting_status!$G108 &gt;70,"High","Mid"))</f>
        <v>High</v>
      </c>
    </row>
    <row r="109" spans="1:8" x14ac:dyDescent="0.25">
      <c r="A109" s="31">
        <v>46</v>
      </c>
      <c r="B109" s="32" t="str">
        <f t="shared" si="1"/>
        <v>High</v>
      </c>
      <c r="F109" s="29" t="s">
        <v>64</v>
      </c>
      <c r="G109" s="42">
        <v>70.5</v>
      </c>
      <c r="H109" s="41" t="str">
        <f>+IF(Waiting_status!$G109&lt;= 40,"Bajo",IF(Waiting_status!$G109 &gt;70,"High","Mid"))</f>
        <v>High</v>
      </c>
    </row>
    <row r="110" spans="1:8" x14ac:dyDescent="0.25">
      <c r="A110" s="38">
        <v>55</v>
      </c>
      <c r="B110" s="32" t="str">
        <f t="shared" si="1"/>
        <v>High</v>
      </c>
      <c r="F110" s="28" t="s">
        <v>56</v>
      </c>
      <c r="G110" s="40">
        <v>60.7</v>
      </c>
      <c r="H110" s="41" t="str">
        <f>+IF(Waiting_status!$G110&lt;= 40,"Bajo",IF(Waiting_status!$G110 &gt;70,"High","Mid"))</f>
        <v>Mid</v>
      </c>
    </row>
    <row r="111" spans="1:8" x14ac:dyDescent="0.25">
      <c r="A111" s="31">
        <v>39</v>
      </c>
      <c r="B111" s="32" t="str">
        <f t="shared" si="1"/>
        <v>mid</v>
      </c>
      <c r="F111" s="29" t="s">
        <v>41</v>
      </c>
      <c r="G111" s="42">
        <v>96.9</v>
      </c>
      <c r="H111" s="41" t="str">
        <f>+IF(Waiting_status!$G111&lt;= 40,"Bajo",IF(Waiting_status!$G111 &gt;70,"High","Mid"))</f>
        <v>High</v>
      </c>
    </row>
    <row r="112" spans="1:8" x14ac:dyDescent="0.25">
      <c r="A112" s="38">
        <v>24</v>
      </c>
      <c r="B112" s="32" t="str">
        <f t="shared" si="1"/>
        <v>mid</v>
      </c>
      <c r="F112" s="28" t="s">
        <v>31</v>
      </c>
      <c r="G112" s="40">
        <v>84.6</v>
      </c>
      <c r="H112" s="41" t="str">
        <f>+IF(Waiting_status!$G112&lt;= 40,"Bajo",IF(Waiting_status!$G112 &gt;70,"High","Mid"))</f>
        <v>High</v>
      </c>
    </row>
    <row r="113" spans="1:8" x14ac:dyDescent="0.25">
      <c r="A113" s="31">
        <v>24</v>
      </c>
      <c r="B113" s="32" t="str">
        <f t="shared" si="1"/>
        <v>mid</v>
      </c>
      <c r="F113" s="29" t="s">
        <v>16</v>
      </c>
      <c r="G113" s="42">
        <v>67.599999999999994</v>
      </c>
      <c r="H113" s="41" t="str">
        <f>+IF(Waiting_status!$G113&lt;= 40,"Bajo",IF(Waiting_status!$G113 &gt;70,"High","Mid"))</f>
        <v>Mid</v>
      </c>
    </row>
    <row r="114" spans="1:8" x14ac:dyDescent="0.25">
      <c r="A114" s="38">
        <v>41</v>
      </c>
      <c r="B114" s="32" t="str">
        <f t="shared" si="1"/>
        <v>High</v>
      </c>
      <c r="F114" s="28" t="s">
        <v>31</v>
      </c>
      <c r="G114" s="40">
        <v>69.099999999999994</v>
      </c>
      <c r="H114" s="41" t="str">
        <f>+IF(Waiting_status!$G114&lt;= 40,"Bajo",IF(Waiting_status!$G114 &gt;70,"High","Mid"))</f>
        <v>Mid</v>
      </c>
    </row>
    <row r="115" spans="1:8" x14ac:dyDescent="0.25">
      <c r="A115" s="31">
        <v>42</v>
      </c>
      <c r="B115" s="32" t="str">
        <f t="shared" si="1"/>
        <v>High</v>
      </c>
      <c r="F115" s="29" t="s">
        <v>16</v>
      </c>
      <c r="G115" s="42">
        <v>99</v>
      </c>
      <c r="H115" s="41" t="str">
        <f>+IF(Waiting_status!$G115&lt;= 40,"Bajo",IF(Waiting_status!$G115 &gt;70,"High","Mid"))</f>
        <v>High</v>
      </c>
    </row>
    <row r="116" spans="1:8" x14ac:dyDescent="0.25">
      <c r="A116" s="38">
        <v>59</v>
      </c>
      <c r="B116" s="32" t="str">
        <f t="shared" si="1"/>
        <v>High</v>
      </c>
      <c r="F116" s="28" t="s">
        <v>56</v>
      </c>
      <c r="G116" s="40">
        <v>83.9</v>
      </c>
      <c r="H116" s="41" t="str">
        <f>+IF(Waiting_status!$G116&lt;= 40,"Bajo",IF(Waiting_status!$G116 &gt;70,"High","Mid"))</f>
        <v>High</v>
      </c>
    </row>
    <row r="117" spans="1:8" x14ac:dyDescent="0.25">
      <c r="A117" s="31">
        <v>49</v>
      </c>
      <c r="B117" s="32" t="str">
        <f t="shared" si="1"/>
        <v>High</v>
      </c>
      <c r="F117" s="29" t="s">
        <v>16</v>
      </c>
      <c r="G117" s="42">
        <v>74</v>
      </c>
      <c r="H117" s="41" t="str">
        <f>+IF(Waiting_status!$G117&lt;= 40,"Bajo",IF(Waiting_status!$G117 &gt;70,"High","Mid"))</f>
        <v>High</v>
      </c>
    </row>
    <row r="118" spans="1:8" x14ac:dyDescent="0.25">
      <c r="A118" s="38">
        <v>18</v>
      </c>
      <c r="B118" s="32" t="str">
        <f t="shared" si="1"/>
        <v>Low</v>
      </c>
      <c r="F118" s="28" t="s">
        <v>48</v>
      </c>
      <c r="G118" s="40">
        <v>97.1</v>
      </c>
      <c r="H118" s="41" t="str">
        <f>+IF(Waiting_status!$G118&lt;= 40,"Bajo",IF(Waiting_status!$G118 &gt;70,"High","Mid"))</f>
        <v>High</v>
      </c>
    </row>
    <row r="119" spans="1:8" x14ac:dyDescent="0.25">
      <c r="A119" s="31">
        <v>38</v>
      </c>
      <c r="B119" s="32" t="str">
        <f t="shared" si="1"/>
        <v>mid</v>
      </c>
      <c r="F119" s="29" t="s">
        <v>61</v>
      </c>
      <c r="G119" s="42">
        <v>83.3</v>
      </c>
      <c r="H119" s="41" t="str">
        <f>+IF(Waiting_status!$G119&lt;= 40,"Bajo",IF(Waiting_status!$G119 &gt;70,"High","Mid"))</f>
        <v>High</v>
      </c>
    </row>
    <row r="120" spans="1:8" x14ac:dyDescent="0.25">
      <c r="A120" s="38">
        <v>54</v>
      </c>
      <c r="B120" s="32" t="str">
        <f t="shared" si="1"/>
        <v>High</v>
      </c>
      <c r="F120" s="28" t="s">
        <v>16</v>
      </c>
      <c r="G120" s="40">
        <v>86.8</v>
      </c>
      <c r="H120" s="41" t="str">
        <f>+IF(Waiting_status!$G120&lt;= 40,"Bajo",IF(Waiting_status!$G120 &gt;70,"High","Mid"))</f>
        <v>High</v>
      </c>
    </row>
    <row r="121" spans="1:8" x14ac:dyDescent="0.25">
      <c r="A121" s="31">
        <v>19</v>
      </c>
      <c r="B121" s="32" t="str">
        <f t="shared" si="1"/>
        <v>Low</v>
      </c>
      <c r="F121" s="29" t="s">
        <v>41</v>
      </c>
      <c r="G121" s="42">
        <v>99.1</v>
      </c>
      <c r="H121" s="41" t="str">
        <f>+IF(Waiting_status!$G121&lt;= 40,"Bajo",IF(Waiting_status!$G121 &gt;70,"High","Mid"))</f>
        <v>High</v>
      </c>
    </row>
    <row r="122" spans="1:8" x14ac:dyDescent="0.25">
      <c r="A122" s="38">
        <v>60</v>
      </c>
      <c r="B122" s="32" t="str">
        <f t="shared" si="1"/>
        <v>High</v>
      </c>
      <c r="F122" s="28" t="s">
        <v>41</v>
      </c>
      <c r="G122" s="40">
        <v>66.8</v>
      </c>
      <c r="H122" s="41" t="str">
        <f>+IF(Waiting_status!$G122&lt;= 40,"Bajo",IF(Waiting_status!$G122 &gt;70,"High","Mid"))</f>
        <v>Mid</v>
      </c>
    </row>
    <row r="123" spans="1:8" x14ac:dyDescent="0.25">
      <c r="A123" s="31">
        <v>38</v>
      </c>
      <c r="B123" s="32" t="str">
        <f t="shared" si="1"/>
        <v>mid</v>
      </c>
      <c r="F123" s="29" t="s">
        <v>22</v>
      </c>
      <c r="G123" s="42">
        <v>79.3</v>
      </c>
      <c r="H123" s="41" t="str">
        <f>+IF(Waiting_status!$G123&lt;= 40,"Bajo",IF(Waiting_status!$G123 &gt;70,"High","Mid"))</f>
        <v>High</v>
      </c>
    </row>
    <row r="124" spans="1:8" x14ac:dyDescent="0.25">
      <c r="A124" s="38">
        <v>35</v>
      </c>
      <c r="B124" s="32" t="str">
        <f t="shared" si="1"/>
        <v>mid</v>
      </c>
      <c r="F124" s="28" t="s">
        <v>64</v>
      </c>
      <c r="G124" s="40">
        <v>61.5</v>
      </c>
      <c r="H124" s="41" t="str">
        <f>+IF(Waiting_status!$G124&lt;= 40,"Bajo",IF(Waiting_status!$G124 &gt;70,"High","Mid"))</f>
        <v>Mid</v>
      </c>
    </row>
    <row r="125" spans="1:8" x14ac:dyDescent="0.25">
      <c r="A125" s="31">
        <v>36</v>
      </c>
      <c r="B125" s="32" t="str">
        <f t="shared" si="1"/>
        <v>mid</v>
      </c>
      <c r="F125" s="29" t="s">
        <v>16</v>
      </c>
      <c r="G125" s="42">
        <v>67</v>
      </c>
      <c r="H125" s="41" t="str">
        <f>+IF(Waiting_status!$G125&lt;= 40,"Bajo",IF(Waiting_status!$G125 &gt;70,"High","Mid"))</f>
        <v>Mid</v>
      </c>
    </row>
    <row r="126" spans="1:8" x14ac:dyDescent="0.25">
      <c r="A126" s="38">
        <v>46</v>
      </c>
      <c r="B126" s="32" t="str">
        <f t="shared" si="1"/>
        <v>High</v>
      </c>
      <c r="F126" s="28" t="s">
        <v>64</v>
      </c>
      <c r="G126" s="40">
        <v>75.5</v>
      </c>
      <c r="H126" s="41" t="str">
        <f>+IF(Waiting_status!$G126&lt;= 40,"Bajo",IF(Waiting_status!$G126 &gt;70,"High","Mid"))</f>
        <v>High</v>
      </c>
    </row>
    <row r="127" spans="1:8" x14ac:dyDescent="0.25">
      <c r="A127" s="31">
        <v>50</v>
      </c>
      <c r="B127" s="32" t="str">
        <f t="shared" si="1"/>
        <v>High</v>
      </c>
      <c r="F127" s="29" t="s">
        <v>28</v>
      </c>
      <c r="G127" s="42">
        <v>77.3</v>
      </c>
      <c r="H127" s="41" t="str">
        <f>+IF(Waiting_status!$G127&lt;= 40,"Bajo",IF(Waiting_status!$G127 &gt;70,"High","Mid"))</f>
        <v>High</v>
      </c>
    </row>
    <row r="128" spans="1:8" x14ac:dyDescent="0.25">
      <c r="A128" s="38">
        <v>53</v>
      </c>
      <c r="B128" s="32" t="str">
        <f t="shared" si="1"/>
        <v>High</v>
      </c>
      <c r="F128" s="28" t="s">
        <v>16</v>
      </c>
      <c r="G128" s="40">
        <v>87.4</v>
      </c>
      <c r="H128" s="41" t="str">
        <f>+IF(Waiting_status!$G128&lt;= 40,"Bajo",IF(Waiting_status!$G128 &gt;70,"High","Mid"))</f>
        <v>High</v>
      </c>
    </row>
    <row r="129" spans="1:8" x14ac:dyDescent="0.25">
      <c r="A129" s="31">
        <v>45</v>
      </c>
      <c r="B129" s="32" t="str">
        <f t="shared" si="1"/>
        <v>High</v>
      </c>
      <c r="F129" s="29" t="s">
        <v>61</v>
      </c>
      <c r="G129" s="42">
        <v>85.6</v>
      </c>
      <c r="H129" s="41" t="str">
        <f>+IF(Waiting_status!$G129&lt;= 40,"Bajo",IF(Waiting_status!$G129 &gt;70,"High","Mid"))</f>
        <v>High</v>
      </c>
    </row>
    <row r="130" spans="1:8" x14ac:dyDescent="0.25">
      <c r="A130" s="38">
        <v>32</v>
      </c>
      <c r="B130" s="32" t="str">
        <f t="shared" si="1"/>
        <v>mid</v>
      </c>
      <c r="F130" s="28" t="s">
        <v>56</v>
      </c>
      <c r="G130" s="40">
        <v>93.3</v>
      </c>
      <c r="H130" s="41" t="str">
        <f>+IF(Waiting_status!$G130&lt;= 40,"Bajo",IF(Waiting_status!$G130 &gt;70,"High","Mid"))</f>
        <v>High</v>
      </c>
    </row>
    <row r="131" spans="1:8" x14ac:dyDescent="0.25">
      <c r="A131" s="31">
        <v>20</v>
      </c>
      <c r="B131" s="32" t="str">
        <f t="shared" ref="B131:B194" si="2">+IF(A131&lt;= 20,"Low",IF(A131 &gt; 40,"High","mid"))</f>
        <v>Low</v>
      </c>
      <c r="F131" s="29" t="s">
        <v>95</v>
      </c>
      <c r="G131" s="42">
        <v>60.9</v>
      </c>
      <c r="H131" s="41" t="str">
        <f>+IF(Waiting_status!$G131&lt;= 40,"Bajo",IF(Waiting_status!$G131 &gt;70,"High","Mid"))</f>
        <v>Mid</v>
      </c>
    </row>
    <row r="132" spans="1:8" x14ac:dyDescent="0.25">
      <c r="A132" s="38">
        <v>51</v>
      </c>
      <c r="B132" s="32" t="str">
        <f t="shared" si="2"/>
        <v>High</v>
      </c>
      <c r="F132" s="28" t="s">
        <v>41</v>
      </c>
      <c r="G132" s="40">
        <v>65.099999999999994</v>
      </c>
      <c r="H132" s="41" t="str">
        <f>+IF(Waiting_status!$G132&lt;= 40,"Bajo",IF(Waiting_status!$G132 &gt;70,"High","Mid"))</f>
        <v>Mid</v>
      </c>
    </row>
    <row r="133" spans="1:8" x14ac:dyDescent="0.25">
      <c r="A133" s="31">
        <v>30</v>
      </c>
      <c r="B133" s="32" t="str">
        <f t="shared" si="2"/>
        <v>mid</v>
      </c>
      <c r="F133" s="29" t="s">
        <v>22</v>
      </c>
      <c r="G133" s="42">
        <v>81.2</v>
      </c>
      <c r="H133" s="41" t="str">
        <f>+IF(Waiting_status!$G133&lt;= 40,"Bajo",IF(Waiting_status!$G133 &gt;70,"High","Mid"))</f>
        <v>High</v>
      </c>
    </row>
    <row r="134" spans="1:8" x14ac:dyDescent="0.25">
      <c r="A134" s="38">
        <v>18</v>
      </c>
      <c r="B134" s="32" t="str">
        <f t="shared" si="2"/>
        <v>Low</v>
      </c>
      <c r="F134" s="28" t="s">
        <v>64</v>
      </c>
      <c r="G134" s="40">
        <v>69.099999999999994</v>
      </c>
      <c r="H134" s="41" t="str">
        <f>+IF(Waiting_status!$G134&lt;= 40,"Bajo",IF(Waiting_status!$G134 &gt;70,"High","Mid"))</f>
        <v>Mid</v>
      </c>
    </row>
    <row r="135" spans="1:8" x14ac:dyDescent="0.25">
      <c r="A135" s="31">
        <v>15</v>
      </c>
      <c r="B135" s="32" t="str">
        <f t="shared" si="2"/>
        <v>Low</v>
      </c>
      <c r="F135" s="29" t="s">
        <v>95</v>
      </c>
      <c r="G135" s="42">
        <v>94.9</v>
      </c>
      <c r="H135" s="41" t="str">
        <f>+IF(Waiting_status!$G135&lt;= 40,"Bajo",IF(Waiting_status!$G135 &gt;70,"High","Mid"))</f>
        <v>High</v>
      </c>
    </row>
    <row r="136" spans="1:8" x14ac:dyDescent="0.25">
      <c r="A136" s="38">
        <v>55</v>
      </c>
      <c r="B136" s="32" t="str">
        <f t="shared" si="2"/>
        <v>High</v>
      </c>
      <c r="F136" s="28" t="s">
        <v>16</v>
      </c>
      <c r="G136" s="40">
        <v>90.5</v>
      </c>
      <c r="H136" s="41" t="str">
        <f>+IF(Waiting_status!$G136&lt;= 40,"Bajo",IF(Waiting_status!$G136 &gt;70,"High","Mid"))</f>
        <v>High</v>
      </c>
    </row>
    <row r="137" spans="1:8" x14ac:dyDescent="0.25">
      <c r="A137" s="31">
        <v>54</v>
      </c>
      <c r="B137" s="32" t="str">
        <f t="shared" si="2"/>
        <v>High</v>
      </c>
      <c r="F137" s="29" t="s">
        <v>64</v>
      </c>
      <c r="G137" s="42">
        <v>61.5</v>
      </c>
      <c r="H137" s="41" t="str">
        <f>+IF(Waiting_status!$G137&lt;= 40,"Bajo",IF(Waiting_status!$G137 &gt;70,"High","Mid"))</f>
        <v>Mid</v>
      </c>
    </row>
    <row r="138" spans="1:8" x14ac:dyDescent="0.25">
      <c r="A138" s="38">
        <v>17</v>
      </c>
      <c r="B138" s="32" t="str">
        <f t="shared" si="2"/>
        <v>Low</v>
      </c>
      <c r="F138" s="28" t="s">
        <v>61</v>
      </c>
      <c r="G138" s="40">
        <v>73.400000000000006</v>
      </c>
      <c r="H138" s="41" t="str">
        <f>+IF(Waiting_status!$G138&lt;= 40,"Bajo",IF(Waiting_status!$G138 &gt;70,"High","Mid"))</f>
        <v>High</v>
      </c>
    </row>
    <row r="139" spans="1:8" x14ac:dyDescent="0.25">
      <c r="A139" s="31">
        <v>25</v>
      </c>
      <c r="B139" s="32" t="str">
        <f t="shared" si="2"/>
        <v>mid</v>
      </c>
      <c r="F139" s="29" t="s">
        <v>41</v>
      </c>
      <c r="G139" s="42">
        <v>77.7</v>
      </c>
      <c r="H139" s="41" t="str">
        <f>+IF(Waiting_status!$G139&lt;= 40,"Bajo",IF(Waiting_status!$G139 &gt;70,"High","Mid"))</f>
        <v>High</v>
      </c>
    </row>
    <row r="140" spans="1:8" x14ac:dyDescent="0.25">
      <c r="A140" s="38">
        <v>40</v>
      </c>
      <c r="B140" s="32" t="str">
        <f t="shared" si="2"/>
        <v>mid</v>
      </c>
      <c r="F140" s="28" t="s">
        <v>64</v>
      </c>
      <c r="G140" s="40">
        <v>63.8</v>
      </c>
      <c r="H140" s="41" t="str">
        <f>+IF(Waiting_status!$G140&lt;= 40,"Bajo",IF(Waiting_status!$G140 &gt;70,"High","Mid"))</f>
        <v>Mid</v>
      </c>
    </row>
    <row r="141" spans="1:8" x14ac:dyDescent="0.25">
      <c r="A141" s="31">
        <v>10</v>
      </c>
      <c r="B141" s="32" t="str">
        <f t="shared" si="2"/>
        <v>Low</v>
      </c>
      <c r="F141" s="29" t="s">
        <v>41</v>
      </c>
      <c r="G141" s="42">
        <v>97.2</v>
      </c>
      <c r="H141" s="41" t="str">
        <f>+IF(Waiting_status!$G141&lt;= 40,"Bajo",IF(Waiting_status!$G141 &gt;70,"High","Mid"))</f>
        <v>High</v>
      </c>
    </row>
    <row r="142" spans="1:8" x14ac:dyDescent="0.25">
      <c r="A142" s="38">
        <v>41</v>
      </c>
      <c r="B142" s="32" t="str">
        <f t="shared" si="2"/>
        <v>High</v>
      </c>
      <c r="F142" s="28" t="s">
        <v>28</v>
      </c>
      <c r="G142" s="40">
        <v>86.3</v>
      </c>
      <c r="H142" s="41" t="str">
        <f>+IF(Waiting_status!$G142&lt;= 40,"Bajo",IF(Waiting_status!$G142 &gt;70,"High","Mid"))</f>
        <v>High</v>
      </c>
    </row>
    <row r="143" spans="1:8" x14ac:dyDescent="0.25">
      <c r="A143" s="31">
        <v>46</v>
      </c>
      <c r="B143" s="32" t="str">
        <f t="shared" si="2"/>
        <v>High</v>
      </c>
      <c r="F143" s="29" t="s">
        <v>22</v>
      </c>
      <c r="G143" s="42">
        <v>62.6</v>
      </c>
      <c r="H143" s="41" t="str">
        <f>+IF(Waiting_status!$G143&lt;= 40,"Bajo",IF(Waiting_status!$G143 &gt;70,"High","Mid"))</f>
        <v>Mid</v>
      </c>
    </row>
    <row r="144" spans="1:8" x14ac:dyDescent="0.25">
      <c r="A144" s="38">
        <v>29</v>
      </c>
      <c r="B144" s="32" t="str">
        <f t="shared" si="2"/>
        <v>mid</v>
      </c>
      <c r="F144" s="28" t="s">
        <v>48</v>
      </c>
      <c r="G144" s="40">
        <v>68.400000000000006</v>
      </c>
      <c r="H144" s="41" t="str">
        <f>+IF(Waiting_status!$G144&lt;= 40,"Bajo",IF(Waiting_status!$G144 &gt;70,"High","Mid"))</f>
        <v>Mid</v>
      </c>
    </row>
    <row r="145" spans="1:8" x14ac:dyDescent="0.25">
      <c r="A145" s="31">
        <v>43</v>
      </c>
      <c r="B145" s="32" t="str">
        <f t="shared" si="2"/>
        <v>High</v>
      </c>
      <c r="F145" s="29" t="s">
        <v>28</v>
      </c>
      <c r="G145" s="42">
        <v>90</v>
      </c>
      <c r="H145" s="41" t="str">
        <f>+IF(Waiting_status!$G145&lt;= 40,"Bajo",IF(Waiting_status!$G145 &gt;70,"High","Mid"))</f>
        <v>High</v>
      </c>
    </row>
    <row r="146" spans="1:8" x14ac:dyDescent="0.25">
      <c r="A146" s="38">
        <v>52</v>
      </c>
      <c r="B146" s="32" t="str">
        <f t="shared" si="2"/>
        <v>High</v>
      </c>
      <c r="F146" s="28" t="s">
        <v>41</v>
      </c>
      <c r="G146" s="40">
        <v>62.9</v>
      </c>
      <c r="H146" s="41" t="str">
        <f>+IF(Waiting_status!$G146&lt;= 40,"Bajo",IF(Waiting_status!$G146 &gt;70,"High","Mid"))</f>
        <v>Mid</v>
      </c>
    </row>
    <row r="147" spans="1:8" x14ac:dyDescent="0.25">
      <c r="A147" s="31">
        <v>32</v>
      </c>
      <c r="B147" s="32" t="str">
        <f t="shared" si="2"/>
        <v>mid</v>
      </c>
      <c r="F147" s="29" t="s">
        <v>61</v>
      </c>
      <c r="G147" s="42">
        <v>87.6</v>
      </c>
      <c r="H147" s="41" t="str">
        <f>+IF(Waiting_status!$G147&lt;= 40,"Bajo",IF(Waiting_status!$G147 &gt;70,"High","Mid"))</f>
        <v>High</v>
      </c>
    </row>
    <row r="148" spans="1:8" x14ac:dyDescent="0.25">
      <c r="A148" s="38">
        <v>59</v>
      </c>
      <c r="B148" s="32" t="str">
        <f t="shared" si="2"/>
        <v>High</v>
      </c>
      <c r="F148" s="28" t="s">
        <v>95</v>
      </c>
      <c r="G148" s="40">
        <v>97.1</v>
      </c>
      <c r="H148" s="41" t="str">
        <f>+IF(Waiting_status!$G148&lt;= 40,"Bajo",IF(Waiting_status!$G148 &gt;70,"High","Mid"))</f>
        <v>High</v>
      </c>
    </row>
    <row r="149" spans="1:8" x14ac:dyDescent="0.25">
      <c r="A149" s="31">
        <v>23</v>
      </c>
      <c r="B149" s="32" t="str">
        <f t="shared" si="2"/>
        <v>mid</v>
      </c>
      <c r="F149" s="29" t="s">
        <v>48</v>
      </c>
      <c r="G149" s="42">
        <v>61.2</v>
      </c>
      <c r="H149" s="41" t="str">
        <f>+IF(Waiting_status!$G149&lt;= 40,"Bajo",IF(Waiting_status!$G149 &gt;70,"High","Mid"))</f>
        <v>Mid</v>
      </c>
    </row>
    <row r="150" spans="1:8" x14ac:dyDescent="0.25">
      <c r="A150" s="38">
        <v>18</v>
      </c>
      <c r="B150" s="32" t="str">
        <f t="shared" si="2"/>
        <v>Low</v>
      </c>
      <c r="F150" s="28" t="s">
        <v>28</v>
      </c>
      <c r="G150" s="40">
        <v>85.7</v>
      </c>
      <c r="H150" s="41" t="str">
        <f>+IF(Waiting_status!$G150&lt;= 40,"Bajo",IF(Waiting_status!$G150 &gt;70,"High","Mid"))</f>
        <v>High</v>
      </c>
    </row>
    <row r="151" spans="1:8" x14ac:dyDescent="0.25">
      <c r="A151" s="31">
        <v>16</v>
      </c>
      <c r="B151" s="32" t="str">
        <f t="shared" si="2"/>
        <v>Low</v>
      </c>
      <c r="F151" s="29" t="s">
        <v>28</v>
      </c>
      <c r="G151" s="42">
        <v>69.400000000000006</v>
      </c>
      <c r="H151" s="41" t="str">
        <f>+IF(Waiting_status!$G151&lt;= 40,"Bajo",IF(Waiting_status!$G151 &gt;70,"High","Mid"))</f>
        <v>Mid</v>
      </c>
    </row>
    <row r="152" spans="1:8" x14ac:dyDescent="0.25">
      <c r="A152" s="38">
        <v>46</v>
      </c>
      <c r="B152" s="32" t="str">
        <f t="shared" si="2"/>
        <v>High</v>
      </c>
      <c r="F152" s="28" t="s">
        <v>56</v>
      </c>
      <c r="G152" s="40">
        <v>65.3</v>
      </c>
      <c r="H152" s="41" t="str">
        <f>+IF(Waiting_status!$G152&lt;= 40,"Bajo",IF(Waiting_status!$G152 &gt;70,"High","Mid"))</f>
        <v>Mid</v>
      </c>
    </row>
    <row r="153" spans="1:8" x14ac:dyDescent="0.25">
      <c r="A153" s="31">
        <v>30</v>
      </c>
      <c r="B153" s="32" t="str">
        <f t="shared" si="2"/>
        <v>mid</v>
      </c>
      <c r="F153" s="29" t="s">
        <v>48</v>
      </c>
      <c r="G153" s="42">
        <v>83.3</v>
      </c>
      <c r="H153" s="41" t="str">
        <f>+IF(Waiting_status!$G153&lt;= 40,"Bajo",IF(Waiting_status!$G153 &gt;70,"High","Mid"))</f>
        <v>High</v>
      </c>
    </row>
    <row r="154" spans="1:8" x14ac:dyDescent="0.25">
      <c r="A154" s="38">
        <v>30</v>
      </c>
      <c r="B154" s="32" t="str">
        <f t="shared" si="2"/>
        <v>mid</v>
      </c>
      <c r="F154" s="28" t="s">
        <v>61</v>
      </c>
      <c r="G154" s="40">
        <v>90.4</v>
      </c>
      <c r="H154" s="41" t="str">
        <f>+IF(Waiting_status!$G154&lt;= 40,"Bajo",IF(Waiting_status!$G154 &gt;70,"High","Mid"))</f>
        <v>High</v>
      </c>
    </row>
    <row r="155" spans="1:8" x14ac:dyDescent="0.25">
      <c r="A155" s="31">
        <v>39</v>
      </c>
      <c r="B155" s="32" t="str">
        <f t="shared" si="2"/>
        <v>mid</v>
      </c>
      <c r="F155" s="29" t="s">
        <v>48</v>
      </c>
      <c r="G155" s="42">
        <v>91.1</v>
      </c>
      <c r="H155" s="41" t="str">
        <f>+IF(Waiting_status!$G155&lt;= 40,"Bajo",IF(Waiting_status!$G155 &gt;70,"High","Mid"))</f>
        <v>High</v>
      </c>
    </row>
    <row r="156" spans="1:8" x14ac:dyDescent="0.25">
      <c r="A156" s="38">
        <v>44</v>
      </c>
      <c r="B156" s="32" t="str">
        <f t="shared" si="2"/>
        <v>High</v>
      </c>
      <c r="F156" s="28" t="s">
        <v>22</v>
      </c>
      <c r="G156" s="40">
        <v>85.7</v>
      </c>
      <c r="H156" s="41" t="str">
        <f>+IF(Waiting_status!$G156&lt;= 40,"Bajo",IF(Waiting_status!$G156 &gt;70,"High","Mid"))</f>
        <v>High</v>
      </c>
    </row>
    <row r="157" spans="1:8" x14ac:dyDescent="0.25">
      <c r="A157" s="31">
        <v>26</v>
      </c>
      <c r="B157" s="32" t="str">
        <f t="shared" si="2"/>
        <v>mid</v>
      </c>
      <c r="F157" s="29" t="s">
        <v>28</v>
      </c>
      <c r="G157" s="42">
        <v>93.3</v>
      </c>
      <c r="H157" s="41" t="str">
        <f>+IF(Waiting_status!$G157&lt;= 40,"Bajo",IF(Waiting_status!$G157 &gt;70,"High","Mid"))</f>
        <v>High</v>
      </c>
    </row>
    <row r="158" spans="1:8" x14ac:dyDescent="0.25">
      <c r="A158" s="38">
        <v>59</v>
      </c>
      <c r="B158" s="32" t="str">
        <f t="shared" si="2"/>
        <v>High</v>
      </c>
      <c r="F158" s="28" t="s">
        <v>41</v>
      </c>
      <c r="G158" s="40">
        <v>69.2</v>
      </c>
      <c r="H158" s="41" t="str">
        <f>+IF(Waiting_status!$G158&lt;= 40,"Bajo",IF(Waiting_status!$G158 &gt;70,"High","Mid"))</f>
        <v>Mid</v>
      </c>
    </row>
    <row r="159" spans="1:8" x14ac:dyDescent="0.25">
      <c r="A159" s="31">
        <v>49</v>
      </c>
      <c r="B159" s="32" t="str">
        <f t="shared" si="2"/>
        <v>High</v>
      </c>
      <c r="F159" s="29" t="s">
        <v>48</v>
      </c>
      <c r="G159" s="42">
        <v>61.7</v>
      </c>
      <c r="H159" s="41" t="str">
        <f>+IF(Waiting_status!$G159&lt;= 40,"Bajo",IF(Waiting_status!$G159 &gt;70,"High","Mid"))</f>
        <v>Mid</v>
      </c>
    </row>
    <row r="160" spans="1:8" x14ac:dyDescent="0.25">
      <c r="A160" s="38">
        <v>56</v>
      </c>
      <c r="B160" s="32" t="str">
        <f t="shared" si="2"/>
        <v>High</v>
      </c>
      <c r="F160" s="28" t="s">
        <v>95</v>
      </c>
      <c r="G160" s="40">
        <v>72.8</v>
      </c>
      <c r="H160" s="41" t="str">
        <f>+IF(Waiting_status!$G160&lt;= 40,"Bajo",IF(Waiting_status!$G160 &gt;70,"High","Mid"))</f>
        <v>High</v>
      </c>
    </row>
    <row r="161" spans="1:8" x14ac:dyDescent="0.25">
      <c r="A161" s="31">
        <v>22</v>
      </c>
      <c r="B161" s="32" t="str">
        <f t="shared" si="2"/>
        <v>mid</v>
      </c>
      <c r="F161" s="29" t="s">
        <v>28</v>
      </c>
      <c r="G161" s="42">
        <v>67.5</v>
      </c>
      <c r="H161" s="41" t="str">
        <f>+IF(Waiting_status!$G161&lt;= 40,"Bajo",IF(Waiting_status!$G161 &gt;70,"High","Mid"))</f>
        <v>Mid</v>
      </c>
    </row>
    <row r="162" spans="1:8" x14ac:dyDescent="0.25">
      <c r="A162" s="38">
        <v>45</v>
      </c>
      <c r="B162" s="32" t="str">
        <f t="shared" si="2"/>
        <v>High</v>
      </c>
      <c r="F162" s="28" t="s">
        <v>22</v>
      </c>
      <c r="G162" s="40">
        <v>76.099999999999994</v>
      </c>
      <c r="H162" s="41" t="str">
        <f>+IF(Waiting_status!$G162&lt;= 40,"Bajo",IF(Waiting_status!$G162 &gt;70,"High","Mid"))</f>
        <v>High</v>
      </c>
    </row>
    <row r="163" spans="1:8" x14ac:dyDescent="0.25">
      <c r="A163" s="31">
        <v>28</v>
      </c>
      <c r="B163" s="32" t="str">
        <f t="shared" si="2"/>
        <v>mid</v>
      </c>
      <c r="F163" s="29" t="s">
        <v>56</v>
      </c>
      <c r="G163" s="42">
        <v>97.5</v>
      </c>
      <c r="H163" s="41" t="str">
        <f>+IF(Waiting_status!$G163&lt;= 40,"Bajo",IF(Waiting_status!$G163 &gt;70,"High","Mid"))</f>
        <v>High</v>
      </c>
    </row>
    <row r="164" spans="1:8" x14ac:dyDescent="0.25">
      <c r="A164" s="38">
        <v>34</v>
      </c>
      <c r="B164" s="32" t="str">
        <f t="shared" si="2"/>
        <v>mid</v>
      </c>
      <c r="F164" s="28" t="s">
        <v>48</v>
      </c>
      <c r="G164" s="40">
        <v>87.8</v>
      </c>
      <c r="H164" s="41" t="str">
        <f>+IF(Waiting_status!$G164&lt;= 40,"Bajo",IF(Waiting_status!$G164 &gt;70,"High","Mid"))</f>
        <v>High</v>
      </c>
    </row>
    <row r="165" spans="1:8" x14ac:dyDescent="0.25">
      <c r="A165" s="31">
        <v>48</v>
      </c>
      <c r="B165" s="32" t="str">
        <f t="shared" si="2"/>
        <v>High</v>
      </c>
      <c r="F165" s="29" t="s">
        <v>61</v>
      </c>
      <c r="G165" s="42">
        <v>84.6</v>
      </c>
      <c r="H165" s="41" t="str">
        <f>+IF(Waiting_status!$G165&lt;= 40,"Bajo",IF(Waiting_status!$G165 &gt;70,"High","Mid"))</f>
        <v>High</v>
      </c>
    </row>
    <row r="166" spans="1:8" x14ac:dyDescent="0.25">
      <c r="A166" s="38">
        <v>23</v>
      </c>
      <c r="B166" s="32" t="str">
        <f t="shared" si="2"/>
        <v>mid</v>
      </c>
      <c r="F166" s="28" t="s">
        <v>22</v>
      </c>
      <c r="G166" s="40">
        <v>65.5</v>
      </c>
      <c r="H166" s="41" t="str">
        <f>+IF(Waiting_status!$G166&lt;= 40,"Bajo",IF(Waiting_status!$G166 &gt;70,"High","Mid"))</f>
        <v>Mid</v>
      </c>
    </row>
    <row r="167" spans="1:8" x14ac:dyDescent="0.25">
      <c r="A167" s="31">
        <v>24</v>
      </c>
      <c r="B167" s="32" t="str">
        <f t="shared" si="2"/>
        <v>mid</v>
      </c>
      <c r="F167" s="29" t="s">
        <v>28</v>
      </c>
      <c r="G167" s="42">
        <v>60.4</v>
      </c>
      <c r="H167" s="41" t="str">
        <f>+IF(Waiting_status!$G167&lt;= 40,"Bajo",IF(Waiting_status!$G167 &gt;70,"High","Mid"))</f>
        <v>Mid</v>
      </c>
    </row>
    <row r="168" spans="1:8" x14ac:dyDescent="0.25">
      <c r="A168" s="38">
        <v>57</v>
      </c>
      <c r="B168" s="32" t="str">
        <f t="shared" si="2"/>
        <v>High</v>
      </c>
      <c r="F168" s="28" t="s">
        <v>41</v>
      </c>
      <c r="G168" s="40">
        <v>81.3</v>
      </c>
      <c r="H168" s="41" t="str">
        <f>+IF(Waiting_status!$G168&lt;= 40,"Bajo",IF(Waiting_status!$G168 &gt;70,"High","Mid"))</f>
        <v>High</v>
      </c>
    </row>
    <row r="169" spans="1:8" x14ac:dyDescent="0.25">
      <c r="A169" s="31">
        <v>21</v>
      </c>
      <c r="B169" s="32" t="str">
        <f t="shared" si="2"/>
        <v>mid</v>
      </c>
      <c r="F169" s="29" t="s">
        <v>56</v>
      </c>
      <c r="G169" s="42">
        <v>72</v>
      </c>
      <c r="H169" s="41" t="str">
        <f>+IF(Waiting_status!$G169&lt;= 40,"Bajo",IF(Waiting_status!$G169 &gt;70,"High","Mid"))</f>
        <v>High</v>
      </c>
    </row>
    <row r="170" spans="1:8" x14ac:dyDescent="0.25">
      <c r="A170" s="38">
        <v>24</v>
      </c>
      <c r="B170" s="32" t="str">
        <f t="shared" si="2"/>
        <v>mid</v>
      </c>
      <c r="F170" s="28" t="s">
        <v>95</v>
      </c>
      <c r="G170" s="40">
        <v>88.2</v>
      </c>
      <c r="H170" s="41" t="str">
        <f>+IF(Waiting_status!$G170&lt;= 40,"Bajo",IF(Waiting_status!$G170 &gt;70,"High","Mid"))</f>
        <v>High</v>
      </c>
    </row>
    <row r="171" spans="1:8" x14ac:dyDescent="0.25">
      <c r="A171" s="31">
        <v>34</v>
      </c>
      <c r="B171" s="32" t="str">
        <f t="shared" si="2"/>
        <v>mid</v>
      </c>
      <c r="F171" s="29" t="s">
        <v>41</v>
      </c>
      <c r="G171" s="42">
        <v>85</v>
      </c>
      <c r="H171" s="41" t="str">
        <f>+IF(Waiting_status!$G171&lt;= 40,"Bajo",IF(Waiting_status!$G171 &gt;70,"High","Mid"))</f>
        <v>High</v>
      </c>
    </row>
    <row r="172" spans="1:8" x14ac:dyDescent="0.25">
      <c r="A172" s="38">
        <v>60</v>
      </c>
      <c r="B172" s="32" t="str">
        <f t="shared" si="2"/>
        <v>High</v>
      </c>
      <c r="F172" s="28" t="s">
        <v>41</v>
      </c>
      <c r="G172" s="40">
        <v>66.8</v>
      </c>
      <c r="H172" s="41" t="str">
        <f>+IF(Waiting_status!$G172&lt;= 40,"Bajo",IF(Waiting_status!$G172 &gt;70,"High","Mid"))</f>
        <v>Mid</v>
      </c>
    </row>
    <row r="173" spans="1:8" x14ac:dyDescent="0.25">
      <c r="A173" s="31">
        <v>20</v>
      </c>
      <c r="B173" s="32" t="str">
        <f t="shared" si="2"/>
        <v>Low</v>
      </c>
      <c r="F173" s="29" t="s">
        <v>95</v>
      </c>
      <c r="G173" s="42">
        <v>90.6</v>
      </c>
      <c r="H173" s="41" t="str">
        <f>+IF(Waiting_status!$G173&lt;= 40,"Bajo",IF(Waiting_status!$G173 &gt;70,"High","Mid"))</f>
        <v>High</v>
      </c>
    </row>
    <row r="174" spans="1:8" x14ac:dyDescent="0.25">
      <c r="A174" s="38">
        <v>26</v>
      </c>
      <c r="B174" s="32" t="str">
        <f t="shared" si="2"/>
        <v>mid</v>
      </c>
      <c r="F174" s="28" t="s">
        <v>31</v>
      </c>
      <c r="G174" s="40">
        <v>96.2</v>
      </c>
      <c r="H174" s="41" t="str">
        <f>+IF(Waiting_status!$G174&lt;= 40,"Bajo",IF(Waiting_status!$G174 &gt;70,"High","Mid"))</f>
        <v>High</v>
      </c>
    </row>
    <row r="175" spans="1:8" x14ac:dyDescent="0.25">
      <c r="A175" s="31">
        <v>27</v>
      </c>
      <c r="B175" s="32" t="str">
        <f t="shared" si="2"/>
        <v>mid</v>
      </c>
      <c r="F175" s="29" t="s">
        <v>22</v>
      </c>
      <c r="G175" s="42">
        <v>62.2</v>
      </c>
      <c r="H175" s="41" t="str">
        <f>+IF(Waiting_status!$G175&lt;= 40,"Bajo",IF(Waiting_status!$G175 &gt;70,"High","Mid"))</f>
        <v>Mid</v>
      </c>
    </row>
    <row r="176" spans="1:8" x14ac:dyDescent="0.25">
      <c r="A176" s="38">
        <v>22</v>
      </c>
      <c r="B176" s="32" t="str">
        <f t="shared" si="2"/>
        <v>mid</v>
      </c>
      <c r="F176" s="28" t="s">
        <v>48</v>
      </c>
      <c r="G176" s="40">
        <v>94.3</v>
      </c>
      <c r="H176" s="41" t="str">
        <f>+IF(Waiting_status!$G176&lt;= 40,"Bajo",IF(Waiting_status!$G176 &gt;70,"High","Mid"))</f>
        <v>High</v>
      </c>
    </row>
    <row r="177" spans="1:8" x14ac:dyDescent="0.25">
      <c r="A177" s="31">
        <v>20</v>
      </c>
      <c r="B177" s="32" t="str">
        <f t="shared" si="2"/>
        <v>Low</v>
      </c>
      <c r="F177" s="29" t="s">
        <v>64</v>
      </c>
      <c r="G177" s="42">
        <v>98.4</v>
      </c>
      <c r="H177" s="41" t="str">
        <f>+IF(Waiting_status!$G177&lt;= 40,"Bajo",IF(Waiting_status!$G177 &gt;70,"High","Mid"))</f>
        <v>High</v>
      </c>
    </row>
    <row r="178" spans="1:8" x14ac:dyDescent="0.25">
      <c r="A178" s="38">
        <v>18</v>
      </c>
      <c r="B178" s="32" t="str">
        <f t="shared" si="2"/>
        <v>Low</v>
      </c>
      <c r="F178" s="28" t="s">
        <v>48</v>
      </c>
      <c r="G178" s="40">
        <v>61.1</v>
      </c>
      <c r="H178" s="41" t="str">
        <f>+IF(Waiting_status!$G178&lt;= 40,"Bajo",IF(Waiting_status!$G178 &gt;70,"High","Mid"))</f>
        <v>Mid</v>
      </c>
    </row>
    <row r="179" spans="1:8" x14ac:dyDescent="0.25">
      <c r="A179" s="31">
        <v>41</v>
      </c>
      <c r="B179" s="32" t="str">
        <f t="shared" si="2"/>
        <v>High</v>
      </c>
      <c r="F179" s="29" t="s">
        <v>31</v>
      </c>
      <c r="G179" s="42">
        <v>97.7</v>
      </c>
      <c r="H179" s="41" t="str">
        <f>+IF(Waiting_status!$G179&lt;= 40,"Bajo",IF(Waiting_status!$G179 &gt;70,"High","Mid"))</f>
        <v>High</v>
      </c>
    </row>
    <row r="180" spans="1:8" x14ac:dyDescent="0.25">
      <c r="A180" s="38">
        <v>49</v>
      </c>
      <c r="B180" s="32" t="str">
        <f t="shared" si="2"/>
        <v>High</v>
      </c>
      <c r="F180" s="28" t="s">
        <v>56</v>
      </c>
      <c r="G180" s="40">
        <v>77.8</v>
      </c>
      <c r="H180" s="41" t="str">
        <f>+IF(Waiting_status!$G180&lt;= 40,"Bajo",IF(Waiting_status!$G180 &gt;70,"High","Mid"))</f>
        <v>High</v>
      </c>
    </row>
    <row r="181" spans="1:8" x14ac:dyDescent="0.25">
      <c r="A181" s="31">
        <v>51</v>
      </c>
      <c r="B181" s="32" t="str">
        <f t="shared" si="2"/>
        <v>High</v>
      </c>
      <c r="F181" s="29" t="s">
        <v>41</v>
      </c>
      <c r="G181" s="42">
        <v>64.7</v>
      </c>
      <c r="H181" s="41" t="str">
        <f>+IF(Waiting_status!$G181&lt;= 40,"Bajo",IF(Waiting_status!$G181 &gt;70,"High","Mid"))</f>
        <v>Mid</v>
      </c>
    </row>
    <row r="182" spans="1:8" x14ac:dyDescent="0.25">
      <c r="A182" s="38">
        <v>51</v>
      </c>
      <c r="B182" s="32" t="str">
        <f t="shared" si="2"/>
        <v>High</v>
      </c>
      <c r="F182" s="28" t="s">
        <v>64</v>
      </c>
      <c r="G182" s="40">
        <v>87.9</v>
      </c>
      <c r="H182" s="41" t="str">
        <f>+IF(Waiting_status!$G182&lt;= 40,"Bajo",IF(Waiting_status!$G182 &gt;70,"High","Mid"))</f>
        <v>High</v>
      </c>
    </row>
    <row r="183" spans="1:8" x14ac:dyDescent="0.25">
      <c r="A183" s="31">
        <v>19</v>
      </c>
      <c r="B183" s="32" t="str">
        <f t="shared" si="2"/>
        <v>Low</v>
      </c>
      <c r="F183" s="29" t="s">
        <v>28</v>
      </c>
      <c r="G183" s="42">
        <v>77.400000000000006</v>
      </c>
      <c r="H183" s="41" t="str">
        <f>+IF(Waiting_status!$G183&lt;= 40,"Bajo",IF(Waiting_status!$G183 &gt;70,"High","Mid"))</f>
        <v>High</v>
      </c>
    </row>
    <row r="184" spans="1:8" x14ac:dyDescent="0.25">
      <c r="A184" s="38">
        <v>49</v>
      </c>
      <c r="B184" s="32" t="str">
        <f t="shared" si="2"/>
        <v>High</v>
      </c>
      <c r="F184" s="28" t="s">
        <v>56</v>
      </c>
      <c r="G184" s="40">
        <v>98.5</v>
      </c>
      <c r="H184" s="41" t="str">
        <f>+IF(Waiting_status!$G184&lt;= 40,"Bajo",IF(Waiting_status!$G184 &gt;70,"High","Mid"))</f>
        <v>High</v>
      </c>
    </row>
    <row r="185" spans="1:8" x14ac:dyDescent="0.25">
      <c r="A185" s="31">
        <v>33</v>
      </c>
      <c r="B185" s="32" t="str">
        <f t="shared" si="2"/>
        <v>mid</v>
      </c>
      <c r="F185" s="29" t="s">
        <v>28</v>
      </c>
      <c r="G185" s="42">
        <v>74.3</v>
      </c>
      <c r="H185" s="41" t="str">
        <f>+IF(Waiting_status!$G185&lt;= 40,"Bajo",IF(Waiting_status!$G185 &gt;70,"High","Mid"))</f>
        <v>High</v>
      </c>
    </row>
    <row r="186" spans="1:8" x14ac:dyDescent="0.25">
      <c r="A186" s="38">
        <v>57</v>
      </c>
      <c r="B186" s="32" t="str">
        <f t="shared" si="2"/>
        <v>High</v>
      </c>
      <c r="F186" s="28" t="s">
        <v>41</v>
      </c>
      <c r="G186" s="40">
        <v>98.9</v>
      </c>
      <c r="H186" s="41" t="str">
        <f>+IF(Waiting_status!$G186&lt;= 40,"Bajo",IF(Waiting_status!$G186 &gt;70,"High","Mid"))</f>
        <v>High</v>
      </c>
    </row>
    <row r="187" spans="1:8" x14ac:dyDescent="0.25">
      <c r="A187" s="31">
        <v>30</v>
      </c>
      <c r="B187" s="32" t="str">
        <f t="shared" si="2"/>
        <v>mid</v>
      </c>
      <c r="F187" s="29" t="s">
        <v>22</v>
      </c>
      <c r="G187" s="42">
        <v>81.099999999999994</v>
      </c>
      <c r="H187" s="41" t="str">
        <f>+IF(Waiting_status!$G187&lt;= 40,"Bajo",IF(Waiting_status!$G187 &gt;70,"High","Mid"))</f>
        <v>High</v>
      </c>
    </row>
    <row r="188" spans="1:8" x14ac:dyDescent="0.25">
      <c r="A188" s="38">
        <v>55</v>
      </c>
      <c r="B188" s="32" t="str">
        <f t="shared" si="2"/>
        <v>High</v>
      </c>
      <c r="F188" s="28" t="s">
        <v>31</v>
      </c>
      <c r="G188" s="40">
        <v>83.2</v>
      </c>
      <c r="H188" s="41" t="str">
        <f>+IF(Waiting_status!$G188&lt;= 40,"Bajo",IF(Waiting_status!$G188 &gt;70,"High","Mid"))</f>
        <v>High</v>
      </c>
    </row>
    <row r="189" spans="1:8" x14ac:dyDescent="0.25">
      <c r="A189" s="31">
        <v>46</v>
      </c>
      <c r="B189" s="32" t="str">
        <f t="shared" si="2"/>
        <v>High</v>
      </c>
      <c r="F189" s="29" t="s">
        <v>61</v>
      </c>
      <c r="G189" s="42">
        <v>69.5</v>
      </c>
      <c r="H189" s="41" t="str">
        <f>+IF(Waiting_status!$G189&lt;= 40,"Bajo",IF(Waiting_status!$G189 &gt;70,"High","Mid"))</f>
        <v>Mid</v>
      </c>
    </row>
    <row r="190" spans="1:8" x14ac:dyDescent="0.25">
      <c r="A190" s="38">
        <v>15</v>
      </c>
      <c r="B190" s="32" t="str">
        <f t="shared" si="2"/>
        <v>Low</v>
      </c>
      <c r="F190" s="28" t="s">
        <v>41</v>
      </c>
      <c r="G190" s="40">
        <v>76.3</v>
      </c>
      <c r="H190" s="41" t="str">
        <f>+IF(Waiting_status!$G190&lt;= 40,"Bajo",IF(Waiting_status!$G190 &gt;70,"High","Mid"))</f>
        <v>High</v>
      </c>
    </row>
    <row r="191" spans="1:8" x14ac:dyDescent="0.25">
      <c r="A191" s="31">
        <v>39</v>
      </c>
      <c r="B191" s="32" t="str">
        <f t="shared" si="2"/>
        <v>mid</v>
      </c>
      <c r="F191" s="29" t="s">
        <v>48</v>
      </c>
      <c r="G191" s="42">
        <v>71.8</v>
      </c>
      <c r="H191" s="41" t="str">
        <f>+IF(Waiting_status!$G191&lt;= 40,"Bajo",IF(Waiting_status!$G191 &gt;70,"High","Mid"))</f>
        <v>High</v>
      </c>
    </row>
    <row r="192" spans="1:8" x14ac:dyDescent="0.25">
      <c r="A192" s="38">
        <v>40</v>
      </c>
      <c r="B192" s="32" t="str">
        <f t="shared" si="2"/>
        <v>mid</v>
      </c>
      <c r="F192" s="28" t="s">
        <v>22</v>
      </c>
      <c r="G192" s="40">
        <v>82.9</v>
      </c>
      <c r="H192" s="41" t="str">
        <f>+IF(Waiting_status!$G192&lt;= 40,"Bajo",IF(Waiting_status!$G192 &gt;70,"High","Mid"))</f>
        <v>High</v>
      </c>
    </row>
    <row r="193" spans="1:8" x14ac:dyDescent="0.25">
      <c r="A193" s="31">
        <v>35</v>
      </c>
      <c r="B193" s="32" t="str">
        <f t="shared" si="2"/>
        <v>mid</v>
      </c>
      <c r="F193" s="29" t="s">
        <v>31</v>
      </c>
      <c r="G193" s="42">
        <v>73.400000000000006</v>
      </c>
      <c r="H193" s="41" t="str">
        <f>+IF(Waiting_status!$G193&lt;= 40,"Bajo",IF(Waiting_status!$G193 &gt;70,"High","Mid"))</f>
        <v>High</v>
      </c>
    </row>
    <row r="194" spans="1:8" x14ac:dyDescent="0.25">
      <c r="A194" s="38">
        <v>18</v>
      </c>
      <c r="B194" s="32" t="str">
        <f t="shared" si="2"/>
        <v>Low</v>
      </c>
      <c r="F194" s="28" t="s">
        <v>64</v>
      </c>
      <c r="G194" s="40">
        <v>62.8</v>
      </c>
      <c r="H194" s="41" t="str">
        <f>+IF(Waiting_status!$G194&lt;= 40,"Bajo",IF(Waiting_status!$G194 &gt;70,"High","Mid"))</f>
        <v>Mid</v>
      </c>
    </row>
    <row r="195" spans="1:8" x14ac:dyDescent="0.25">
      <c r="A195" s="31">
        <v>52</v>
      </c>
      <c r="B195" s="32" t="str">
        <f t="shared" ref="B195:B258" si="3">+IF(A195&lt;= 20,"Low",IF(A195 &gt; 40,"High","mid"))</f>
        <v>High</v>
      </c>
      <c r="F195" s="29" t="s">
        <v>56</v>
      </c>
      <c r="G195" s="42">
        <v>89.5</v>
      </c>
      <c r="H195" s="41" t="str">
        <f>+IF(Waiting_status!$G195&lt;= 40,"Bajo",IF(Waiting_status!$G195 &gt;70,"High","Mid"))</f>
        <v>High</v>
      </c>
    </row>
    <row r="196" spans="1:8" x14ac:dyDescent="0.25">
      <c r="A196" s="38">
        <v>33</v>
      </c>
      <c r="B196" s="32" t="str">
        <f t="shared" si="3"/>
        <v>mid</v>
      </c>
      <c r="F196" s="28" t="s">
        <v>22</v>
      </c>
      <c r="G196" s="40">
        <v>88.2</v>
      </c>
      <c r="H196" s="41" t="str">
        <f>+IF(Waiting_status!$G196&lt;= 40,"Bajo",IF(Waiting_status!$G196 &gt;70,"High","Mid"))</f>
        <v>High</v>
      </c>
    </row>
    <row r="197" spans="1:8" x14ac:dyDescent="0.25">
      <c r="A197" s="31">
        <v>18</v>
      </c>
      <c r="B197" s="32" t="str">
        <f t="shared" si="3"/>
        <v>Low</v>
      </c>
      <c r="F197" s="29" t="s">
        <v>56</v>
      </c>
      <c r="G197" s="42">
        <v>73.5</v>
      </c>
      <c r="H197" s="41" t="str">
        <f>+IF(Waiting_status!$G197&lt;= 40,"Bajo",IF(Waiting_status!$G197 &gt;70,"High","Mid"))</f>
        <v>High</v>
      </c>
    </row>
    <row r="198" spans="1:8" x14ac:dyDescent="0.25">
      <c r="A198" s="38">
        <v>23</v>
      </c>
      <c r="B198" s="32" t="str">
        <f t="shared" si="3"/>
        <v>mid</v>
      </c>
      <c r="F198" s="28" t="s">
        <v>31</v>
      </c>
      <c r="G198" s="40">
        <v>93.6</v>
      </c>
      <c r="H198" s="41" t="str">
        <f>+IF(Waiting_status!$G198&lt;= 40,"Bajo",IF(Waiting_status!$G198 &gt;70,"High","Mid"))</f>
        <v>High</v>
      </c>
    </row>
    <row r="199" spans="1:8" x14ac:dyDescent="0.25">
      <c r="A199" s="31">
        <v>10</v>
      </c>
      <c r="B199" s="32" t="str">
        <f t="shared" si="3"/>
        <v>Low</v>
      </c>
      <c r="F199" s="29" t="s">
        <v>95</v>
      </c>
      <c r="G199" s="42">
        <v>81.900000000000006</v>
      </c>
      <c r="H199" s="41" t="str">
        <f>+IF(Waiting_status!$G199&lt;= 40,"Bajo",IF(Waiting_status!$G199 &gt;70,"High","Mid"))</f>
        <v>High</v>
      </c>
    </row>
    <row r="200" spans="1:8" x14ac:dyDescent="0.25">
      <c r="A200" s="38">
        <v>60</v>
      </c>
      <c r="B200" s="32" t="str">
        <f t="shared" si="3"/>
        <v>High</v>
      </c>
      <c r="F200" s="28" t="s">
        <v>95</v>
      </c>
      <c r="G200" s="40">
        <v>68.400000000000006</v>
      </c>
      <c r="H200" s="41" t="str">
        <f>+IF(Waiting_status!$G200&lt;= 40,"Bajo",IF(Waiting_status!$G200 &gt;70,"High","Mid"))</f>
        <v>Mid</v>
      </c>
    </row>
    <row r="201" spans="1:8" x14ac:dyDescent="0.25">
      <c r="A201" s="31">
        <v>51</v>
      </c>
      <c r="B201" s="32" t="str">
        <f t="shared" si="3"/>
        <v>High</v>
      </c>
      <c r="F201" s="29" t="s">
        <v>16</v>
      </c>
      <c r="G201" s="42">
        <v>84.9</v>
      </c>
      <c r="H201" s="41" t="str">
        <f>+IF(Waiting_status!$G201&lt;= 40,"Bajo",IF(Waiting_status!$G201 &gt;70,"High","Mid"))</f>
        <v>High</v>
      </c>
    </row>
    <row r="202" spans="1:8" x14ac:dyDescent="0.25">
      <c r="A202" s="38">
        <v>57</v>
      </c>
      <c r="B202" s="32" t="str">
        <f t="shared" si="3"/>
        <v>High</v>
      </c>
      <c r="F202" s="28" t="s">
        <v>22</v>
      </c>
      <c r="G202" s="40">
        <v>75.3</v>
      </c>
      <c r="H202" s="41" t="str">
        <f>+IF(Waiting_status!$G202&lt;= 40,"Bajo",IF(Waiting_status!$G202 &gt;70,"High","Mid"))</f>
        <v>High</v>
      </c>
    </row>
    <row r="203" spans="1:8" x14ac:dyDescent="0.25">
      <c r="A203" s="31">
        <v>42</v>
      </c>
      <c r="B203" s="32" t="str">
        <f t="shared" si="3"/>
        <v>High</v>
      </c>
      <c r="F203" s="29" t="s">
        <v>41</v>
      </c>
      <c r="G203" s="42">
        <v>63.3</v>
      </c>
      <c r="H203" s="41" t="str">
        <f>+IF(Waiting_status!$G203&lt;= 40,"Bajo",IF(Waiting_status!$G203 &gt;70,"High","Mid"))</f>
        <v>Mid</v>
      </c>
    </row>
    <row r="204" spans="1:8" x14ac:dyDescent="0.25">
      <c r="A204" s="38">
        <v>35</v>
      </c>
      <c r="B204" s="32" t="str">
        <f t="shared" si="3"/>
        <v>mid</v>
      </c>
      <c r="F204" s="28" t="s">
        <v>64</v>
      </c>
      <c r="G204" s="40">
        <v>90.8</v>
      </c>
      <c r="H204" s="41" t="str">
        <f>+IF(Waiting_status!$G204&lt;= 40,"Bajo",IF(Waiting_status!$G204 &gt;70,"High","Mid"))</f>
        <v>High</v>
      </c>
    </row>
    <row r="205" spans="1:8" x14ac:dyDescent="0.25">
      <c r="A205" s="31">
        <v>12</v>
      </c>
      <c r="B205" s="32" t="str">
        <f t="shared" si="3"/>
        <v>Low</v>
      </c>
      <c r="F205" s="29" t="s">
        <v>28</v>
      </c>
      <c r="G205" s="42">
        <v>64.5</v>
      </c>
      <c r="H205" s="41" t="str">
        <f>+IF(Waiting_status!$G205&lt;= 40,"Bajo",IF(Waiting_status!$G205 &gt;70,"High","Mid"))</f>
        <v>Mid</v>
      </c>
    </row>
    <row r="206" spans="1:8" x14ac:dyDescent="0.25">
      <c r="A206" s="38">
        <v>15</v>
      </c>
      <c r="B206" s="32" t="str">
        <f t="shared" si="3"/>
        <v>Low</v>
      </c>
      <c r="F206" s="28" t="s">
        <v>41</v>
      </c>
      <c r="G206" s="40">
        <v>73.2</v>
      </c>
      <c r="H206" s="41" t="str">
        <f>+IF(Waiting_status!$G206&lt;= 40,"Bajo",IF(Waiting_status!$G206 &gt;70,"High","Mid"))</f>
        <v>High</v>
      </c>
    </row>
    <row r="207" spans="1:8" x14ac:dyDescent="0.25">
      <c r="A207" s="31">
        <v>24</v>
      </c>
      <c r="B207" s="32" t="str">
        <f t="shared" si="3"/>
        <v>mid</v>
      </c>
      <c r="F207" s="29" t="s">
        <v>48</v>
      </c>
      <c r="G207" s="42">
        <v>64.7</v>
      </c>
      <c r="H207" s="41" t="str">
        <f>+IF(Waiting_status!$G207&lt;= 40,"Bajo",IF(Waiting_status!$G207 &gt;70,"High","Mid"))</f>
        <v>Mid</v>
      </c>
    </row>
    <row r="208" spans="1:8" x14ac:dyDescent="0.25">
      <c r="A208" s="38">
        <v>50</v>
      </c>
      <c r="B208" s="32" t="str">
        <f t="shared" si="3"/>
        <v>High</v>
      </c>
      <c r="F208" s="28" t="s">
        <v>64</v>
      </c>
      <c r="G208" s="40">
        <v>63.3</v>
      </c>
      <c r="H208" s="41" t="str">
        <f>+IF(Waiting_status!$G208&lt;= 40,"Bajo",IF(Waiting_status!$G208 &gt;70,"High","Mid"))</f>
        <v>Mid</v>
      </c>
    </row>
    <row r="209" spans="1:8" x14ac:dyDescent="0.25">
      <c r="A209" s="31">
        <v>55</v>
      </c>
      <c r="B209" s="32" t="str">
        <f t="shared" si="3"/>
        <v>High</v>
      </c>
      <c r="F209" s="29" t="s">
        <v>22</v>
      </c>
      <c r="G209" s="42">
        <v>94.6</v>
      </c>
      <c r="H209" s="41" t="str">
        <f>+IF(Waiting_status!$G209&lt;= 40,"Bajo",IF(Waiting_status!$G209 &gt;70,"High","Mid"))</f>
        <v>High</v>
      </c>
    </row>
    <row r="210" spans="1:8" x14ac:dyDescent="0.25">
      <c r="A210" s="38">
        <v>32</v>
      </c>
      <c r="B210" s="32" t="str">
        <f t="shared" si="3"/>
        <v>mid</v>
      </c>
      <c r="F210" s="28" t="s">
        <v>61</v>
      </c>
      <c r="G210" s="40">
        <v>69.7</v>
      </c>
      <c r="H210" s="41" t="str">
        <f>+IF(Waiting_status!$G210&lt;= 40,"Bajo",IF(Waiting_status!$G210 &gt;70,"High","Mid"))</f>
        <v>Mid</v>
      </c>
    </row>
    <row r="211" spans="1:8" x14ac:dyDescent="0.25">
      <c r="A211" s="31">
        <v>13</v>
      </c>
      <c r="B211" s="32" t="str">
        <f t="shared" si="3"/>
        <v>Low</v>
      </c>
      <c r="F211" s="29" t="s">
        <v>56</v>
      </c>
      <c r="G211" s="42">
        <v>98.5</v>
      </c>
      <c r="H211" s="41" t="str">
        <f>+IF(Waiting_status!$G211&lt;= 40,"Bajo",IF(Waiting_status!$G211 &gt;70,"High","Mid"))</f>
        <v>High</v>
      </c>
    </row>
    <row r="212" spans="1:8" x14ac:dyDescent="0.25">
      <c r="A212" s="38">
        <v>19</v>
      </c>
      <c r="B212" s="32" t="str">
        <f t="shared" si="3"/>
        <v>Low</v>
      </c>
      <c r="F212" s="28" t="s">
        <v>95</v>
      </c>
      <c r="G212" s="40">
        <v>96.9</v>
      </c>
      <c r="H212" s="41" t="str">
        <f>+IF(Waiting_status!$G212&lt;= 40,"Bajo",IF(Waiting_status!$G212 &gt;70,"High","Mid"))</f>
        <v>High</v>
      </c>
    </row>
    <row r="213" spans="1:8" x14ac:dyDescent="0.25">
      <c r="A213" s="31">
        <v>31</v>
      </c>
      <c r="B213" s="32" t="str">
        <f t="shared" si="3"/>
        <v>mid</v>
      </c>
      <c r="F213" s="29" t="s">
        <v>56</v>
      </c>
      <c r="G213" s="42">
        <v>95.7</v>
      </c>
      <c r="H213" s="41" t="str">
        <f>+IF(Waiting_status!$G213&lt;= 40,"Bajo",IF(Waiting_status!$G213 &gt;70,"High","Mid"))</f>
        <v>High</v>
      </c>
    </row>
    <row r="214" spans="1:8" x14ac:dyDescent="0.25">
      <c r="A214" s="38">
        <v>42</v>
      </c>
      <c r="B214" s="32" t="str">
        <f t="shared" si="3"/>
        <v>High</v>
      </c>
      <c r="F214" s="28" t="s">
        <v>61</v>
      </c>
      <c r="G214" s="40">
        <v>80.5</v>
      </c>
      <c r="H214" s="41" t="str">
        <f>+IF(Waiting_status!$G214&lt;= 40,"Bajo",IF(Waiting_status!$G214 &gt;70,"High","Mid"))</f>
        <v>High</v>
      </c>
    </row>
    <row r="215" spans="1:8" x14ac:dyDescent="0.25">
      <c r="A215" s="31">
        <v>40</v>
      </c>
      <c r="B215" s="32" t="str">
        <f t="shared" si="3"/>
        <v>mid</v>
      </c>
      <c r="F215" s="29" t="s">
        <v>48</v>
      </c>
      <c r="G215" s="42">
        <v>71.7</v>
      </c>
      <c r="H215" s="41" t="str">
        <f>+IF(Waiting_status!$G215&lt;= 40,"Bajo",IF(Waiting_status!$G215 &gt;70,"High","Mid"))</f>
        <v>High</v>
      </c>
    </row>
    <row r="216" spans="1:8" x14ac:dyDescent="0.25">
      <c r="A216" s="38">
        <v>17</v>
      </c>
      <c r="B216" s="32" t="str">
        <f t="shared" si="3"/>
        <v>Low</v>
      </c>
      <c r="F216" s="28" t="s">
        <v>61</v>
      </c>
      <c r="G216" s="40">
        <v>69.900000000000006</v>
      </c>
      <c r="H216" s="41" t="str">
        <f>+IF(Waiting_status!$G216&lt;= 40,"Bajo",IF(Waiting_status!$G216 &gt;70,"High","Mid"))</f>
        <v>Mid</v>
      </c>
    </row>
    <row r="217" spans="1:8" x14ac:dyDescent="0.25">
      <c r="A217" s="31">
        <v>28</v>
      </c>
      <c r="B217" s="32" t="str">
        <f t="shared" si="3"/>
        <v>mid</v>
      </c>
      <c r="F217" s="29" t="s">
        <v>22</v>
      </c>
      <c r="G217" s="42">
        <v>68.2</v>
      </c>
      <c r="H217" s="41" t="str">
        <f>+IF(Waiting_status!$G217&lt;= 40,"Bajo",IF(Waiting_status!$G217 &gt;70,"High","Mid"))</f>
        <v>Mid</v>
      </c>
    </row>
    <row r="218" spans="1:8" x14ac:dyDescent="0.25">
      <c r="A218" s="38">
        <v>55</v>
      </c>
      <c r="B218" s="32" t="str">
        <f t="shared" si="3"/>
        <v>High</v>
      </c>
      <c r="F218" s="28" t="s">
        <v>16</v>
      </c>
      <c r="G218" s="40">
        <v>60.1</v>
      </c>
      <c r="H218" s="41" t="str">
        <f>+IF(Waiting_status!$G218&lt;= 40,"Bajo",IF(Waiting_status!$G218 &gt;70,"High","Mid"))</f>
        <v>Mid</v>
      </c>
    </row>
    <row r="219" spans="1:8" x14ac:dyDescent="0.25">
      <c r="A219" s="31">
        <v>24</v>
      </c>
      <c r="B219" s="32" t="str">
        <f t="shared" si="3"/>
        <v>mid</v>
      </c>
      <c r="F219" s="29" t="s">
        <v>22</v>
      </c>
      <c r="G219" s="42">
        <v>88</v>
      </c>
      <c r="H219" s="41" t="str">
        <f>+IF(Waiting_status!$G219&lt;= 40,"Bajo",IF(Waiting_status!$G219 &gt;70,"High","Mid"))</f>
        <v>High</v>
      </c>
    </row>
    <row r="220" spans="1:8" x14ac:dyDescent="0.25">
      <c r="A220" s="38">
        <v>22</v>
      </c>
      <c r="B220" s="32" t="str">
        <f t="shared" si="3"/>
        <v>mid</v>
      </c>
      <c r="F220" s="28" t="s">
        <v>61</v>
      </c>
      <c r="G220" s="40">
        <v>74.7</v>
      </c>
      <c r="H220" s="41" t="str">
        <f>+IF(Waiting_status!$G220&lt;= 40,"Bajo",IF(Waiting_status!$G220 &gt;70,"High","Mid"))</f>
        <v>High</v>
      </c>
    </row>
    <row r="221" spans="1:8" x14ac:dyDescent="0.25">
      <c r="A221" s="31">
        <v>44</v>
      </c>
      <c r="B221" s="32" t="str">
        <f t="shared" si="3"/>
        <v>High</v>
      </c>
      <c r="F221" s="29" t="s">
        <v>95</v>
      </c>
      <c r="G221" s="42">
        <v>94.1</v>
      </c>
      <c r="H221" s="41" t="str">
        <f>+IF(Waiting_status!$G221&lt;= 40,"Bajo",IF(Waiting_status!$G221 &gt;70,"High","Mid"))</f>
        <v>High</v>
      </c>
    </row>
    <row r="222" spans="1:8" x14ac:dyDescent="0.25">
      <c r="A222" s="38">
        <v>35</v>
      </c>
      <c r="B222" s="32" t="str">
        <f t="shared" si="3"/>
        <v>mid</v>
      </c>
      <c r="F222" s="28" t="s">
        <v>64</v>
      </c>
      <c r="G222" s="40">
        <v>74.400000000000006</v>
      </c>
      <c r="H222" s="41" t="str">
        <f>+IF(Waiting_status!$G222&lt;= 40,"Bajo",IF(Waiting_status!$G222 &gt;70,"High","Mid"))</f>
        <v>High</v>
      </c>
    </row>
    <row r="223" spans="1:8" x14ac:dyDescent="0.25">
      <c r="A223" s="31">
        <v>57</v>
      </c>
      <c r="B223" s="32" t="str">
        <f t="shared" si="3"/>
        <v>High</v>
      </c>
      <c r="F223" s="29" t="s">
        <v>48</v>
      </c>
      <c r="G223" s="42">
        <v>86.6</v>
      </c>
      <c r="H223" s="41" t="str">
        <f>+IF(Waiting_status!$G223&lt;= 40,"Bajo",IF(Waiting_status!$G223 &gt;70,"High","Mid"))</f>
        <v>High</v>
      </c>
    </row>
    <row r="224" spans="1:8" x14ac:dyDescent="0.25">
      <c r="A224" s="38">
        <v>33</v>
      </c>
      <c r="B224" s="32" t="str">
        <f t="shared" si="3"/>
        <v>mid</v>
      </c>
      <c r="F224" s="28" t="s">
        <v>48</v>
      </c>
      <c r="G224" s="40">
        <v>98.9</v>
      </c>
      <c r="H224" s="41" t="str">
        <f>+IF(Waiting_status!$G224&lt;= 40,"Bajo",IF(Waiting_status!$G224 &gt;70,"High","Mid"))</f>
        <v>High</v>
      </c>
    </row>
    <row r="225" spans="1:8" x14ac:dyDescent="0.25">
      <c r="A225" s="31">
        <v>36</v>
      </c>
      <c r="B225" s="32" t="str">
        <f t="shared" si="3"/>
        <v>mid</v>
      </c>
      <c r="F225" s="29" t="s">
        <v>61</v>
      </c>
      <c r="G225" s="42">
        <v>65.2</v>
      </c>
      <c r="H225" s="41" t="str">
        <f>+IF(Waiting_status!$G225&lt;= 40,"Bajo",IF(Waiting_status!$G225 &gt;70,"High","Mid"))</f>
        <v>Mid</v>
      </c>
    </row>
    <row r="226" spans="1:8" x14ac:dyDescent="0.25">
      <c r="A226" s="38">
        <v>26</v>
      </c>
      <c r="B226" s="32" t="str">
        <f t="shared" si="3"/>
        <v>mid</v>
      </c>
      <c r="F226" s="28" t="s">
        <v>56</v>
      </c>
      <c r="G226" s="40">
        <v>90.7</v>
      </c>
      <c r="H226" s="41" t="str">
        <f>+IF(Waiting_status!$G226&lt;= 40,"Bajo",IF(Waiting_status!$G226 &gt;70,"High","Mid"))</f>
        <v>High</v>
      </c>
    </row>
    <row r="227" spans="1:8" x14ac:dyDescent="0.25">
      <c r="A227" s="31">
        <v>23</v>
      </c>
      <c r="B227" s="32" t="str">
        <f t="shared" si="3"/>
        <v>mid</v>
      </c>
      <c r="F227" s="29" t="s">
        <v>95</v>
      </c>
      <c r="G227" s="42">
        <v>65</v>
      </c>
      <c r="H227" s="41" t="str">
        <f>+IF(Waiting_status!$G227&lt;= 40,"Bajo",IF(Waiting_status!$G227 &gt;70,"High","Mid"))</f>
        <v>Mid</v>
      </c>
    </row>
    <row r="228" spans="1:8" x14ac:dyDescent="0.25">
      <c r="A228" s="38">
        <v>24</v>
      </c>
      <c r="B228" s="32" t="str">
        <f t="shared" si="3"/>
        <v>mid</v>
      </c>
      <c r="F228" s="28" t="s">
        <v>22</v>
      </c>
      <c r="G228" s="40">
        <v>93.4</v>
      </c>
      <c r="H228" s="41" t="str">
        <f>+IF(Waiting_status!$G228&lt;= 40,"Bajo",IF(Waiting_status!$G228 &gt;70,"High","Mid"))</f>
        <v>High</v>
      </c>
    </row>
    <row r="229" spans="1:8" x14ac:dyDescent="0.25">
      <c r="A229" s="31">
        <v>33</v>
      </c>
      <c r="B229" s="32" t="str">
        <f t="shared" si="3"/>
        <v>mid</v>
      </c>
      <c r="F229" s="29" t="s">
        <v>64</v>
      </c>
      <c r="G229" s="42">
        <v>91.9</v>
      </c>
      <c r="H229" s="41" t="str">
        <f>+IF(Waiting_status!$G229&lt;= 40,"Bajo",IF(Waiting_status!$G229 &gt;70,"High","Mid"))</f>
        <v>High</v>
      </c>
    </row>
    <row r="230" spans="1:8" x14ac:dyDescent="0.25">
      <c r="A230" s="38">
        <v>27</v>
      </c>
      <c r="B230" s="32" t="str">
        <f t="shared" si="3"/>
        <v>mid</v>
      </c>
      <c r="F230" s="28" t="s">
        <v>56</v>
      </c>
      <c r="G230" s="40">
        <v>76.900000000000006</v>
      </c>
      <c r="H230" s="41" t="str">
        <f>+IF(Waiting_status!$G230&lt;= 40,"Bajo",IF(Waiting_status!$G230 &gt;70,"High","Mid"))</f>
        <v>High</v>
      </c>
    </row>
    <row r="231" spans="1:8" x14ac:dyDescent="0.25">
      <c r="A231" s="31">
        <v>32</v>
      </c>
      <c r="B231" s="32" t="str">
        <f t="shared" si="3"/>
        <v>mid</v>
      </c>
      <c r="F231" s="29" t="s">
        <v>95</v>
      </c>
      <c r="G231" s="42">
        <v>77.2</v>
      </c>
      <c r="H231" s="41" t="str">
        <f>+IF(Waiting_status!$G231&lt;= 40,"Bajo",IF(Waiting_status!$G231 &gt;70,"High","Mid"))</f>
        <v>High</v>
      </c>
    </row>
    <row r="232" spans="1:8" x14ac:dyDescent="0.25">
      <c r="A232" s="38">
        <v>44</v>
      </c>
      <c r="B232" s="32" t="str">
        <f t="shared" si="3"/>
        <v>High</v>
      </c>
      <c r="F232" s="28" t="s">
        <v>16</v>
      </c>
      <c r="G232" s="40">
        <v>94.7</v>
      </c>
      <c r="H232" s="41" t="str">
        <f>+IF(Waiting_status!$G232&lt;= 40,"Bajo",IF(Waiting_status!$G232 &gt;70,"High","Mid"))</f>
        <v>High</v>
      </c>
    </row>
    <row r="233" spans="1:8" x14ac:dyDescent="0.25">
      <c r="A233" s="31">
        <v>12</v>
      </c>
      <c r="B233" s="32" t="str">
        <f t="shared" si="3"/>
        <v>Low</v>
      </c>
      <c r="F233" s="29" t="s">
        <v>22</v>
      </c>
      <c r="G233" s="42">
        <v>95.1</v>
      </c>
      <c r="H233" s="41" t="str">
        <f>+IF(Waiting_status!$G233&lt;= 40,"Bajo",IF(Waiting_status!$G233 &gt;70,"High","Mid"))</f>
        <v>High</v>
      </c>
    </row>
    <row r="234" spans="1:8" x14ac:dyDescent="0.25">
      <c r="A234" s="38">
        <v>52</v>
      </c>
      <c r="B234" s="32" t="str">
        <f t="shared" si="3"/>
        <v>High</v>
      </c>
      <c r="F234" s="28" t="s">
        <v>56</v>
      </c>
      <c r="G234" s="40">
        <v>79.5</v>
      </c>
      <c r="H234" s="41" t="str">
        <f>+IF(Waiting_status!$G234&lt;= 40,"Bajo",IF(Waiting_status!$G234 &gt;70,"High","Mid"))</f>
        <v>High</v>
      </c>
    </row>
    <row r="235" spans="1:8" x14ac:dyDescent="0.25">
      <c r="A235" s="31">
        <v>24</v>
      </c>
      <c r="B235" s="32" t="str">
        <f t="shared" si="3"/>
        <v>mid</v>
      </c>
      <c r="F235" s="29" t="s">
        <v>64</v>
      </c>
      <c r="G235" s="42">
        <v>70.599999999999994</v>
      </c>
      <c r="H235" s="41" t="str">
        <f>+IF(Waiting_status!$G235&lt;= 40,"Bajo",IF(Waiting_status!$G235 &gt;70,"High","Mid"))</f>
        <v>High</v>
      </c>
    </row>
    <row r="236" spans="1:8" x14ac:dyDescent="0.25">
      <c r="A236" s="38">
        <v>42</v>
      </c>
      <c r="B236" s="32" t="str">
        <f t="shared" si="3"/>
        <v>High</v>
      </c>
      <c r="F236" s="28" t="s">
        <v>41</v>
      </c>
      <c r="G236" s="40">
        <v>66.3</v>
      </c>
      <c r="H236" s="41" t="str">
        <f>+IF(Waiting_status!$G236&lt;= 40,"Bajo",IF(Waiting_status!$G236 &gt;70,"High","Mid"))</f>
        <v>Mid</v>
      </c>
    </row>
    <row r="237" spans="1:8" x14ac:dyDescent="0.25">
      <c r="A237" s="31">
        <v>35</v>
      </c>
      <c r="B237" s="32" t="str">
        <f t="shared" si="3"/>
        <v>mid</v>
      </c>
      <c r="F237" s="29" t="s">
        <v>95</v>
      </c>
      <c r="G237" s="42">
        <v>86.2</v>
      </c>
      <c r="H237" s="41" t="str">
        <f>+IF(Waiting_status!$G237&lt;= 40,"Bajo",IF(Waiting_status!$G237 &gt;70,"High","Mid"))</f>
        <v>High</v>
      </c>
    </row>
    <row r="238" spans="1:8" x14ac:dyDescent="0.25">
      <c r="A238" s="38">
        <v>47</v>
      </c>
      <c r="B238" s="32" t="str">
        <f t="shared" si="3"/>
        <v>High</v>
      </c>
      <c r="F238" s="28" t="s">
        <v>56</v>
      </c>
      <c r="G238" s="40">
        <v>96.4</v>
      </c>
      <c r="H238" s="41" t="str">
        <f>+IF(Waiting_status!$G238&lt;= 40,"Bajo",IF(Waiting_status!$G238 &gt;70,"High","Mid"))</f>
        <v>High</v>
      </c>
    </row>
    <row r="239" spans="1:8" x14ac:dyDescent="0.25">
      <c r="A239" s="31">
        <v>18</v>
      </c>
      <c r="B239" s="32" t="str">
        <f t="shared" si="3"/>
        <v>Low</v>
      </c>
      <c r="F239" s="29" t="s">
        <v>48</v>
      </c>
      <c r="G239" s="42">
        <v>60.4</v>
      </c>
      <c r="H239" s="41" t="str">
        <f>+IF(Waiting_status!$G239&lt;= 40,"Bajo",IF(Waiting_status!$G239 &gt;70,"High","Mid"))</f>
        <v>Mid</v>
      </c>
    </row>
    <row r="240" spans="1:8" x14ac:dyDescent="0.25">
      <c r="A240" s="38">
        <v>51</v>
      </c>
      <c r="B240" s="32" t="str">
        <f t="shared" si="3"/>
        <v>High</v>
      </c>
      <c r="F240" s="28" t="s">
        <v>48</v>
      </c>
      <c r="G240" s="40">
        <v>82.6</v>
      </c>
      <c r="H240" s="41" t="str">
        <f>+IF(Waiting_status!$G240&lt;= 40,"Bajo",IF(Waiting_status!$G240 &gt;70,"High","Mid"))</f>
        <v>High</v>
      </c>
    </row>
    <row r="241" spans="1:8" x14ac:dyDescent="0.25">
      <c r="A241" s="31">
        <v>60</v>
      </c>
      <c r="B241" s="32" t="str">
        <f t="shared" si="3"/>
        <v>High</v>
      </c>
      <c r="F241" s="29" t="s">
        <v>41</v>
      </c>
      <c r="G241" s="42">
        <v>84.6</v>
      </c>
      <c r="H241" s="41" t="str">
        <f>+IF(Waiting_status!$G241&lt;= 40,"Bajo",IF(Waiting_status!$G241 &gt;70,"High","Mid"))</f>
        <v>High</v>
      </c>
    </row>
    <row r="242" spans="1:8" x14ac:dyDescent="0.25">
      <c r="A242" s="38">
        <v>47</v>
      </c>
      <c r="B242" s="32" t="str">
        <f t="shared" si="3"/>
        <v>High</v>
      </c>
      <c r="F242" s="28" t="s">
        <v>28</v>
      </c>
      <c r="G242" s="40">
        <v>81.400000000000006</v>
      </c>
      <c r="H242" s="41" t="str">
        <f>+IF(Waiting_status!$G242&lt;= 40,"Bajo",IF(Waiting_status!$G242 &gt;70,"High","Mid"))</f>
        <v>High</v>
      </c>
    </row>
    <row r="243" spans="1:8" x14ac:dyDescent="0.25">
      <c r="A243" s="31">
        <v>16</v>
      </c>
      <c r="B243" s="32" t="str">
        <f t="shared" si="3"/>
        <v>Low</v>
      </c>
      <c r="F243" s="29" t="s">
        <v>56</v>
      </c>
      <c r="G243" s="42">
        <v>90.7</v>
      </c>
      <c r="H243" s="41" t="str">
        <f>+IF(Waiting_status!$G243&lt;= 40,"Bajo",IF(Waiting_status!$G243 &gt;70,"High","Mid"))</f>
        <v>High</v>
      </c>
    </row>
    <row r="244" spans="1:8" x14ac:dyDescent="0.25">
      <c r="A244" s="38">
        <v>10</v>
      </c>
      <c r="B244" s="32" t="str">
        <f t="shared" si="3"/>
        <v>Low</v>
      </c>
      <c r="F244" s="28" t="s">
        <v>95</v>
      </c>
      <c r="G244" s="40">
        <v>73</v>
      </c>
      <c r="H244" s="41" t="str">
        <f>+IF(Waiting_status!$G244&lt;= 40,"Bajo",IF(Waiting_status!$G244 &gt;70,"High","Mid"))</f>
        <v>High</v>
      </c>
    </row>
    <row r="245" spans="1:8" x14ac:dyDescent="0.25">
      <c r="A245" s="31">
        <v>53</v>
      </c>
      <c r="B245" s="32" t="str">
        <f t="shared" si="3"/>
        <v>High</v>
      </c>
      <c r="F245" s="29" t="s">
        <v>31</v>
      </c>
      <c r="G245" s="42">
        <v>76.599999999999994</v>
      </c>
      <c r="H245" s="41" t="str">
        <f>+IF(Waiting_status!$G245&lt;= 40,"Bajo",IF(Waiting_status!$G245 &gt;70,"High","Mid"))</f>
        <v>High</v>
      </c>
    </row>
    <row r="246" spans="1:8" x14ac:dyDescent="0.25">
      <c r="A246" s="38">
        <v>53</v>
      </c>
      <c r="B246" s="32" t="str">
        <f t="shared" si="3"/>
        <v>High</v>
      </c>
      <c r="F246" s="28" t="s">
        <v>48</v>
      </c>
      <c r="G246" s="40">
        <v>67.2</v>
      </c>
      <c r="H246" s="41" t="str">
        <f>+IF(Waiting_status!$G246&lt;= 40,"Bajo",IF(Waiting_status!$G246 &gt;70,"High","Mid"))</f>
        <v>Mid</v>
      </c>
    </row>
    <row r="247" spans="1:8" x14ac:dyDescent="0.25">
      <c r="A247" s="31">
        <v>16</v>
      </c>
      <c r="B247" s="32" t="str">
        <f t="shared" si="3"/>
        <v>Low</v>
      </c>
      <c r="F247" s="29" t="s">
        <v>28</v>
      </c>
      <c r="G247" s="42">
        <v>95.8</v>
      </c>
      <c r="H247" s="41" t="str">
        <f>+IF(Waiting_status!$G247&lt;= 40,"Bajo",IF(Waiting_status!$G247 &gt;70,"High","Mid"))</f>
        <v>High</v>
      </c>
    </row>
    <row r="248" spans="1:8" x14ac:dyDescent="0.25">
      <c r="A248" s="38">
        <v>23</v>
      </c>
      <c r="B248" s="32" t="str">
        <f t="shared" si="3"/>
        <v>mid</v>
      </c>
      <c r="F248" s="28" t="s">
        <v>48</v>
      </c>
      <c r="G248" s="40">
        <v>90.4</v>
      </c>
      <c r="H248" s="41" t="str">
        <f>+IF(Waiting_status!$G248&lt;= 40,"Bajo",IF(Waiting_status!$G248 &gt;70,"High","Mid"))</f>
        <v>High</v>
      </c>
    </row>
    <row r="249" spans="1:8" x14ac:dyDescent="0.25">
      <c r="A249" s="31">
        <v>15</v>
      </c>
      <c r="B249" s="32" t="str">
        <f t="shared" si="3"/>
        <v>Low</v>
      </c>
      <c r="F249" s="29" t="s">
        <v>64</v>
      </c>
      <c r="G249" s="42">
        <v>77.099999999999994</v>
      </c>
      <c r="H249" s="41" t="str">
        <f>+IF(Waiting_status!$G249&lt;= 40,"Bajo",IF(Waiting_status!$G249 &gt;70,"High","Mid"))</f>
        <v>High</v>
      </c>
    </row>
    <row r="250" spans="1:8" x14ac:dyDescent="0.25">
      <c r="A250" s="38">
        <v>43</v>
      </c>
      <c r="B250" s="32" t="str">
        <f t="shared" si="3"/>
        <v>High</v>
      </c>
      <c r="F250" s="28" t="s">
        <v>22</v>
      </c>
      <c r="G250" s="40">
        <v>92.8</v>
      </c>
      <c r="H250" s="41" t="str">
        <f>+IF(Waiting_status!$G250&lt;= 40,"Bajo",IF(Waiting_status!$G250 &gt;70,"High","Mid"))</f>
        <v>High</v>
      </c>
    </row>
    <row r="251" spans="1:8" x14ac:dyDescent="0.25">
      <c r="A251" s="31">
        <v>57</v>
      </c>
      <c r="B251" s="32" t="str">
        <f t="shared" si="3"/>
        <v>High</v>
      </c>
      <c r="F251" s="29" t="s">
        <v>61</v>
      </c>
      <c r="G251" s="42">
        <v>75.3</v>
      </c>
      <c r="H251" s="41" t="str">
        <f>+IF(Waiting_status!$G251&lt;= 40,"Bajo",IF(Waiting_status!$G251 &gt;70,"High","Mid"))</f>
        <v>High</v>
      </c>
    </row>
    <row r="252" spans="1:8" x14ac:dyDescent="0.25">
      <c r="A252" s="38">
        <v>51</v>
      </c>
      <c r="B252" s="32" t="str">
        <f t="shared" si="3"/>
        <v>High</v>
      </c>
      <c r="F252" s="28" t="s">
        <v>95</v>
      </c>
      <c r="G252" s="40">
        <v>64.3</v>
      </c>
      <c r="H252" s="41" t="str">
        <f>+IF(Waiting_status!$G252&lt;= 40,"Bajo",IF(Waiting_status!$G252 &gt;70,"High","Mid"))</f>
        <v>Mid</v>
      </c>
    </row>
    <row r="253" spans="1:8" x14ac:dyDescent="0.25">
      <c r="A253" s="31">
        <v>24</v>
      </c>
      <c r="B253" s="32" t="str">
        <f t="shared" si="3"/>
        <v>mid</v>
      </c>
      <c r="F253" s="29" t="s">
        <v>56</v>
      </c>
      <c r="G253" s="42">
        <v>83.8</v>
      </c>
      <c r="H253" s="41" t="str">
        <f>+IF(Waiting_status!$G253&lt;= 40,"Bajo",IF(Waiting_status!$G253 &gt;70,"High","Mid"))</f>
        <v>High</v>
      </c>
    </row>
    <row r="254" spans="1:8" x14ac:dyDescent="0.25">
      <c r="A254" s="38">
        <v>15</v>
      </c>
      <c r="B254" s="32" t="str">
        <f t="shared" si="3"/>
        <v>Low</v>
      </c>
      <c r="F254" s="28" t="s">
        <v>16</v>
      </c>
      <c r="G254" s="40">
        <v>76.3</v>
      </c>
      <c r="H254" s="41" t="str">
        <f>+IF(Waiting_status!$G254&lt;= 40,"Bajo",IF(Waiting_status!$G254 &gt;70,"High","Mid"))</f>
        <v>High</v>
      </c>
    </row>
    <row r="255" spans="1:8" x14ac:dyDescent="0.25">
      <c r="A255" s="31">
        <v>22</v>
      </c>
      <c r="B255" s="32" t="str">
        <f t="shared" si="3"/>
        <v>mid</v>
      </c>
      <c r="F255" s="29" t="s">
        <v>48</v>
      </c>
      <c r="G255" s="42">
        <v>87.3</v>
      </c>
      <c r="H255" s="41" t="str">
        <f>+IF(Waiting_status!$G255&lt;= 40,"Bajo",IF(Waiting_status!$G255 &gt;70,"High","Mid"))</f>
        <v>High</v>
      </c>
    </row>
    <row r="256" spans="1:8" x14ac:dyDescent="0.25">
      <c r="A256" s="38">
        <v>33</v>
      </c>
      <c r="B256" s="32" t="str">
        <f t="shared" si="3"/>
        <v>mid</v>
      </c>
      <c r="F256" s="28" t="s">
        <v>22</v>
      </c>
      <c r="G256" s="40">
        <v>90.1</v>
      </c>
      <c r="H256" s="41" t="str">
        <f>+IF(Waiting_status!$G256&lt;= 40,"Bajo",IF(Waiting_status!$G256 &gt;70,"High","Mid"))</f>
        <v>High</v>
      </c>
    </row>
    <row r="257" spans="1:8" x14ac:dyDescent="0.25">
      <c r="A257" s="31">
        <v>57</v>
      </c>
      <c r="B257" s="32" t="str">
        <f t="shared" si="3"/>
        <v>High</v>
      </c>
      <c r="F257" s="29" t="s">
        <v>56</v>
      </c>
      <c r="G257" s="42">
        <v>99.9</v>
      </c>
      <c r="H257" s="41" t="str">
        <f>+IF(Waiting_status!$G257&lt;= 40,"Bajo",IF(Waiting_status!$G257 &gt;70,"High","Mid"))</f>
        <v>High</v>
      </c>
    </row>
    <row r="258" spans="1:8" x14ac:dyDescent="0.25">
      <c r="A258" s="38">
        <v>22</v>
      </c>
      <c r="B258" s="32" t="str">
        <f t="shared" si="3"/>
        <v>mid</v>
      </c>
      <c r="F258" s="28" t="s">
        <v>56</v>
      </c>
      <c r="G258" s="40">
        <v>79.2</v>
      </c>
      <c r="H258" s="41" t="str">
        <f>+IF(Waiting_status!$G258&lt;= 40,"Bajo",IF(Waiting_status!$G258 &gt;70,"High","Mid"))</f>
        <v>High</v>
      </c>
    </row>
    <row r="259" spans="1:8" x14ac:dyDescent="0.25">
      <c r="A259" s="31">
        <v>19</v>
      </c>
      <c r="B259" s="32" t="str">
        <f t="shared" ref="B259:B322" si="4">+IF(A259&lt;= 20,"Low",IF(A259 &gt; 40,"High","mid"))</f>
        <v>Low</v>
      </c>
      <c r="F259" s="29" t="s">
        <v>28</v>
      </c>
      <c r="G259" s="42">
        <v>67</v>
      </c>
      <c r="H259" s="41" t="str">
        <f>+IF(Waiting_status!$G259&lt;= 40,"Bajo",IF(Waiting_status!$G259 &gt;70,"High","Mid"))</f>
        <v>Mid</v>
      </c>
    </row>
    <row r="260" spans="1:8" x14ac:dyDescent="0.25">
      <c r="A260" s="38">
        <v>26</v>
      </c>
      <c r="B260" s="32" t="str">
        <f t="shared" si="4"/>
        <v>mid</v>
      </c>
      <c r="F260" s="28" t="s">
        <v>16</v>
      </c>
      <c r="G260" s="40">
        <v>68.2</v>
      </c>
      <c r="H260" s="41" t="str">
        <f>+IF(Waiting_status!$G260&lt;= 40,"Bajo",IF(Waiting_status!$G260 &gt;70,"High","Mid"))</f>
        <v>Mid</v>
      </c>
    </row>
    <row r="261" spans="1:8" x14ac:dyDescent="0.25">
      <c r="A261" s="31">
        <v>24</v>
      </c>
      <c r="B261" s="32" t="str">
        <f t="shared" si="4"/>
        <v>mid</v>
      </c>
      <c r="F261" s="29" t="s">
        <v>56</v>
      </c>
      <c r="G261" s="42">
        <v>69.599999999999994</v>
      </c>
      <c r="H261" s="41" t="str">
        <f>+IF(Waiting_status!$G261&lt;= 40,"Bajo",IF(Waiting_status!$G261 &gt;70,"High","Mid"))</f>
        <v>Mid</v>
      </c>
    </row>
    <row r="262" spans="1:8" x14ac:dyDescent="0.25">
      <c r="A262" s="38">
        <v>29</v>
      </c>
      <c r="B262" s="32" t="str">
        <f t="shared" si="4"/>
        <v>mid</v>
      </c>
      <c r="F262" s="28" t="s">
        <v>22</v>
      </c>
      <c r="G262" s="40">
        <v>69.7</v>
      </c>
      <c r="H262" s="41" t="str">
        <f>+IF(Waiting_status!$G262&lt;= 40,"Bajo",IF(Waiting_status!$G262 &gt;70,"High","Mid"))</f>
        <v>Mid</v>
      </c>
    </row>
    <row r="263" spans="1:8" x14ac:dyDescent="0.25">
      <c r="A263" s="31">
        <v>24</v>
      </c>
      <c r="B263" s="32" t="str">
        <f t="shared" si="4"/>
        <v>mid</v>
      </c>
      <c r="F263" s="29" t="s">
        <v>48</v>
      </c>
      <c r="G263" s="42">
        <v>66.599999999999994</v>
      </c>
      <c r="H263" s="41" t="str">
        <f>+IF(Waiting_status!$G263&lt;= 40,"Bajo",IF(Waiting_status!$G263 &gt;70,"High","Mid"))</f>
        <v>Mid</v>
      </c>
    </row>
    <row r="264" spans="1:8" x14ac:dyDescent="0.25">
      <c r="A264" s="38">
        <v>58</v>
      </c>
      <c r="B264" s="32" t="str">
        <f t="shared" si="4"/>
        <v>High</v>
      </c>
      <c r="F264" s="28" t="s">
        <v>31</v>
      </c>
      <c r="G264" s="40">
        <v>86.5</v>
      </c>
      <c r="H264" s="41" t="str">
        <f>+IF(Waiting_status!$G264&lt;= 40,"Bajo",IF(Waiting_status!$G264 &gt;70,"High","Mid"))</f>
        <v>High</v>
      </c>
    </row>
    <row r="265" spans="1:8" x14ac:dyDescent="0.25">
      <c r="A265" s="31">
        <v>11</v>
      </c>
      <c r="B265" s="32" t="str">
        <f t="shared" si="4"/>
        <v>Low</v>
      </c>
      <c r="F265" s="29" t="s">
        <v>22</v>
      </c>
      <c r="G265" s="42">
        <v>88.1</v>
      </c>
      <c r="H265" s="41" t="str">
        <f>+IF(Waiting_status!$G265&lt;= 40,"Bajo",IF(Waiting_status!$G265 &gt;70,"High","Mid"))</f>
        <v>High</v>
      </c>
    </row>
    <row r="266" spans="1:8" x14ac:dyDescent="0.25">
      <c r="A266" s="38">
        <v>20</v>
      </c>
      <c r="B266" s="32" t="str">
        <f t="shared" si="4"/>
        <v>Low</v>
      </c>
      <c r="F266" s="28" t="s">
        <v>28</v>
      </c>
      <c r="G266" s="40">
        <v>60.1</v>
      </c>
      <c r="H266" s="41" t="str">
        <f>+IF(Waiting_status!$G266&lt;= 40,"Bajo",IF(Waiting_status!$G266 &gt;70,"High","Mid"))</f>
        <v>Mid</v>
      </c>
    </row>
    <row r="267" spans="1:8" x14ac:dyDescent="0.25">
      <c r="A267" s="31">
        <v>31</v>
      </c>
      <c r="B267" s="32" t="str">
        <f t="shared" si="4"/>
        <v>mid</v>
      </c>
      <c r="F267" s="29" t="s">
        <v>64</v>
      </c>
      <c r="G267" s="42">
        <v>95.9</v>
      </c>
      <c r="H267" s="41" t="str">
        <f>+IF(Waiting_status!$G267&lt;= 40,"Bajo",IF(Waiting_status!$G267 &gt;70,"High","Mid"))</f>
        <v>High</v>
      </c>
    </row>
    <row r="268" spans="1:8" x14ac:dyDescent="0.25">
      <c r="A268" s="38">
        <v>30</v>
      </c>
      <c r="B268" s="32" t="str">
        <f t="shared" si="4"/>
        <v>mid</v>
      </c>
      <c r="F268" s="28" t="s">
        <v>31</v>
      </c>
      <c r="G268" s="40">
        <v>66.099999999999994</v>
      </c>
      <c r="H268" s="41" t="str">
        <f>+IF(Waiting_status!$G268&lt;= 40,"Bajo",IF(Waiting_status!$G268 &gt;70,"High","Mid"))</f>
        <v>Mid</v>
      </c>
    </row>
    <row r="269" spans="1:8" x14ac:dyDescent="0.25">
      <c r="A269" s="31">
        <v>51</v>
      </c>
      <c r="B269" s="32" t="str">
        <f t="shared" si="4"/>
        <v>High</v>
      </c>
      <c r="F269" s="29" t="s">
        <v>48</v>
      </c>
      <c r="G269" s="42">
        <v>97.7</v>
      </c>
      <c r="H269" s="41" t="str">
        <f>+IF(Waiting_status!$G269&lt;= 40,"Bajo",IF(Waiting_status!$G269 &gt;70,"High","Mid"))</f>
        <v>High</v>
      </c>
    </row>
    <row r="270" spans="1:8" x14ac:dyDescent="0.25">
      <c r="A270" s="38">
        <v>24</v>
      </c>
      <c r="B270" s="32" t="str">
        <f t="shared" si="4"/>
        <v>mid</v>
      </c>
      <c r="F270" s="28" t="s">
        <v>28</v>
      </c>
      <c r="G270" s="40">
        <v>70.099999999999994</v>
      </c>
      <c r="H270" s="41" t="str">
        <f>+IF(Waiting_status!$G270&lt;= 40,"Bajo",IF(Waiting_status!$G270 &gt;70,"High","Mid"))</f>
        <v>High</v>
      </c>
    </row>
    <row r="271" spans="1:8" x14ac:dyDescent="0.25">
      <c r="A271" s="31">
        <v>32</v>
      </c>
      <c r="B271" s="32" t="str">
        <f t="shared" si="4"/>
        <v>mid</v>
      </c>
      <c r="F271" s="29" t="s">
        <v>41</v>
      </c>
      <c r="G271" s="42">
        <v>79.099999999999994</v>
      </c>
      <c r="H271" s="41" t="str">
        <f>+IF(Waiting_status!$G271&lt;= 40,"Bajo",IF(Waiting_status!$G271 &gt;70,"High","Mid"))</f>
        <v>High</v>
      </c>
    </row>
    <row r="272" spans="1:8" x14ac:dyDescent="0.25">
      <c r="A272" s="38">
        <v>10</v>
      </c>
      <c r="B272" s="32" t="str">
        <f t="shared" si="4"/>
        <v>Low</v>
      </c>
      <c r="F272" s="28" t="s">
        <v>31</v>
      </c>
      <c r="G272" s="40">
        <v>61.5</v>
      </c>
      <c r="H272" s="41" t="str">
        <f>+IF(Waiting_status!$G272&lt;= 40,"Bajo",IF(Waiting_status!$G272 &gt;70,"High","Mid"))</f>
        <v>Mid</v>
      </c>
    </row>
    <row r="273" spans="1:8" x14ac:dyDescent="0.25">
      <c r="A273" s="31">
        <v>23</v>
      </c>
      <c r="B273" s="32" t="str">
        <f t="shared" si="4"/>
        <v>mid</v>
      </c>
      <c r="F273" s="29" t="s">
        <v>28</v>
      </c>
      <c r="G273" s="42">
        <v>98.8</v>
      </c>
      <c r="H273" s="41" t="str">
        <f>+IF(Waiting_status!$G273&lt;= 40,"Bajo",IF(Waiting_status!$G273 &gt;70,"High","Mid"))</f>
        <v>High</v>
      </c>
    </row>
    <row r="274" spans="1:8" x14ac:dyDescent="0.25">
      <c r="A274" s="38">
        <v>41</v>
      </c>
      <c r="B274" s="32" t="str">
        <f t="shared" si="4"/>
        <v>High</v>
      </c>
      <c r="F274" s="28" t="s">
        <v>64</v>
      </c>
      <c r="G274" s="40">
        <v>69.5</v>
      </c>
      <c r="H274" s="41" t="str">
        <f>+IF(Waiting_status!$G274&lt;= 40,"Bajo",IF(Waiting_status!$G274 &gt;70,"High","Mid"))</f>
        <v>Mid</v>
      </c>
    </row>
    <row r="275" spans="1:8" x14ac:dyDescent="0.25">
      <c r="A275" s="31">
        <v>58</v>
      </c>
      <c r="B275" s="32" t="str">
        <f t="shared" si="4"/>
        <v>High</v>
      </c>
      <c r="F275" s="29" t="s">
        <v>16</v>
      </c>
      <c r="G275" s="42">
        <v>78.599999999999994</v>
      </c>
      <c r="H275" s="41" t="str">
        <f>+IF(Waiting_status!$G275&lt;= 40,"Bajo",IF(Waiting_status!$G275 &gt;70,"High","Mid"))</f>
        <v>High</v>
      </c>
    </row>
    <row r="276" spans="1:8" x14ac:dyDescent="0.25">
      <c r="A276" s="38">
        <v>58</v>
      </c>
      <c r="B276" s="32" t="str">
        <f t="shared" si="4"/>
        <v>High</v>
      </c>
      <c r="F276" s="28" t="s">
        <v>16</v>
      </c>
      <c r="G276" s="40">
        <v>88.8</v>
      </c>
      <c r="H276" s="41" t="str">
        <f>+IF(Waiting_status!$G276&lt;= 40,"Bajo",IF(Waiting_status!$G276 &gt;70,"High","Mid"))</f>
        <v>High</v>
      </c>
    </row>
    <row r="277" spans="1:8" x14ac:dyDescent="0.25">
      <c r="A277" s="31">
        <v>33</v>
      </c>
      <c r="B277" s="32" t="str">
        <f t="shared" si="4"/>
        <v>mid</v>
      </c>
      <c r="F277" s="29" t="s">
        <v>16</v>
      </c>
      <c r="G277" s="42">
        <v>67.599999999999994</v>
      </c>
      <c r="H277" s="41" t="str">
        <f>+IF(Waiting_status!$G277&lt;= 40,"Bajo",IF(Waiting_status!$G277 &gt;70,"High","Mid"))</f>
        <v>Mid</v>
      </c>
    </row>
    <row r="278" spans="1:8" x14ac:dyDescent="0.25">
      <c r="A278" s="38">
        <v>19</v>
      </c>
      <c r="B278" s="32" t="str">
        <f t="shared" si="4"/>
        <v>Low</v>
      </c>
      <c r="F278" s="28" t="s">
        <v>28</v>
      </c>
      <c r="G278" s="40">
        <v>78.599999999999994</v>
      </c>
      <c r="H278" s="41" t="str">
        <f>+IF(Waiting_status!$G278&lt;= 40,"Bajo",IF(Waiting_status!$G278 &gt;70,"High","Mid"))</f>
        <v>High</v>
      </c>
    </row>
    <row r="279" spans="1:8" x14ac:dyDescent="0.25">
      <c r="A279" s="31">
        <v>12</v>
      </c>
      <c r="B279" s="32" t="str">
        <f t="shared" si="4"/>
        <v>Low</v>
      </c>
      <c r="F279" s="29" t="s">
        <v>61</v>
      </c>
      <c r="G279" s="42">
        <v>69.3</v>
      </c>
      <c r="H279" s="41" t="str">
        <f>+IF(Waiting_status!$G279&lt;= 40,"Bajo",IF(Waiting_status!$G279 &gt;70,"High","Mid"))</f>
        <v>Mid</v>
      </c>
    </row>
    <row r="280" spans="1:8" x14ac:dyDescent="0.25">
      <c r="A280" s="38">
        <v>53</v>
      </c>
      <c r="B280" s="32" t="str">
        <f t="shared" si="4"/>
        <v>High</v>
      </c>
      <c r="F280" s="28" t="s">
        <v>56</v>
      </c>
      <c r="G280" s="40">
        <v>69.5</v>
      </c>
      <c r="H280" s="41" t="str">
        <f>+IF(Waiting_status!$G280&lt;= 40,"Bajo",IF(Waiting_status!$G280 &gt;70,"High","Mid"))</f>
        <v>Mid</v>
      </c>
    </row>
    <row r="281" spans="1:8" x14ac:dyDescent="0.25">
      <c r="A281" s="31">
        <v>42</v>
      </c>
      <c r="B281" s="32" t="str">
        <f t="shared" si="4"/>
        <v>High</v>
      </c>
      <c r="F281" s="29" t="s">
        <v>61</v>
      </c>
      <c r="G281" s="42">
        <v>77.5</v>
      </c>
      <c r="H281" s="41" t="str">
        <f>+IF(Waiting_status!$G281&lt;= 40,"Bajo",IF(Waiting_status!$G281 &gt;70,"High","Mid"))</f>
        <v>High</v>
      </c>
    </row>
    <row r="282" spans="1:8" x14ac:dyDescent="0.25">
      <c r="A282" s="38">
        <v>20</v>
      </c>
      <c r="B282" s="32" t="str">
        <f t="shared" si="4"/>
        <v>Low</v>
      </c>
      <c r="F282" s="28" t="s">
        <v>22</v>
      </c>
      <c r="G282" s="40">
        <v>91.2</v>
      </c>
      <c r="H282" s="41" t="str">
        <f>+IF(Waiting_status!$G282&lt;= 40,"Bajo",IF(Waiting_status!$G282 &gt;70,"High","Mid"))</f>
        <v>High</v>
      </c>
    </row>
    <row r="283" spans="1:8" x14ac:dyDescent="0.25">
      <c r="A283" s="31">
        <v>50</v>
      </c>
      <c r="B283" s="32" t="str">
        <f t="shared" si="4"/>
        <v>High</v>
      </c>
      <c r="F283" s="29" t="s">
        <v>48</v>
      </c>
      <c r="G283" s="42">
        <v>85</v>
      </c>
      <c r="H283" s="41" t="str">
        <f>+IF(Waiting_status!$G283&lt;= 40,"Bajo",IF(Waiting_status!$G283 &gt;70,"High","Mid"))</f>
        <v>High</v>
      </c>
    </row>
    <row r="284" spans="1:8" x14ac:dyDescent="0.25">
      <c r="A284" s="38">
        <v>14</v>
      </c>
      <c r="B284" s="32" t="str">
        <f t="shared" si="4"/>
        <v>Low</v>
      </c>
      <c r="F284" s="28" t="s">
        <v>61</v>
      </c>
      <c r="G284" s="40">
        <v>86.7</v>
      </c>
      <c r="H284" s="41" t="str">
        <f>+IF(Waiting_status!$G284&lt;= 40,"Bajo",IF(Waiting_status!$G284 &gt;70,"High","Mid"))</f>
        <v>High</v>
      </c>
    </row>
    <row r="285" spans="1:8" x14ac:dyDescent="0.25">
      <c r="A285" s="31">
        <v>51</v>
      </c>
      <c r="B285" s="32" t="str">
        <f t="shared" si="4"/>
        <v>High</v>
      </c>
      <c r="F285" s="29" t="s">
        <v>31</v>
      </c>
      <c r="G285" s="42">
        <v>68</v>
      </c>
      <c r="H285" s="41" t="str">
        <f>+IF(Waiting_status!$G285&lt;= 40,"Bajo",IF(Waiting_status!$G285 &gt;70,"High","Mid"))</f>
        <v>Mid</v>
      </c>
    </row>
    <row r="286" spans="1:8" x14ac:dyDescent="0.25">
      <c r="A286" s="38">
        <v>47</v>
      </c>
      <c r="B286" s="32" t="str">
        <f t="shared" si="4"/>
        <v>High</v>
      </c>
      <c r="F286" s="28" t="s">
        <v>48</v>
      </c>
      <c r="G286" s="40">
        <v>77.8</v>
      </c>
      <c r="H286" s="41" t="str">
        <f>+IF(Waiting_status!$G286&lt;= 40,"Bajo",IF(Waiting_status!$G286 &gt;70,"High","Mid"))</f>
        <v>High</v>
      </c>
    </row>
    <row r="287" spans="1:8" x14ac:dyDescent="0.25">
      <c r="A287" s="31">
        <v>48</v>
      </c>
      <c r="B287" s="32" t="str">
        <f t="shared" si="4"/>
        <v>High</v>
      </c>
      <c r="F287" s="29" t="s">
        <v>64</v>
      </c>
      <c r="G287" s="42">
        <v>78.3</v>
      </c>
      <c r="H287" s="41" t="str">
        <f>+IF(Waiting_status!$G287&lt;= 40,"Bajo",IF(Waiting_status!$G287 &gt;70,"High","Mid"))</f>
        <v>High</v>
      </c>
    </row>
    <row r="288" spans="1:8" x14ac:dyDescent="0.25">
      <c r="A288" s="38">
        <v>31</v>
      </c>
      <c r="B288" s="32" t="str">
        <f t="shared" si="4"/>
        <v>mid</v>
      </c>
      <c r="F288" s="28" t="s">
        <v>16</v>
      </c>
      <c r="G288" s="40">
        <v>98</v>
      </c>
      <c r="H288" s="41" t="str">
        <f>+IF(Waiting_status!$G288&lt;= 40,"Bajo",IF(Waiting_status!$G288 &gt;70,"High","Mid"))</f>
        <v>High</v>
      </c>
    </row>
    <row r="289" spans="1:8" x14ac:dyDescent="0.25">
      <c r="A289" s="31">
        <v>12</v>
      </c>
      <c r="B289" s="32" t="str">
        <f t="shared" si="4"/>
        <v>Low</v>
      </c>
      <c r="F289" s="29" t="s">
        <v>61</v>
      </c>
      <c r="G289" s="42">
        <v>65.7</v>
      </c>
      <c r="H289" s="41" t="str">
        <f>+IF(Waiting_status!$G289&lt;= 40,"Bajo",IF(Waiting_status!$G289 &gt;70,"High","Mid"))</f>
        <v>Mid</v>
      </c>
    </row>
    <row r="290" spans="1:8" x14ac:dyDescent="0.25">
      <c r="A290" s="38">
        <v>19</v>
      </c>
      <c r="B290" s="32" t="str">
        <f t="shared" si="4"/>
        <v>Low</v>
      </c>
      <c r="F290" s="28" t="s">
        <v>16</v>
      </c>
      <c r="G290" s="40">
        <v>100</v>
      </c>
      <c r="H290" s="41" t="str">
        <f>+IF(Waiting_status!$G290&lt;= 40,"Bajo",IF(Waiting_status!$G290 &gt;70,"High","Mid"))</f>
        <v>High</v>
      </c>
    </row>
    <row r="291" spans="1:8" x14ac:dyDescent="0.25">
      <c r="A291" s="31">
        <v>41</v>
      </c>
      <c r="B291" s="32" t="str">
        <f t="shared" si="4"/>
        <v>High</v>
      </c>
      <c r="F291" s="29" t="s">
        <v>22</v>
      </c>
      <c r="G291" s="42">
        <v>63.3</v>
      </c>
      <c r="H291" s="41" t="str">
        <f>+IF(Waiting_status!$G291&lt;= 40,"Bajo",IF(Waiting_status!$G291 &gt;70,"High","Mid"))</f>
        <v>Mid</v>
      </c>
    </row>
    <row r="292" spans="1:8" x14ac:dyDescent="0.25">
      <c r="A292" s="38">
        <v>50</v>
      </c>
      <c r="B292" s="32" t="str">
        <f t="shared" si="4"/>
        <v>High</v>
      </c>
      <c r="F292" s="28" t="s">
        <v>95</v>
      </c>
      <c r="G292" s="40">
        <v>76.8</v>
      </c>
      <c r="H292" s="41" t="str">
        <f>+IF(Waiting_status!$G292&lt;= 40,"Bajo",IF(Waiting_status!$G292 &gt;70,"High","Mid"))</f>
        <v>High</v>
      </c>
    </row>
    <row r="293" spans="1:8" x14ac:dyDescent="0.25">
      <c r="A293" s="31">
        <v>31</v>
      </c>
      <c r="B293" s="32" t="str">
        <f t="shared" si="4"/>
        <v>mid</v>
      </c>
      <c r="F293" s="29" t="s">
        <v>95</v>
      </c>
      <c r="G293" s="42">
        <v>77.2</v>
      </c>
      <c r="H293" s="41" t="str">
        <f>+IF(Waiting_status!$G293&lt;= 40,"Bajo",IF(Waiting_status!$G293 &gt;70,"High","Mid"))</f>
        <v>High</v>
      </c>
    </row>
    <row r="294" spans="1:8" x14ac:dyDescent="0.25">
      <c r="A294" s="38">
        <v>41</v>
      </c>
      <c r="B294" s="32" t="str">
        <f t="shared" si="4"/>
        <v>High</v>
      </c>
      <c r="F294" s="28" t="s">
        <v>31</v>
      </c>
      <c r="G294" s="40">
        <v>94.1</v>
      </c>
      <c r="H294" s="41" t="str">
        <f>+IF(Waiting_status!$G294&lt;= 40,"Bajo",IF(Waiting_status!$G294 &gt;70,"High","Mid"))</f>
        <v>High</v>
      </c>
    </row>
    <row r="295" spans="1:8" x14ac:dyDescent="0.25">
      <c r="A295" s="31">
        <v>26</v>
      </c>
      <c r="B295" s="32" t="str">
        <f t="shared" si="4"/>
        <v>mid</v>
      </c>
      <c r="F295" s="29" t="s">
        <v>41</v>
      </c>
      <c r="G295" s="42">
        <v>91.4</v>
      </c>
      <c r="H295" s="41" t="str">
        <f>+IF(Waiting_status!$G295&lt;= 40,"Bajo",IF(Waiting_status!$G295 &gt;70,"High","Mid"))</f>
        <v>High</v>
      </c>
    </row>
    <row r="296" spans="1:8" x14ac:dyDescent="0.25">
      <c r="A296" s="38">
        <v>25</v>
      </c>
      <c r="B296" s="32" t="str">
        <f t="shared" si="4"/>
        <v>mid</v>
      </c>
      <c r="F296" s="28" t="s">
        <v>56</v>
      </c>
      <c r="G296" s="40">
        <v>95.6</v>
      </c>
      <c r="H296" s="41" t="str">
        <f>+IF(Waiting_status!$G296&lt;= 40,"Bajo",IF(Waiting_status!$G296 &gt;70,"High","Mid"))</f>
        <v>High</v>
      </c>
    </row>
    <row r="297" spans="1:8" x14ac:dyDescent="0.25">
      <c r="A297" s="31">
        <v>52</v>
      </c>
      <c r="B297" s="32" t="str">
        <f t="shared" si="4"/>
        <v>High</v>
      </c>
      <c r="F297" s="29" t="s">
        <v>48</v>
      </c>
      <c r="G297" s="42">
        <v>97.7</v>
      </c>
      <c r="H297" s="41" t="str">
        <f>+IF(Waiting_status!$G297&lt;= 40,"Bajo",IF(Waiting_status!$G297 &gt;70,"High","Mid"))</f>
        <v>High</v>
      </c>
    </row>
    <row r="298" spans="1:8" x14ac:dyDescent="0.25">
      <c r="A298" s="38">
        <v>22</v>
      </c>
      <c r="B298" s="32" t="str">
        <f t="shared" si="4"/>
        <v>mid</v>
      </c>
      <c r="F298" s="28" t="s">
        <v>31</v>
      </c>
      <c r="G298" s="40">
        <v>83.2</v>
      </c>
      <c r="H298" s="41" t="str">
        <f>+IF(Waiting_status!$G298&lt;= 40,"Bajo",IF(Waiting_status!$G298 &gt;70,"High","Mid"))</f>
        <v>High</v>
      </c>
    </row>
    <row r="299" spans="1:8" x14ac:dyDescent="0.25">
      <c r="A299" s="31">
        <v>45</v>
      </c>
      <c r="B299" s="32" t="str">
        <f t="shared" si="4"/>
        <v>High</v>
      </c>
      <c r="F299" s="29" t="s">
        <v>22</v>
      </c>
      <c r="G299" s="42">
        <v>86.9</v>
      </c>
      <c r="H299" s="41" t="str">
        <f>+IF(Waiting_status!$G299&lt;= 40,"Bajo",IF(Waiting_status!$G299 &gt;70,"High","Mid"))</f>
        <v>High</v>
      </c>
    </row>
    <row r="300" spans="1:8" x14ac:dyDescent="0.25">
      <c r="A300" s="38">
        <v>52</v>
      </c>
      <c r="B300" s="32" t="str">
        <f t="shared" si="4"/>
        <v>High</v>
      </c>
      <c r="F300" s="28" t="s">
        <v>31</v>
      </c>
      <c r="G300" s="40">
        <v>82.3</v>
      </c>
      <c r="H300" s="41" t="str">
        <f>+IF(Waiting_status!$G300&lt;= 40,"Bajo",IF(Waiting_status!$G300 &gt;70,"High","Mid"))</f>
        <v>High</v>
      </c>
    </row>
    <row r="301" spans="1:8" x14ac:dyDescent="0.25">
      <c r="A301" s="31">
        <v>39</v>
      </c>
      <c r="B301" s="32" t="str">
        <f t="shared" si="4"/>
        <v>mid</v>
      </c>
      <c r="F301" s="29" t="s">
        <v>16</v>
      </c>
      <c r="G301" s="42">
        <v>75</v>
      </c>
      <c r="H301" s="41" t="str">
        <f>+IF(Waiting_status!$G301&lt;= 40,"Bajo",IF(Waiting_status!$G301 &gt;70,"High","Mid"))</f>
        <v>High</v>
      </c>
    </row>
    <row r="302" spans="1:8" x14ac:dyDescent="0.25">
      <c r="A302" s="38">
        <v>48</v>
      </c>
      <c r="B302" s="32" t="str">
        <f t="shared" si="4"/>
        <v>High</v>
      </c>
      <c r="F302" s="28" t="s">
        <v>56</v>
      </c>
      <c r="G302" s="40">
        <v>74.400000000000006</v>
      </c>
      <c r="H302" s="41" t="str">
        <f>+IF(Waiting_status!$G302&lt;= 40,"Bajo",IF(Waiting_status!$G302 &gt;70,"High","Mid"))</f>
        <v>High</v>
      </c>
    </row>
    <row r="303" spans="1:8" x14ac:dyDescent="0.25">
      <c r="A303" s="31">
        <v>16</v>
      </c>
      <c r="B303" s="32" t="str">
        <f t="shared" si="4"/>
        <v>Low</v>
      </c>
      <c r="F303" s="29" t="s">
        <v>31</v>
      </c>
      <c r="G303" s="42">
        <v>77.8</v>
      </c>
      <c r="H303" s="41" t="str">
        <f>+IF(Waiting_status!$G303&lt;= 40,"Bajo",IF(Waiting_status!$G303 &gt;70,"High","Mid"))</f>
        <v>High</v>
      </c>
    </row>
    <row r="304" spans="1:8" x14ac:dyDescent="0.25">
      <c r="A304" s="38">
        <v>19</v>
      </c>
      <c r="B304" s="32" t="str">
        <f t="shared" si="4"/>
        <v>Low</v>
      </c>
      <c r="F304" s="28" t="s">
        <v>48</v>
      </c>
      <c r="G304" s="40">
        <v>72.3</v>
      </c>
      <c r="H304" s="41" t="str">
        <f>+IF(Waiting_status!$G304&lt;= 40,"Bajo",IF(Waiting_status!$G304 &gt;70,"High","Mid"))</f>
        <v>High</v>
      </c>
    </row>
    <row r="305" spans="1:8" x14ac:dyDescent="0.25">
      <c r="A305" s="31">
        <v>33</v>
      </c>
      <c r="B305" s="32" t="str">
        <f t="shared" si="4"/>
        <v>mid</v>
      </c>
      <c r="F305" s="29" t="s">
        <v>95</v>
      </c>
      <c r="G305" s="42">
        <v>77.900000000000006</v>
      </c>
      <c r="H305" s="41" t="str">
        <f>+IF(Waiting_status!$G305&lt;= 40,"Bajo",IF(Waiting_status!$G305 &gt;70,"High","Mid"))</f>
        <v>High</v>
      </c>
    </row>
    <row r="306" spans="1:8" x14ac:dyDescent="0.25">
      <c r="A306" s="38">
        <v>43</v>
      </c>
      <c r="B306" s="32" t="str">
        <f t="shared" si="4"/>
        <v>High</v>
      </c>
      <c r="F306" s="28" t="s">
        <v>41</v>
      </c>
      <c r="G306" s="40">
        <v>64.599999999999994</v>
      </c>
      <c r="H306" s="41" t="str">
        <f>+IF(Waiting_status!$G306&lt;= 40,"Bajo",IF(Waiting_status!$G306 &gt;70,"High","Mid"))</f>
        <v>Mid</v>
      </c>
    </row>
    <row r="307" spans="1:8" x14ac:dyDescent="0.25">
      <c r="A307" s="31">
        <v>14</v>
      </c>
      <c r="B307" s="32" t="str">
        <f t="shared" si="4"/>
        <v>Low</v>
      </c>
      <c r="F307" s="29" t="s">
        <v>61</v>
      </c>
      <c r="G307" s="42">
        <v>73.400000000000006</v>
      </c>
      <c r="H307" s="41" t="str">
        <f>+IF(Waiting_status!$G307&lt;= 40,"Bajo",IF(Waiting_status!$G307 &gt;70,"High","Mid"))</f>
        <v>High</v>
      </c>
    </row>
    <row r="308" spans="1:8" x14ac:dyDescent="0.25">
      <c r="A308" s="38">
        <v>49</v>
      </c>
      <c r="B308" s="32" t="str">
        <f t="shared" si="4"/>
        <v>High</v>
      </c>
      <c r="F308" s="28" t="s">
        <v>56</v>
      </c>
      <c r="G308" s="40">
        <v>76.7</v>
      </c>
      <c r="H308" s="41" t="str">
        <f>+IF(Waiting_status!$G308&lt;= 40,"Bajo",IF(Waiting_status!$G308 &gt;70,"High","Mid"))</f>
        <v>High</v>
      </c>
    </row>
    <row r="309" spans="1:8" x14ac:dyDescent="0.25">
      <c r="A309" s="31">
        <v>21</v>
      </c>
      <c r="B309" s="32" t="str">
        <f t="shared" si="4"/>
        <v>mid</v>
      </c>
      <c r="F309" s="29" t="s">
        <v>56</v>
      </c>
      <c r="G309" s="42">
        <v>82.8</v>
      </c>
      <c r="H309" s="41" t="str">
        <f>+IF(Waiting_status!$G309&lt;= 40,"Bajo",IF(Waiting_status!$G309 &gt;70,"High","Mid"))</f>
        <v>High</v>
      </c>
    </row>
    <row r="310" spans="1:8" x14ac:dyDescent="0.25">
      <c r="A310" s="38">
        <v>37</v>
      </c>
      <c r="B310" s="32" t="str">
        <f t="shared" si="4"/>
        <v>mid</v>
      </c>
      <c r="F310" s="28" t="s">
        <v>95</v>
      </c>
      <c r="G310" s="40">
        <v>88.3</v>
      </c>
      <c r="H310" s="41" t="str">
        <f>+IF(Waiting_status!$G310&lt;= 40,"Bajo",IF(Waiting_status!$G310 &gt;70,"High","Mid"))</f>
        <v>High</v>
      </c>
    </row>
    <row r="311" spans="1:8" x14ac:dyDescent="0.25">
      <c r="A311" s="31">
        <v>29</v>
      </c>
      <c r="B311" s="32" t="str">
        <f t="shared" si="4"/>
        <v>mid</v>
      </c>
      <c r="F311" s="29" t="s">
        <v>56</v>
      </c>
      <c r="G311" s="42">
        <v>81.099999999999994</v>
      </c>
      <c r="H311" s="41" t="str">
        <f>+IF(Waiting_status!$G311&lt;= 40,"Bajo",IF(Waiting_status!$G311 &gt;70,"High","Mid"))</f>
        <v>High</v>
      </c>
    </row>
    <row r="312" spans="1:8" x14ac:dyDescent="0.25">
      <c r="A312" s="38">
        <v>36</v>
      </c>
      <c r="B312" s="32" t="str">
        <f t="shared" si="4"/>
        <v>mid</v>
      </c>
      <c r="F312" s="28" t="s">
        <v>41</v>
      </c>
      <c r="G312" s="40">
        <v>70.5</v>
      </c>
      <c r="H312" s="41" t="str">
        <f>+IF(Waiting_status!$G312&lt;= 40,"Bajo",IF(Waiting_status!$G312 &gt;70,"High","Mid"))</f>
        <v>High</v>
      </c>
    </row>
    <row r="313" spans="1:8" x14ac:dyDescent="0.25">
      <c r="A313" s="31">
        <v>36</v>
      </c>
      <c r="B313" s="32" t="str">
        <f t="shared" si="4"/>
        <v>mid</v>
      </c>
      <c r="F313" s="29" t="s">
        <v>48</v>
      </c>
      <c r="G313" s="42">
        <v>78.900000000000006</v>
      </c>
      <c r="H313" s="41" t="str">
        <f>+IF(Waiting_status!$G313&lt;= 40,"Bajo",IF(Waiting_status!$G313 &gt;70,"High","Mid"))</f>
        <v>High</v>
      </c>
    </row>
    <row r="314" spans="1:8" x14ac:dyDescent="0.25">
      <c r="A314" s="38">
        <v>39</v>
      </c>
      <c r="B314" s="32" t="str">
        <f t="shared" si="4"/>
        <v>mid</v>
      </c>
      <c r="F314" s="28" t="s">
        <v>16</v>
      </c>
      <c r="G314" s="40">
        <v>88.6</v>
      </c>
      <c r="H314" s="41" t="str">
        <f>+IF(Waiting_status!$G314&lt;= 40,"Bajo",IF(Waiting_status!$G314 &gt;70,"High","Mid"))</f>
        <v>High</v>
      </c>
    </row>
    <row r="315" spans="1:8" x14ac:dyDescent="0.25">
      <c r="A315" s="31">
        <v>25</v>
      </c>
      <c r="B315" s="32" t="str">
        <f t="shared" si="4"/>
        <v>mid</v>
      </c>
      <c r="F315" s="29" t="s">
        <v>48</v>
      </c>
      <c r="G315" s="42">
        <v>65.2</v>
      </c>
      <c r="H315" s="41" t="str">
        <f>+IF(Waiting_status!$G315&lt;= 40,"Bajo",IF(Waiting_status!$G315 &gt;70,"High","Mid"))</f>
        <v>Mid</v>
      </c>
    </row>
    <row r="316" spans="1:8" x14ac:dyDescent="0.25">
      <c r="A316" s="38">
        <v>31</v>
      </c>
      <c r="B316" s="32" t="str">
        <f t="shared" si="4"/>
        <v>mid</v>
      </c>
      <c r="F316" s="28" t="s">
        <v>48</v>
      </c>
      <c r="G316" s="40">
        <v>91.6</v>
      </c>
      <c r="H316" s="41" t="str">
        <f>+IF(Waiting_status!$G316&lt;= 40,"Bajo",IF(Waiting_status!$G316 &gt;70,"High","Mid"))</f>
        <v>High</v>
      </c>
    </row>
    <row r="317" spans="1:8" x14ac:dyDescent="0.25">
      <c r="A317" s="31">
        <v>47</v>
      </c>
      <c r="B317" s="32" t="str">
        <f t="shared" si="4"/>
        <v>High</v>
      </c>
      <c r="F317" s="29" t="s">
        <v>56</v>
      </c>
      <c r="G317" s="42">
        <v>75.5</v>
      </c>
      <c r="H317" s="41" t="str">
        <f>+IF(Waiting_status!$G317&lt;= 40,"Bajo",IF(Waiting_status!$G317 &gt;70,"High","Mid"))</f>
        <v>High</v>
      </c>
    </row>
    <row r="318" spans="1:8" x14ac:dyDescent="0.25">
      <c r="A318" s="38">
        <v>18</v>
      </c>
      <c r="B318" s="32" t="str">
        <f t="shared" si="4"/>
        <v>Low</v>
      </c>
      <c r="F318" s="28" t="s">
        <v>16</v>
      </c>
      <c r="G318" s="40">
        <v>94.4</v>
      </c>
      <c r="H318" s="41" t="str">
        <f>+IF(Waiting_status!$G318&lt;= 40,"Bajo",IF(Waiting_status!$G318 &gt;70,"High","Mid"))</f>
        <v>High</v>
      </c>
    </row>
    <row r="319" spans="1:8" x14ac:dyDescent="0.25">
      <c r="A319" s="31">
        <v>58</v>
      </c>
      <c r="B319" s="32" t="str">
        <f t="shared" si="4"/>
        <v>High</v>
      </c>
      <c r="F319" s="29" t="s">
        <v>16</v>
      </c>
      <c r="G319" s="42">
        <v>66.8</v>
      </c>
      <c r="H319" s="41" t="str">
        <f>+IF(Waiting_status!$G319&lt;= 40,"Bajo",IF(Waiting_status!$G319 &gt;70,"High","Mid"))</f>
        <v>Mid</v>
      </c>
    </row>
    <row r="320" spans="1:8" x14ac:dyDescent="0.25">
      <c r="A320" s="38">
        <v>34</v>
      </c>
      <c r="B320" s="32" t="str">
        <f t="shared" si="4"/>
        <v>mid</v>
      </c>
      <c r="F320" s="28" t="s">
        <v>41</v>
      </c>
      <c r="G320" s="40">
        <v>72.400000000000006</v>
      </c>
      <c r="H320" s="41" t="str">
        <f>+IF(Waiting_status!$G320&lt;= 40,"Bajo",IF(Waiting_status!$G320 &gt;70,"High","Mid"))</f>
        <v>High</v>
      </c>
    </row>
    <row r="321" spans="1:8" x14ac:dyDescent="0.25">
      <c r="A321" s="31">
        <v>54</v>
      </c>
      <c r="B321" s="32" t="str">
        <f t="shared" si="4"/>
        <v>High</v>
      </c>
      <c r="F321" s="29" t="s">
        <v>16</v>
      </c>
      <c r="G321" s="42">
        <v>92.7</v>
      </c>
      <c r="H321" s="41" t="str">
        <f>+IF(Waiting_status!$G321&lt;= 40,"Bajo",IF(Waiting_status!$G321 &gt;70,"High","Mid"))</f>
        <v>High</v>
      </c>
    </row>
    <row r="322" spans="1:8" x14ac:dyDescent="0.25">
      <c r="A322" s="38">
        <v>23</v>
      </c>
      <c r="B322" s="32" t="str">
        <f t="shared" si="4"/>
        <v>mid</v>
      </c>
      <c r="F322" s="28" t="s">
        <v>31</v>
      </c>
      <c r="G322" s="40">
        <v>83</v>
      </c>
      <c r="H322" s="41" t="str">
        <f>+IF(Waiting_status!$G322&lt;= 40,"Bajo",IF(Waiting_status!$G322 &gt;70,"High","Mid"))</f>
        <v>High</v>
      </c>
    </row>
    <row r="323" spans="1:8" x14ac:dyDescent="0.25">
      <c r="A323" s="31">
        <v>56</v>
      </c>
      <c r="B323" s="32" t="str">
        <f t="shared" ref="B323:B386" si="5">+IF(A323&lt;= 20,"Low",IF(A323 &gt; 40,"High","mid"))</f>
        <v>High</v>
      </c>
      <c r="F323" s="29" t="s">
        <v>31</v>
      </c>
      <c r="G323" s="42">
        <v>61.6</v>
      </c>
      <c r="H323" s="41" t="str">
        <f>+IF(Waiting_status!$G323&lt;= 40,"Bajo",IF(Waiting_status!$G323 &gt;70,"High","Mid"))</f>
        <v>Mid</v>
      </c>
    </row>
    <row r="324" spans="1:8" x14ac:dyDescent="0.25">
      <c r="A324" s="38">
        <v>42</v>
      </c>
      <c r="B324" s="32" t="str">
        <f t="shared" si="5"/>
        <v>High</v>
      </c>
      <c r="F324" s="28" t="s">
        <v>56</v>
      </c>
      <c r="G324" s="40">
        <v>77.599999999999994</v>
      </c>
      <c r="H324" s="41" t="str">
        <f>+IF(Waiting_status!$G324&lt;= 40,"Bajo",IF(Waiting_status!$G324 &gt;70,"High","Mid"))</f>
        <v>High</v>
      </c>
    </row>
    <row r="325" spans="1:8" x14ac:dyDescent="0.25">
      <c r="A325" s="31">
        <v>35</v>
      </c>
      <c r="B325" s="32" t="str">
        <f t="shared" si="5"/>
        <v>mid</v>
      </c>
      <c r="F325" s="29" t="s">
        <v>41</v>
      </c>
      <c r="G325" s="42">
        <v>61.1</v>
      </c>
      <c r="H325" s="41" t="str">
        <f>+IF(Waiting_status!$G325&lt;= 40,"Bajo",IF(Waiting_status!$G325 &gt;70,"High","Mid"))</f>
        <v>Mid</v>
      </c>
    </row>
    <row r="326" spans="1:8" x14ac:dyDescent="0.25">
      <c r="A326" s="38">
        <v>31</v>
      </c>
      <c r="B326" s="32" t="str">
        <f t="shared" si="5"/>
        <v>mid</v>
      </c>
      <c r="F326" s="28" t="s">
        <v>31</v>
      </c>
      <c r="G326" s="40">
        <v>75.8</v>
      </c>
      <c r="H326" s="41" t="str">
        <f>+IF(Waiting_status!$G326&lt;= 40,"Bajo",IF(Waiting_status!$G326 &gt;70,"High","Mid"))</f>
        <v>High</v>
      </c>
    </row>
    <row r="327" spans="1:8" x14ac:dyDescent="0.25">
      <c r="A327" s="31">
        <v>36</v>
      </c>
      <c r="B327" s="32" t="str">
        <f t="shared" si="5"/>
        <v>mid</v>
      </c>
      <c r="F327" s="29" t="s">
        <v>28</v>
      </c>
      <c r="G327" s="42">
        <v>75.7</v>
      </c>
      <c r="H327" s="41" t="str">
        <f>+IF(Waiting_status!$G327&lt;= 40,"Bajo",IF(Waiting_status!$G327 &gt;70,"High","Mid"))</f>
        <v>High</v>
      </c>
    </row>
    <row r="328" spans="1:8" x14ac:dyDescent="0.25">
      <c r="A328" s="38">
        <v>11</v>
      </c>
      <c r="B328" s="32" t="str">
        <f t="shared" si="5"/>
        <v>Low</v>
      </c>
      <c r="F328" s="28" t="s">
        <v>48</v>
      </c>
      <c r="G328" s="40">
        <v>67.5</v>
      </c>
      <c r="H328" s="41" t="str">
        <f>+IF(Waiting_status!$G328&lt;= 40,"Bajo",IF(Waiting_status!$G328 &gt;70,"High","Mid"))</f>
        <v>Mid</v>
      </c>
    </row>
    <row r="329" spans="1:8" x14ac:dyDescent="0.25">
      <c r="A329" s="31">
        <v>54</v>
      </c>
      <c r="B329" s="32" t="str">
        <f t="shared" si="5"/>
        <v>High</v>
      </c>
      <c r="F329" s="29" t="s">
        <v>64</v>
      </c>
      <c r="G329" s="42">
        <v>86.7</v>
      </c>
      <c r="H329" s="41" t="str">
        <f>+IF(Waiting_status!$G329&lt;= 40,"Bajo",IF(Waiting_status!$G329 &gt;70,"High","Mid"))</f>
        <v>High</v>
      </c>
    </row>
    <row r="330" spans="1:8" x14ac:dyDescent="0.25">
      <c r="A330" s="38">
        <v>23</v>
      </c>
      <c r="B330" s="32" t="str">
        <f t="shared" si="5"/>
        <v>mid</v>
      </c>
      <c r="F330" s="28" t="s">
        <v>61</v>
      </c>
      <c r="G330" s="40">
        <v>99.6</v>
      </c>
      <c r="H330" s="41" t="str">
        <f>+IF(Waiting_status!$G330&lt;= 40,"Bajo",IF(Waiting_status!$G330 &gt;70,"High","Mid"))</f>
        <v>High</v>
      </c>
    </row>
    <row r="331" spans="1:8" x14ac:dyDescent="0.25">
      <c r="A331" s="31">
        <v>53</v>
      </c>
      <c r="B331" s="32" t="str">
        <f t="shared" si="5"/>
        <v>High</v>
      </c>
      <c r="F331" s="29" t="s">
        <v>61</v>
      </c>
      <c r="G331" s="42">
        <v>73.3</v>
      </c>
      <c r="H331" s="41" t="str">
        <f>+IF(Waiting_status!$G331&lt;= 40,"Bajo",IF(Waiting_status!$G331 &gt;70,"High","Mid"))</f>
        <v>High</v>
      </c>
    </row>
    <row r="332" spans="1:8" x14ac:dyDescent="0.25">
      <c r="A332" s="38">
        <v>55</v>
      </c>
      <c r="B332" s="32" t="str">
        <f t="shared" si="5"/>
        <v>High</v>
      </c>
      <c r="F332" s="28" t="s">
        <v>95</v>
      </c>
      <c r="G332" s="40">
        <v>67.7</v>
      </c>
      <c r="H332" s="41" t="str">
        <f>+IF(Waiting_status!$G332&lt;= 40,"Bajo",IF(Waiting_status!$G332 &gt;70,"High","Mid"))</f>
        <v>Mid</v>
      </c>
    </row>
    <row r="333" spans="1:8" x14ac:dyDescent="0.25">
      <c r="A333" s="31">
        <v>35</v>
      </c>
      <c r="B333" s="32" t="str">
        <f t="shared" si="5"/>
        <v>mid</v>
      </c>
      <c r="F333" s="29" t="s">
        <v>95</v>
      </c>
      <c r="G333" s="42">
        <v>93.6</v>
      </c>
      <c r="H333" s="41" t="str">
        <f>+IF(Waiting_status!$G333&lt;= 40,"Bajo",IF(Waiting_status!$G333 &gt;70,"High","Mid"))</f>
        <v>High</v>
      </c>
    </row>
    <row r="334" spans="1:8" x14ac:dyDescent="0.25">
      <c r="A334" s="38">
        <v>56</v>
      </c>
      <c r="B334" s="32" t="str">
        <f t="shared" si="5"/>
        <v>High</v>
      </c>
      <c r="F334" s="28" t="s">
        <v>31</v>
      </c>
      <c r="G334" s="40">
        <v>72.599999999999994</v>
      </c>
      <c r="H334" s="41" t="str">
        <f>+IF(Waiting_status!$G334&lt;= 40,"Bajo",IF(Waiting_status!$G334 &gt;70,"High","Mid"))</f>
        <v>High</v>
      </c>
    </row>
    <row r="335" spans="1:8" x14ac:dyDescent="0.25">
      <c r="A335" s="31">
        <v>36</v>
      </c>
      <c r="B335" s="32" t="str">
        <f t="shared" si="5"/>
        <v>mid</v>
      </c>
      <c r="F335" s="29" t="s">
        <v>28</v>
      </c>
      <c r="G335" s="42">
        <v>67</v>
      </c>
      <c r="H335" s="41" t="str">
        <f>+IF(Waiting_status!$G335&lt;= 40,"Bajo",IF(Waiting_status!$G335 &gt;70,"High","Mid"))</f>
        <v>Mid</v>
      </c>
    </row>
    <row r="336" spans="1:8" x14ac:dyDescent="0.25">
      <c r="A336" s="38">
        <v>38</v>
      </c>
      <c r="B336" s="32" t="str">
        <f t="shared" si="5"/>
        <v>mid</v>
      </c>
      <c r="F336" s="28" t="s">
        <v>28</v>
      </c>
      <c r="G336" s="40">
        <v>68.400000000000006</v>
      </c>
      <c r="H336" s="41" t="str">
        <f>+IF(Waiting_status!$G336&lt;= 40,"Bajo",IF(Waiting_status!$G336 &gt;70,"High","Mid"))</f>
        <v>Mid</v>
      </c>
    </row>
    <row r="337" spans="1:8" x14ac:dyDescent="0.25">
      <c r="A337" s="31">
        <v>42</v>
      </c>
      <c r="B337" s="32" t="str">
        <f t="shared" si="5"/>
        <v>High</v>
      </c>
      <c r="F337" s="29" t="s">
        <v>61</v>
      </c>
      <c r="G337" s="42">
        <v>87.2</v>
      </c>
      <c r="H337" s="41" t="str">
        <f>+IF(Waiting_status!$G337&lt;= 40,"Bajo",IF(Waiting_status!$G337 &gt;70,"High","Mid"))</f>
        <v>High</v>
      </c>
    </row>
    <row r="338" spans="1:8" x14ac:dyDescent="0.25">
      <c r="A338" s="38">
        <v>39</v>
      </c>
      <c r="B338" s="32" t="str">
        <f t="shared" si="5"/>
        <v>mid</v>
      </c>
      <c r="F338" s="28" t="s">
        <v>16</v>
      </c>
      <c r="G338" s="40">
        <v>99.2</v>
      </c>
      <c r="H338" s="41" t="str">
        <f>+IF(Waiting_status!$G338&lt;= 40,"Bajo",IF(Waiting_status!$G338 &gt;70,"High","Mid"))</f>
        <v>High</v>
      </c>
    </row>
    <row r="339" spans="1:8" x14ac:dyDescent="0.25">
      <c r="A339" s="31">
        <v>50</v>
      </c>
      <c r="B339" s="32" t="str">
        <f t="shared" si="5"/>
        <v>High</v>
      </c>
      <c r="F339" s="29" t="s">
        <v>31</v>
      </c>
      <c r="G339" s="42">
        <v>67.400000000000006</v>
      </c>
      <c r="H339" s="41" t="str">
        <f>+IF(Waiting_status!$G339&lt;= 40,"Bajo",IF(Waiting_status!$G339 &gt;70,"High","Mid"))</f>
        <v>Mid</v>
      </c>
    </row>
    <row r="340" spans="1:8" x14ac:dyDescent="0.25">
      <c r="A340" s="38">
        <v>59</v>
      </c>
      <c r="B340" s="32" t="str">
        <f t="shared" si="5"/>
        <v>High</v>
      </c>
      <c r="F340" s="28" t="s">
        <v>61</v>
      </c>
      <c r="G340" s="40">
        <v>70.2</v>
      </c>
      <c r="H340" s="41" t="str">
        <f>+IF(Waiting_status!$G340&lt;= 40,"Bajo",IF(Waiting_status!$G340 &gt;70,"High","Mid"))</f>
        <v>High</v>
      </c>
    </row>
    <row r="341" spans="1:8" x14ac:dyDescent="0.25">
      <c r="A341" s="31">
        <v>26</v>
      </c>
      <c r="B341" s="32" t="str">
        <f t="shared" si="5"/>
        <v>mid</v>
      </c>
      <c r="F341" s="29" t="s">
        <v>22</v>
      </c>
      <c r="G341" s="42">
        <v>96.3</v>
      </c>
      <c r="H341" s="41" t="str">
        <f>+IF(Waiting_status!$G341&lt;= 40,"Bajo",IF(Waiting_status!$G341 &gt;70,"High","Mid"))</f>
        <v>High</v>
      </c>
    </row>
    <row r="342" spans="1:8" x14ac:dyDescent="0.25">
      <c r="A342" s="38">
        <v>12</v>
      </c>
      <c r="B342" s="32" t="str">
        <f t="shared" si="5"/>
        <v>Low</v>
      </c>
      <c r="F342" s="28" t="s">
        <v>28</v>
      </c>
      <c r="G342" s="40">
        <v>67.599999999999994</v>
      </c>
      <c r="H342" s="41" t="str">
        <f>+IF(Waiting_status!$G342&lt;= 40,"Bajo",IF(Waiting_status!$G342 &gt;70,"High","Mid"))</f>
        <v>Mid</v>
      </c>
    </row>
    <row r="343" spans="1:8" x14ac:dyDescent="0.25">
      <c r="A343" s="31">
        <v>33</v>
      </c>
      <c r="B343" s="32" t="str">
        <f t="shared" si="5"/>
        <v>mid</v>
      </c>
      <c r="F343" s="29" t="s">
        <v>61</v>
      </c>
      <c r="G343" s="42">
        <v>81.2</v>
      </c>
      <c r="H343" s="41" t="str">
        <f>+IF(Waiting_status!$G343&lt;= 40,"Bajo",IF(Waiting_status!$G343 &gt;70,"High","Mid"))</f>
        <v>High</v>
      </c>
    </row>
    <row r="344" spans="1:8" x14ac:dyDescent="0.25">
      <c r="A344" s="38">
        <v>48</v>
      </c>
      <c r="B344" s="32" t="str">
        <f t="shared" si="5"/>
        <v>High</v>
      </c>
      <c r="F344" s="28" t="s">
        <v>28</v>
      </c>
      <c r="G344" s="40">
        <v>98.6</v>
      </c>
      <c r="H344" s="41" t="str">
        <f>+IF(Waiting_status!$G344&lt;= 40,"Bajo",IF(Waiting_status!$G344 &gt;70,"High","Mid"))</f>
        <v>High</v>
      </c>
    </row>
    <row r="345" spans="1:8" x14ac:dyDescent="0.25">
      <c r="A345" s="31">
        <v>17</v>
      </c>
      <c r="B345" s="32" t="str">
        <f t="shared" si="5"/>
        <v>Low</v>
      </c>
      <c r="F345" s="29" t="s">
        <v>48</v>
      </c>
      <c r="G345" s="42">
        <v>70.400000000000006</v>
      </c>
      <c r="H345" s="41" t="str">
        <f>+IF(Waiting_status!$G345&lt;= 40,"Bajo",IF(Waiting_status!$G345 &gt;70,"High","Mid"))</f>
        <v>High</v>
      </c>
    </row>
    <row r="346" spans="1:8" x14ac:dyDescent="0.25">
      <c r="A346" s="38">
        <v>16</v>
      </c>
      <c r="B346" s="32" t="str">
        <f t="shared" si="5"/>
        <v>Low</v>
      </c>
      <c r="F346" s="28" t="s">
        <v>31</v>
      </c>
      <c r="G346" s="40">
        <v>68.8</v>
      </c>
      <c r="H346" s="41" t="str">
        <f>+IF(Waiting_status!$G346&lt;= 40,"Bajo",IF(Waiting_status!$G346 &gt;70,"High","Mid"))</f>
        <v>Mid</v>
      </c>
    </row>
    <row r="347" spans="1:8" x14ac:dyDescent="0.25">
      <c r="A347" s="31">
        <v>47</v>
      </c>
      <c r="B347" s="32" t="str">
        <f t="shared" si="5"/>
        <v>High</v>
      </c>
      <c r="F347" s="29" t="s">
        <v>16</v>
      </c>
      <c r="G347" s="42">
        <v>85.7</v>
      </c>
      <c r="H347" s="41" t="str">
        <f>+IF(Waiting_status!$G347&lt;= 40,"Bajo",IF(Waiting_status!$G347 &gt;70,"High","Mid"))</f>
        <v>High</v>
      </c>
    </row>
    <row r="348" spans="1:8" x14ac:dyDescent="0.25">
      <c r="A348" s="38">
        <v>24</v>
      </c>
      <c r="B348" s="32" t="str">
        <f t="shared" si="5"/>
        <v>mid</v>
      </c>
      <c r="F348" s="28" t="s">
        <v>95</v>
      </c>
      <c r="G348" s="40">
        <v>71.5</v>
      </c>
      <c r="H348" s="41" t="str">
        <f>+IF(Waiting_status!$G348&lt;= 40,"Bajo",IF(Waiting_status!$G348 &gt;70,"High","Mid"))</f>
        <v>High</v>
      </c>
    </row>
    <row r="349" spans="1:8" x14ac:dyDescent="0.25">
      <c r="A349" s="31">
        <v>32</v>
      </c>
      <c r="B349" s="32" t="str">
        <f t="shared" si="5"/>
        <v>mid</v>
      </c>
      <c r="F349" s="29" t="s">
        <v>48</v>
      </c>
      <c r="G349" s="42">
        <v>69.7</v>
      </c>
      <c r="H349" s="41" t="str">
        <f>+IF(Waiting_status!$G349&lt;= 40,"Bajo",IF(Waiting_status!$G349 &gt;70,"High","Mid"))</f>
        <v>Mid</v>
      </c>
    </row>
    <row r="350" spans="1:8" x14ac:dyDescent="0.25">
      <c r="A350" s="38">
        <v>51</v>
      </c>
      <c r="B350" s="32" t="str">
        <f t="shared" si="5"/>
        <v>High</v>
      </c>
      <c r="F350" s="28" t="s">
        <v>56</v>
      </c>
      <c r="G350" s="40">
        <v>76.900000000000006</v>
      </c>
      <c r="H350" s="41" t="str">
        <f>+IF(Waiting_status!$G350&lt;= 40,"Bajo",IF(Waiting_status!$G350 &gt;70,"High","Mid"))</f>
        <v>High</v>
      </c>
    </row>
    <row r="351" spans="1:8" x14ac:dyDescent="0.25">
      <c r="A351" s="31">
        <v>40</v>
      </c>
      <c r="B351" s="32" t="str">
        <f t="shared" si="5"/>
        <v>mid</v>
      </c>
      <c r="F351" s="29" t="s">
        <v>22</v>
      </c>
      <c r="G351" s="42">
        <v>64.599999999999994</v>
      </c>
      <c r="H351" s="41" t="str">
        <f>+IF(Waiting_status!$G351&lt;= 40,"Bajo",IF(Waiting_status!$G351 &gt;70,"High","Mid"))</f>
        <v>Mid</v>
      </c>
    </row>
    <row r="352" spans="1:8" x14ac:dyDescent="0.25">
      <c r="A352" s="38">
        <v>12</v>
      </c>
      <c r="B352" s="32" t="str">
        <f t="shared" si="5"/>
        <v>Low</v>
      </c>
      <c r="F352" s="28" t="s">
        <v>64</v>
      </c>
      <c r="G352" s="40">
        <v>93.3</v>
      </c>
      <c r="H352" s="41" t="str">
        <f>+IF(Waiting_status!$G352&lt;= 40,"Bajo",IF(Waiting_status!$G352 &gt;70,"High","Mid"))</f>
        <v>High</v>
      </c>
    </row>
    <row r="353" spans="1:8" x14ac:dyDescent="0.25">
      <c r="A353" s="31">
        <v>49</v>
      </c>
      <c r="B353" s="32" t="str">
        <f t="shared" si="5"/>
        <v>High</v>
      </c>
      <c r="F353" s="29" t="s">
        <v>61</v>
      </c>
      <c r="G353" s="42">
        <v>64.400000000000006</v>
      </c>
      <c r="H353" s="41" t="str">
        <f>+IF(Waiting_status!$G353&lt;= 40,"Bajo",IF(Waiting_status!$G353 &gt;70,"High","Mid"))</f>
        <v>Mid</v>
      </c>
    </row>
    <row r="354" spans="1:8" x14ac:dyDescent="0.25">
      <c r="A354" s="38">
        <v>21</v>
      </c>
      <c r="B354" s="32" t="str">
        <f t="shared" si="5"/>
        <v>mid</v>
      </c>
      <c r="F354" s="28" t="s">
        <v>56</v>
      </c>
      <c r="G354" s="40">
        <v>90.4</v>
      </c>
      <c r="H354" s="41" t="str">
        <f>+IF(Waiting_status!$G354&lt;= 40,"Bajo",IF(Waiting_status!$G354 &gt;70,"High","Mid"))</f>
        <v>High</v>
      </c>
    </row>
    <row r="355" spans="1:8" x14ac:dyDescent="0.25">
      <c r="A355" s="31">
        <v>44</v>
      </c>
      <c r="B355" s="32" t="str">
        <f t="shared" si="5"/>
        <v>High</v>
      </c>
      <c r="F355" s="29" t="s">
        <v>31</v>
      </c>
      <c r="G355" s="42">
        <v>93.9</v>
      </c>
      <c r="H355" s="41" t="str">
        <f>+IF(Waiting_status!$G355&lt;= 40,"Bajo",IF(Waiting_status!$G355 &gt;70,"High","Mid"))</f>
        <v>High</v>
      </c>
    </row>
    <row r="356" spans="1:8" x14ac:dyDescent="0.25">
      <c r="A356" s="38">
        <v>54</v>
      </c>
      <c r="B356" s="32" t="str">
        <f t="shared" si="5"/>
        <v>High</v>
      </c>
      <c r="F356" s="28" t="s">
        <v>95</v>
      </c>
      <c r="G356" s="40">
        <v>88.1</v>
      </c>
      <c r="H356" s="41" t="str">
        <f>+IF(Waiting_status!$G356&lt;= 40,"Bajo",IF(Waiting_status!$G356 &gt;70,"High","Mid"))</f>
        <v>High</v>
      </c>
    </row>
    <row r="357" spans="1:8" x14ac:dyDescent="0.25">
      <c r="A357" s="31">
        <v>25</v>
      </c>
      <c r="B357" s="32" t="str">
        <f t="shared" si="5"/>
        <v>mid</v>
      </c>
      <c r="F357" s="29" t="s">
        <v>64</v>
      </c>
      <c r="G357" s="42">
        <v>66.099999999999994</v>
      </c>
      <c r="H357" s="41" t="str">
        <f>+IF(Waiting_status!$G357&lt;= 40,"Bajo",IF(Waiting_status!$G357 &gt;70,"High","Mid"))</f>
        <v>Mid</v>
      </c>
    </row>
    <row r="358" spans="1:8" x14ac:dyDescent="0.25">
      <c r="A358" s="38">
        <v>24</v>
      </c>
      <c r="B358" s="32" t="str">
        <f t="shared" si="5"/>
        <v>mid</v>
      </c>
      <c r="F358" s="28" t="s">
        <v>61</v>
      </c>
      <c r="G358" s="40">
        <v>61.3</v>
      </c>
      <c r="H358" s="41" t="str">
        <f>+IF(Waiting_status!$G358&lt;= 40,"Bajo",IF(Waiting_status!$G358 &gt;70,"High","Mid"))</f>
        <v>Mid</v>
      </c>
    </row>
    <row r="359" spans="1:8" x14ac:dyDescent="0.25">
      <c r="A359" s="31">
        <v>56</v>
      </c>
      <c r="B359" s="32" t="str">
        <f t="shared" si="5"/>
        <v>High</v>
      </c>
      <c r="F359" s="29" t="s">
        <v>56</v>
      </c>
      <c r="G359" s="42">
        <v>87.2</v>
      </c>
      <c r="H359" s="41" t="str">
        <f>+IF(Waiting_status!$G359&lt;= 40,"Bajo",IF(Waiting_status!$G359 &gt;70,"High","Mid"))</f>
        <v>High</v>
      </c>
    </row>
    <row r="360" spans="1:8" x14ac:dyDescent="0.25">
      <c r="A360" s="38">
        <v>54</v>
      </c>
      <c r="B360" s="32" t="str">
        <f t="shared" si="5"/>
        <v>High</v>
      </c>
      <c r="F360" s="28" t="s">
        <v>48</v>
      </c>
      <c r="G360" s="40">
        <v>71.400000000000006</v>
      </c>
      <c r="H360" s="41" t="str">
        <f>+IF(Waiting_status!$G360&lt;= 40,"Bajo",IF(Waiting_status!$G360 &gt;70,"High","Mid"))</f>
        <v>High</v>
      </c>
    </row>
    <row r="361" spans="1:8" x14ac:dyDescent="0.25">
      <c r="A361" s="31">
        <v>50</v>
      </c>
      <c r="B361" s="32" t="str">
        <f t="shared" si="5"/>
        <v>High</v>
      </c>
      <c r="F361" s="29" t="s">
        <v>31</v>
      </c>
      <c r="G361" s="42">
        <v>95.9</v>
      </c>
      <c r="H361" s="41" t="str">
        <f>+IF(Waiting_status!$G361&lt;= 40,"Bajo",IF(Waiting_status!$G361 &gt;70,"High","Mid"))</f>
        <v>High</v>
      </c>
    </row>
    <row r="362" spans="1:8" x14ac:dyDescent="0.25">
      <c r="A362" s="38">
        <v>17</v>
      </c>
      <c r="B362" s="32" t="str">
        <f t="shared" si="5"/>
        <v>Low</v>
      </c>
      <c r="F362" s="28" t="s">
        <v>95</v>
      </c>
      <c r="G362" s="40">
        <v>73</v>
      </c>
      <c r="H362" s="41" t="str">
        <f>+IF(Waiting_status!$G362&lt;= 40,"Bajo",IF(Waiting_status!$G362 &gt;70,"High","Mid"))</f>
        <v>High</v>
      </c>
    </row>
    <row r="363" spans="1:8" x14ac:dyDescent="0.25">
      <c r="A363" s="31">
        <v>41</v>
      </c>
      <c r="B363" s="32" t="str">
        <f t="shared" si="5"/>
        <v>High</v>
      </c>
      <c r="F363" s="29" t="s">
        <v>31</v>
      </c>
      <c r="G363" s="42">
        <v>67.400000000000006</v>
      </c>
      <c r="H363" s="41" t="str">
        <f>+IF(Waiting_status!$G363&lt;= 40,"Bajo",IF(Waiting_status!$G363 &gt;70,"High","Mid"))</f>
        <v>Mid</v>
      </c>
    </row>
    <row r="364" spans="1:8" x14ac:dyDescent="0.25">
      <c r="A364" s="38">
        <v>23</v>
      </c>
      <c r="B364" s="32" t="str">
        <f t="shared" si="5"/>
        <v>mid</v>
      </c>
      <c r="F364" s="28" t="s">
        <v>16</v>
      </c>
      <c r="G364" s="40">
        <v>77.8</v>
      </c>
      <c r="H364" s="41" t="str">
        <f>+IF(Waiting_status!$G364&lt;= 40,"Bajo",IF(Waiting_status!$G364 &gt;70,"High","Mid"))</f>
        <v>High</v>
      </c>
    </row>
    <row r="365" spans="1:8" x14ac:dyDescent="0.25">
      <c r="A365" s="31">
        <v>25</v>
      </c>
      <c r="B365" s="32" t="str">
        <f t="shared" si="5"/>
        <v>mid</v>
      </c>
      <c r="F365" s="29" t="s">
        <v>31</v>
      </c>
      <c r="G365" s="42">
        <v>92.9</v>
      </c>
      <c r="H365" s="41" t="str">
        <f>+IF(Waiting_status!$G365&lt;= 40,"Bajo",IF(Waiting_status!$G365 &gt;70,"High","Mid"))</f>
        <v>High</v>
      </c>
    </row>
    <row r="366" spans="1:8" x14ac:dyDescent="0.25">
      <c r="A366" s="38">
        <v>16</v>
      </c>
      <c r="B366" s="32" t="str">
        <f t="shared" si="5"/>
        <v>Low</v>
      </c>
      <c r="F366" s="28" t="s">
        <v>22</v>
      </c>
      <c r="G366" s="40">
        <v>67.2</v>
      </c>
      <c r="H366" s="41" t="str">
        <f>+IF(Waiting_status!$G366&lt;= 40,"Bajo",IF(Waiting_status!$G366 &gt;70,"High","Mid"))</f>
        <v>Mid</v>
      </c>
    </row>
    <row r="367" spans="1:8" x14ac:dyDescent="0.25">
      <c r="A367" s="31">
        <v>43</v>
      </c>
      <c r="B367" s="32" t="str">
        <f t="shared" si="5"/>
        <v>High</v>
      </c>
      <c r="F367" s="29" t="s">
        <v>41</v>
      </c>
      <c r="G367" s="42">
        <v>73.8</v>
      </c>
      <c r="H367" s="41" t="str">
        <f>+IF(Waiting_status!$G367&lt;= 40,"Bajo",IF(Waiting_status!$G367 &gt;70,"High","Mid"))</f>
        <v>High</v>
      </c>
    </row>
    <row r="368" spans="1:8" x14ac:dyDescent="0.25">
      <c r="A368" s="38">
        <v>54</v>
      </c>
      <c r="B368" s="32" t="str">
        <f t="shared" si="5"/>
        <v>High</v>
      </c>
      <c r="F368" s="28" t="s">
        <v>48</v>
      </c>
      <c r="G368" s="40">
        <v>84.3</v>
      </c>
      <c r="H368" s="41" t="str">
        <f>+IF(Waiting_status!$G368&lt;= 40,"Bajo",IF(Waiting_status!$G368 &gt;70,"High","Mid"))</f>
        <v>High</v>
      </c>
    </row>
    <row r="369" spans="1:8" x14ac:dyDescent="0.25">
      <c r="A369" s="31">
        <v>50</v>
      </c>
      <c r="B369" s="32" t="str">
        <f t="shared" si="5"/>
        <v>High</v>
      </c>
      <c r="F369" s="29" t="s">
        <v>61</v>
      </c>
      <c r="G369" s="42">
        <v>84.8</v>
      </c>
      <c r="H369" s="41" t="str">
        <f>+IF(Waiting_status!$G369&lt;= 40,"Bajo",IF(Waiting_status!$G369 &gt;70,"High","Mid"))</f>
        <v>High</v>
      </c>
    </row>
    <row r="370" spans="1:8" x14ac:dyDescent="0.25">
      <c r="A370" s="38">
        <v>51</v>
      </c>
      <c r="B370" s="32" t="str">
        <f t="shared" si="5"/>
        <v>High</v>
      </c>
      <c r="F370" s="28" t="s">
        <v>64</v>
      </c>
      <c r="G370" s="40">
        <v>90.2</v>
      </c>
      <c r="H370" s="41" t="str">
        <f>+IF(Waiting_status!$G370&lt;= 40,"Bajo",IF(Waiting_status!$G370 &gt;70,"High","Mid"))</f>
        <v>High</v>
      </c>
    </row>
    <row r="371" spans="1:8" x14ac:dyDescent="0.25">
      <c r="A371" s="31">
        <v>16</v>
      </c>
      <c r="B371" s="32" t="str">
        <f t="shared" si="5"/>
        <v>Low</v>
      </c>
      <c r="F371" s="29" t="s">
        <v>22</v>
      </c>
      <c r="G371" s="42">
        <v>65.7</v>
      </c>
      <c r="H371" s="41" t="str">
        <f>+IF(Waiting_status!$G371&lt;= 40,"Bajo",IF(Waiting_status!$G371 &gt;70,"High","Mid"))</f>
        <v>Mid</v>
      </c>
    </row>
    <row r="372" spans="1:8" x14ac:dyDescent="0.25">
      <c r="A372" s="38">
        <v>16</v>
      </c>
      <c r="B372" s="32" t="str">
        <f t="shared" si="5"/>
        <v>Low</v>
      </c>
      <c r="F372" s="28" t="s">
        <v>48</v>
      </c>
      <c r="G372" s="40">
        <v>96</v>
      </c>
      <c r="H372" s="41" t="str">
        <f>+IF(Waiting_status!$G372&lt;= 40,"Bajo",IF(Waiting_status!$G372 &gt;70,"High","Mid"))</f>
        <v>High</v>
      </c>
    </row>
    <row r="373" spans="1:8" x14ac:dyDescent="0.25">
      <c r="A373" s="31">
        <v>48</v>
      </c>
      <c r="B373" s="32" t="str">
        <f t="shared" si="5"/>
        <v>High</v>
      </c>
      <c r="F373" s="29" t="s">
        <v>28</v>
      </c>
      <c r="G373" s="42">
        <v>68.900000000000006</v>
      </c>
      <c r="H373" s="41" t="str">
        <f>+IF(Waiting_status!$G373&lt;= 40,"Bajo",IF(Waiting_status!$G373 &gt;70,"High","Mid"))</f>
        <v>Mid</v>
      </c>
    </row>
    <row r="374" spans="1:8" x14ac:dyDescent="0.25">
      <c r="A374" s="38">
        <v>52</v>
      </c>
      <c r="B374" s="32" t="str">
        <f t="shared" si="5"/>
        <v>High</v>
      </c>
      <c r="F374" s="28" t="s">
        <v>28</v>
      </c>
      <c r="G374" s="40">
        <v>66.599999999999994</v>
      </c>
      <c r="H374" s="41" t="str">
        <f>+IF(Waiting_status!$G374&lt;= 40,"Bajo",IF(Waiting_status!$G374 &gt;70,"High","Mid"))</f>
        <v>Mid</v>
      </c>
    </row>
    <row r="375" spans="1:8" x14ac:dyDescent="0.25">
      <c r="A375" s="31">
        <v>21</v>
      </c>
      <c r="B375" s="32" t="str">
        <f t="shared" si="5"/>
        <v>mid</v>
      </c>
      <c r="F375" s="29" t="s">
        <v>22</v>
      </c>
      <c r="G375" s="42">
        <v>87.7</v>
      </c>
      <c r="H375" s="41" t="str">
        <f>+IF(Waiting_status!$G375&lt;= 40,"Bajo",IF(Waiting_status!$G375 &gt;70,"High","Mid"))</f>
        <v>High</v>
      </c>
    </row>
    <row r="376" spans="1:8" x14ac:dyDescent="0.25">
      <c r="A376" s="38">
        <v>23</v>
      </c>
      <c r="B376" s="32" t="str">
        <f t="shared" si="5"/>
        <v>mid</v>
      </c>
      <c r="F376" s="28" t="s">
        <v>41</v>
      </c>
      <c r="G376" s="40">
        <v>88.9</v>
      </c>
      <c r="H376" s="41" t="str">
        <f>+IF(Waiting_status!$G376&lt;= 40,"Bajo",IF(Waiting_status!$G376 &gt;70,"High","Mid"))</f>
        <v>High</v>
      </c>
    </row>
    <row r="377" spans="1:8" x14ac:dyDescent="0.25">
      <c r="A377" s="31">
        <v>58</v>
      </c>
      <c r="B377" s="32" t="str">
        <f t="shared" si="5"/>
        <v>High</v>
      </c>
      <c r="F377" s="29" t="s">
        <v>31</v>
      </c>
      <c r="G377" s="42">
        <v>81.5</v>
      </c>
      <c r="H377" s="41" t="str">
        <f>+IF(Waiting_status!$G377&lt;= 40,"Bajo",IF(Waiting_status!$G377 &gt;70,"High","Mid"))</f>
        <v>High</v>
      </c>
    </row>
    <row r="378" spans="1:8" x14ac:dyDescent="0.25">
      <c r="A378" s="38">
        <v>20</v>
      </c>
      <c r="B378" s="32" t="str">
        <f t="shared" si="5"/>
        <v>Low</v>
      </c>
      <c r="F378" s="28" t="s">
        <v>16</v>
      </c>
      <c r="G378" s="40">
        <v>80.8</v>
      </c>
      <c r="H378" s="41" t="str">
        <f>+IF(Waiting_status!$G378&lt;= 40,"Bajo",IF(Waiting_status!$G378 &gt;70,"High","Mid"))</f>
        <v>High</v>
      </c>
    </row>
    <row r="379" spans="1:8" x14ac:dyDescent="0.25">
      <c r="A379" s="31">
        <v>10</v>
      </c>
      <c r="B379" s="32" t="str">
        <f t="shared" si="5"/>
        <v>Low</v>
      </c>
      <c r="F379" s="29" t="s">
        <v>48</v>
      </c>
      <c r="G379" s="42">
        <v>67</v>
      </c>
      <c r="H379" s="41" t="str">
        <f>+IF(Waiting_status!$G379&lt;= 40,"Bajo",IF(Waiting_status!$G379 &gt;70,"High","Mid"))</f>
        <v>Mid</v>
      </c>
    </row>
    <row r="380" spans="1:8" x14ac:dyDescent="0.25">
      <c r="A380" s="38">
        <v>52</v>
      </c>
      <c r="B380" s="32" t="str">
        <f t="shared" si="5"/>
        <v>High</v>
      </c>
      <c r="F380" s="28" t="s">
        <v>28</v>
      </c>
      <c r="G380" s="40">
        <v>62.5</v>
      </c>
      <c r="H380" s="41" t="str">
        <f>+IF(Waiting_status!$G380&lt;= 40,"Bajo",IF(Waiting_status!$G380 &gt;70,"High","Mid"))</f>
        <v>Mid</v>
      </c>
    </row>
    <row r="381" spans="1:8" x14ac:dyDescent="0.25">
      <c r="A381" s="31">
        <v>49</v>
      </c>
      <c r="B381" s="32" t="str">
        <f t="shared" si="5"/>
        <v>High</v>
      </c>
      <c r="F381" s="29" t="s">
        <v>31</v>
      </c>
      <c r="G381" s="42">
        <v>94.7</v>
      </c>
      <c r="H381" s="41" t="str">
        <f>+IF(Waiting_status!$G381&lt;= 40,"Bajo",IF(Waiting_status!$G381 &gt;70,"High","Mid"))</f>
        <v>High</v>
      </c>
    </row>
    <row r="382" spans="1:8" x14ac:dyDescent="0.25">
      <c r="A382" s="38">
        <v>35</v>
      </c>
      <c r="B382" s="32" t="str">
        <f t="shared" si="5"/>
        <v>mid</v>
      </c>
      <c r="F382" s="28" t="s">
        <v>22</v>
      </c>
      <c r="G382" s="40">
        <v>73.900000000000006</v>
      </c>
      <c r="H382" s="41" t="str">
        <f>+IF(Waiting_status!$G382&lt;= 40,"Bajo",IF(Waiting_status!$G382 &gt;70,"High","Mid"))</f>
        <v>High</v>
      </c>
    </row>
    <row r="383" spans="1:8" x14ac:dyDescent="0.25">
      <c r="A383" s="31">
        <v>34</v>
      </c>
      <c r="B383" s="32" t="str">
        <f t="shared" si="5"/>
        <v>mid</v>
      </c>
      <c r="F383" s="29" t="s">
        <v>31</v>
      </c>
      <c r="G383" s="42">
        <v>70.7</v>
      </c>
      <c r="H383" s="41" t="str">
        <f>+IF(Waiting_status!$G383&lt;= 40,"Bajo",IF(Waiting_status!$G383 &gt;70,"High","Mid"))</f>
        <v>High</v>
      </c>
    </row>
    <row r="384" spans="1:8" x14ac:dyDescent="0.25">
      <c r="A384" s="38">
        <v>16</v>
      </c>
      <c r="B384" s="32" t="str">
        <f t="shared" si="5"/>
        <v>Low</v>
      </c>
      <c r="F384" s="28" t="s">
        <v>41</v>
      </c>
      <c r="G384" s="40">
        <v>91.1</v>
      </c>
      <c r="H384" s="41" t="str">
        <f>+IF(Waiting_status!$G384&lt;= 40,"Bajo",IF(Waiting_status!$G384 &gt;70,"High","Mid"))</f>
        <v>High</v>
      </c>
    </row>
    <row r="385" spans="1:8" x14ac:dyDescent="0.25">
      <c r="A385" s="31">
        <v>36</v>
      </c>
      <c r="B385" s="32" t="str">
        <f t="shared" si="5"/>
        <v>mid</v>
      </c>
      <c r="F385" s="29" t="s">
        <v>61</v>
      </c>
      <c r="G385" s="42">
        <v>90.1</v>
      </c>
      <c r="H385" s="41" t="str">
        <f>+IF(Waiting_status!$G385&lt;= 40,"Bajo",IF(Waiting_status!$G385 &gt;70,"High","Mid"))</f>
        <v>High</v>
      </c>
    </row>
    <row r="386" spans="1:8" x14ac:dyDescent="0.25">
      <c r="A386" s="38">
        <v>26</v>
      </c>
      <c r="B386" s="32" t="str">
        <f t="shared" si="5"/>
        <v>mid</v>
      </c>
      <c r="F386" s="28" t="s">
        <v>31</v>
      </c>
      <c r="G386" s="40">
        <v>66</v>
      </c>
      <c r="H386" s="41" t="str">
        <f>+IF(Waiting_status!$G386&lt;= 40,"Bajo",IF(Waiting_status!$G386 &gt;70,"High","Mid"))</f>
        <v>Mid</v>
      </c>
    </row>
    <row r="387" spans="1:8" x14ac:dyDescent="0.25">
      <c r="A387" s="31">
        <v>37</v>
      </c>
      <c r="B387" s="32" t="str">
        <f t="shared" ref="B387:B450" si="6">+IF(A387&lt;= 20,"Low",IF(A387 &gt; 40,"High","mid"))</f>
        <v>mid</v>
      </c>
      <c r="F387" s="29" t="s">
        <v>28</v>
      </c>
      <c r="G387" s="42">
        <v>63.6</v>
      </c>
      <c r="H387" s="41" t="str">
        <f>+IF(Waiting_status!$G387&lt;= 40,"Bajo",IF(Waiting_status!$G387 &gt;70,"High","Mid"))</f>
        <v>Mid</v>
      </c>
    </row>
    <row r="388" spans="1:8" x14ac:dyDescent="0.25">
      <c r="A388" s="38">
        <v>14</v>
      </c>
      <c r="B388" s="32" t="str">
        <f t="shared" si="6"/>
        <v>Low</v>
      </c>
      <c r="F388" s="28" t="s">
        <v>28</v>
      </c>
      <c r="G388" s="40">
        <v>98.8</v>
      </c>
      <c r="H388" s="41" t="str">
        <f>+IF(Waiting_status!$G388&lt;= 40,"Bajo",IF(Waiting_status!$G388 &gt;70,"High","Mid"))</f>
        <v>High</v>
      </c>
    </row>
    <row r="389" spans="1:8" x14ac:dyDescent="0.25">
      <c r="A389" s="31">
        <v>17</v>
      </c>
      <c r="B389" s="32" t="str">
        <f t="shared" si="6"/>
        <v>Low</v>
      </c>
      <c r="F389" s="29" t="s">
        <v>22</v>
      </c>
      <c r="G389" s="42">
        <v>77</v>
      </c>
      <c r="H389" s="41" t="str">
        <f>+IF(Waiting_status!$G389&lt;= 40,"Bajo",IF(Waiting_status!$G389 &gt;70,"High","Mid"))</f>
        <v>High</v>
      </c>
    </row>
    <row r="390" spans="1:8" x14ac:dyDescent="0.25">
      <c r="A390" s="38">
        <v>54</v>
      </c>
      <c r="B390" s="32" t="str">
        <f t="shared" si="6"/>
        <v>High</v>
      </c>
      <c r="F390" s="28" t="s">
        <v>48</v>
      </c>
      <c r="G390" s="40">
        <v>86.2</v>
      </c>
      <c r="H390" s="41" t="str">
        <f>+IF(Waiting_status!$G390&lt;= 40,"Bajo",IF(Waiting_status!$G390 &gt;70,"High","Mid"))</f>
        <v>High</v>
      </c>
    </row>
    <row r="391" spans="1:8" x14ac:dyDescent="0.25">
      <c r="A391" s="31">
        <v>25</v>
      </c>
      <c r="B391" s="32" t="str">
        <f t="shared" si="6"/>
        <v>mid</v>
      </c>
      <c r="F391" s="29" t="s">
        <v>56</v>
      </c>
      <c r="G391" s="42">
        <v>94.6</v>
      </c>
      <c r="H391" s="41" t="str">
        <f>+IF(Waiting_status!$G391&lt;= 40,"Bajo",IF(Waiting_status!$G391 &gt;70,"High","Mid"))</f>
        <v>High</v>
      </c>
    </row>
    <row r="392" spans="1:8" x14ac:dyDescent="0.25">
      <c r="A392" s="38">
        <v>57</v>
      </c>
      <c r="B392" s="32" t="str">
        <f t="shared" si="6"/>
        <v>High</v>
      </c>
      <c r="F392" s="28" t="s">
        <v>31</v>
      </c>
      <c r="G392" s="40">
        <v>72.099999999999994</v>
      </c>
      <c r="H392" s="41" t="str">
        <f>+IF(Waiting_status!$G392&lt;= 40,"Bajo",IF(Waiting_status!$G392 &gt;70,"High","Mid"))</f>
        <v>High</v>
      </c>
    </row>
    <row r="393" spans="1:8" x14ac:dyDescent="0.25">
      <c r="A393" s="31">
        <v>41</v>
      </c>
      <c r="B393" s="32" t="str">
        <f t="shared" si="6"/>
        <v>High</v>
      </c>
      <c r="F393" s="29" t="s">
        <v>48</v>
      </c>
      <c r="G393" s="42">
        <v>72.900000000000006</v>
      </c>
      <c r="H393" s="41" t="str">
        <f>+IF(Waiting_status!$G393&lt;= 40,"Bajo",IF(Waiting_status!$G393 &gt;70,"High","Mid"))</f>
        <v>High</v>
      </c>
    </row>
    <row r="394" spans="1:8" x14ac:dyDescent="0.25">
      <c r="A394" s="38">
        <v>41</v>
      </c>
      <c r="B394" s="32" t="str">
        <f t="shared" si="6"/>
        <v>High</v>
      </c>
      <c r="F394" s="28" t="s">
        <v>48</v>
      </c>
      <c r="G394" s="40">
        <v>88.7</v>
      </c>
      <c r="H394" s="41" t="str">
        <f>+IF(Waiting_status!$G394&lt;= 40,"Bajo",IF(Waiting_status!$G394 &gt;70,"High","Mid"))</f>
        <v>High</v>
      </c>
    </row>
    <row r="395" spans="1:8" x14ac:dyDescent="0.25">
      <c r="A395" s="31">
        <v>32</v>
      </c>
      <c r="B395" s="32" t="str">
        <f t="shared" si="6"/>
        <v>mid</v>
      </c>
      <c r="F395" s="29" t="s">
        <v>16</v>
      </c>
      <c r="G395" s="42">
        <v>68.099999999999994</v>
      </c>
      <c r="H395" s="41" t="str">
        <f>+IF(Waiting_status!$G395&lt;= 40,"Bajo",IF(Waiting_status!$G395 &gt;70,"High","Mid"))</f>
        <v>Mid</v>
      </c>
    </row>
    <row r="396" spans="1:8" x14ac:dyDescent="0.25">
      <c r="A396" s="38">
        <v>54</v>
      </c>
      <c r="B396" s="32" t="str">
        <f t="shared" si="6"/>
        <v>High</v>
      </c>
      <c r="F396" s="28" t="s">
        <v>48</v>
      </c>
      <c r="G396" s="40">
        <v>74.5</v>
      </c>
      <c r="H396" s="41" t="str">
        <f>+IF(Waiting_status!$G396&lt;= 40,"Bajo",IF(Waiting_status!$G396 &gt;70,"High","Mid"))</f>
        <v>High</v>
      </c>
    </row>
    <row r="397" spans="1:8" x14ac:dyDescent="0.25">
      <c r="A397" s="31">
        <v>10</v>
      </c>
      <c r="B397" s="32" t="str">
        <f t="shared" si="6"/>
        <v>Low</v>
      </c>
      <c r="F397" s="29" t="s">
        <v>16</v>
      </c>
      <c r="G397" s="42">
        <v>99</v>
      </c>
      <c r="H397" s="41" t="str">
        <f>+IF(Waiting_status!$G397&lt;= 40,"Bajo",IF(Waiting_status!$G397 &gt;70,"High","Mid"))</f>
        <v>High</v>
      </c>
    </row>
    <row r="398" spans="1:8" x14ac:dyDescent="0.25">
      <c r="A398" s="38">
        <v>35</v>
      </c>
      <c r="B398" s="32" t="str">
        <f t="shared" si="6"/>
        <v>mid</v>
      </c>
      <c r="F398" s="28" t="s">
        <v>56</v>
      </c>
      <c r="G398" s="40">
        <v>99.9</v>
      </c>
      <c r="H398" s="41" t="str">
        <f>+IF(Waiting_status!$G398&lt;= 40,"Bajo",IF(Waiting_status!$G398 &gt;70,"High","Mid"))</f>
        <v>High</v>
      </c>
    </row>
    <row r="399" spans="1:8" x14ac:dyDescent="0.25">
      <c r="A399" s="31">
        <v>18</v>
      </c>
      <c r="B399" s="32" t="str">
        <f t="shared" si="6"/>
        <v>Low</v>
      </c>
      <c r="F399" s="29" t="s">
        <v>56</v>
      </c>
      <c r="G399" s="42">
        <v>90.5</v>
      </c>
      <c r="H399" s="41" t="str">
        <f>+IF(Waiting_status!$G399&lt;= 40,"Bajo",IF(Waiting_status!$G399 &gt;70,"High","Mid"))</f>
        <v>High</v>
      </c>
    </row>
    <row r="400" spans="1:8" x14ac:dyDescent="0.25">
      <c r="A400" s="38">
        <v>28</v>
      </c>
      <c r="B400" s="32" t="str">
        <f t="shared" si="6"/>
        <v>mid</v>
      </c>
      <c r="F400" s="28" t="s">
        <v>64</v>
      </c>
      <c r="G400" s="40">
        <v>60.2</v>
      </c>
      <c r="H400" s="41" t="str">
        <f>+IF(Waiting_status!$G400&lt;= 40,"Bajo",IF(Waiting_status!$G400 &gt;70,"High","Mid"))</f>
        <v>Mid</v>
      </c>
    </row>
    <row r="401" spans="1:8" x14ac:dyDescent="0.25">
      <c r="A401" s="31">
        <v>12</v>
      </c>
      <c r="B401" s="32" t="str">
        <f t="shared" si="6"/>
        <v>Low</v>
      </c>
      <c r="F401" s="29" t="s">
        <v>61</v>
      </c>
      <c r="G401" s="42">
        <v>71.2</v>
      </c>
      <c r="H401" s="41" t="str">
        <f>+IF(Waiting_status!$G401&lt;= 40,"Bajo",IF(Waiting_status!$G401 &gt;70,"High","Mid"))</f>
        <v>High</v>
      </c>
    </row>
    <row r="402" spans="1:8" x14ac:dyDescent="0.25">
      <c r="A402" s="38">
        <v>44</v>
      </c>
      <c r="B402" s="32" t="str">
        <f t="shared" si="6"/>
        <v>High</v>
      </c>
      <c r="F402" s="28" t="s">
        <v>28</v>
      </c>
      <c r="G402" s="40">
        <v>85.8</v>
      </c>
      <c r="H402" s="41" t="str">
        <f>+IF(Waiting_status!$G402&lt;= 40,"Bajo",IF(Waiting_status!$G402 &gt;70,"High","Mid"))</f>
        <v>High</v>
      </c>
    </row>
    <row r="403" spans="1:8" x14ac:dyDescent="0.25">
      <c r="A403" s="31">
        <v>35</v>
      </c>
      <c r="B403" s="32" t="str">
        <f t="shared" si="6"/>
        <v>mid</v>
      </c>
      <c r="F403" s="29" t="s">
        <v>56</v>
      </c>
      <c r="G403" s="42">
        <v>83.5</v>
      </c>
      <c r="H403" s="41" t="str">
        <f>+IF(Waiting_status!$G403&lt;= 40,"Bajo",IF(Waiting_status!$G403 &gt;70,"High","Mid"))</f>
        <v>High</v>
      </c>
    </row>
    <row r="404" spans="1:8" x14ac:dyDescent="0.25">
      <c r="A404" s="38">
        <v>50</v>
      </c>
      <c r="B404" s="32" t="str">
        <f t="shared" si="6"/>
        <v>High</v>
      </c>
      <c r="F404" s="28" t="s">
        <v>22</v>
      </c>
      <c r="G404" s="40">
        <v>62.6</v>
      </c>
      <c r="H404" s="41" t="str">
        <f>+IF(Waiting_status!$G404&lt;= 40,"Bajo",IF(Waiting_status!$G404 &gt;70,"High","Mid"))</f>
        <v>Mid</v>
      </c>
    </row>
    <row r="405" spans="1:8" x14ac:dyDescent="0.25">
      <c r="A405" s="31">
        <v>15</v>
      </c>
      <c r="B405" s="32" t="str">
        <f t="shared" si="6"/>
        <v>Low</v>
      </c>
      <c r="F405" s="29" t="s">
        <v>61</v>
      </c>
      <c r="G405" s="42">
        <v>88.6</v>
      </c>
      <c r="H405" s="41" t="str">
        <f>+IF(Waiting_status!$G405&lt;= 40,"Bajo",IF(Waiting_status!$G405 &gt;70,"High","Mid"))</f>
        <v>High</v>
      </c>
    </row>
    <row r="406" spans="1:8" x14ac:dyDescent="0.25">
      <c r="A406" s="38">
        <v>47</v>
      </c>
      <c r="B406" s="32" t="str">
        <f t="shared" si="6"/>
        <v>High</v>
      </c>
      <c r="F406" s="28" t="s">
        <v>16</v>
      </c>
      <c r="G406" s="40">
        <v>90.3</v>
      </c>
      <c r="H406" s="41" t="str">
        <f>+IF(Waiting_status!$G406&lt;= 40,"Bajo",IF(Waiting_status!$G406 &gt;70,"High","Mid"))</f>
        <v>High</v>
      </c>
    </row>
    <row r="407" spans="1:8" x14ac:dyDescent="0.25">
      <c r="A407" s="31">
        <v>39</v>
      </c>
      <c r="B407" s="32" t="str">
        <f t="shared" si="6"/>
        <v>mid</v>
      </c>
      <c r="F407" s="29" t="s">
        <v>64</v>
      </c>
      <c r="G407" s="42">
        <v>63.8</v>
      </c>
      <c r="H407" s="41" t="str">
        <f>+IF(Waiting_status!$G407&lt;= 40,"Bajo",IF(Waiting_status!$G407 &gt;70,"High","Mid"))</f>
        <v>Mid</v>
      </c>
    </row>
    <row r="408" spans="1:8" x14ac:dyDescent="0.25">
      <c r="A408" s="38">
        <v>16</v>
      </c>
      <c r="B408" s="32" t="str">
        <f t="shared" si="6"/>
        <v>Low</v>
      </c>
      <c r="F408" s="28" t="s">
        <v>61</v>
      </c>
      <c r="G408" s="40">
        <v>90.7</v>
      </c>
      <c r="H408" s="41" t="str">
        <f>+IF(Waiting_status!$G408&lt;= 40,"Bajo",IF(Waiting_status!$G408 &gt;70,"High","Mid"))</f>
        <v>High</v>
      </c>
    </row>
    <row r="409" spans="1:8" x14ac:dyDescent="0.25">
      <c r="A409" s="31">
        <v>24</v>
      </c>
      <c r="B409" s="32" t="str">
        <f t="shared" si="6"/>
        <v>mid</v>
      </c>
      <c r="F409" s="29" t="s">
        <v>31</v>
      </c>
      <c r="G409" s="42">
        <v>99.7</v>
      </c>
      <c r="H409" s="41" t="str">
        <f>+IF(Waiting_status!$G409&lt;= 40,"Bajo",IF(Waiting_status!$G409 &gt;70,"High","Mid"))</f>
        <v>High</v>
      </c>
    </row>
    <row r="410" spans="1:8" x14ac:dyDescent="0.25">
      <c r="A410" s="38">
        <v>58</v>
      </c>
      <c r="B410" s="32" t="str">
        <f t="shared" si="6"/>
        <v>High</v>
      </c>
      <c r="F410" s="28" t="s">
        <v>61</v>
      </c>
      <c r="G410" s="40">
        <v>82</v>
      </c>
      <c r="H410" s="41" t="str">
        <f>+IF(Waiting_status!$G410&lt;= 40,"Bajo",IF(Waiting_status!$G410 &gt;70,"High","Mid"))</f>
        <v>High</v>
      </c>
    </row>
    <row r="411" spans="1:8" x14ac:dyDescent="0.25">
      <c r="A411" s="31">
        <v>19</v>
      </c>
      <c r="B411" s="32" t="str">
        <f t="shared" si="6"/>
        <v>Low</v>
      </c>
      <c r="F411" s="29" t="s">
        <v>28</v>
      </c>
      <c r="G411" s="42">
        <v>96.4</v>
      </c>
      <c r="H411" s="41" t="str">
        <f>+IF(Waiting_status!$G411&lt;= 40,"Bajo",IF(Waiting_status!$G411 &gt;70,"High","Mid"))</f>
        <v>High</v>
      </c>
    </row>
    <row r="412" spans="1:8" x14ac:dyDescent="0.25">
      <c r="A412" s="38">
        <v>41</v>
      </c>
      <c r="B412" s="32" t="str">
        <f t="shared" si="6"/>
        <v>High</v>
      </c>
      <c r="F412" s="28" t="s">
        <v>16</v>
      </c>
      <c r="G412" s="40">
        <v>62.1</v>
      </c>
      <c r="H412" s="41" t="str">
        <f>+IF(Waiting_status!$G412&lt;= 40,"Bajo",IF(Waiting_status!$G412 &gt;70,"High","Mid"))</f>
        <v>Mid</v>
      </c>
    </row>
    <row r="413" spans="1:8" x14ac:dyDescent="0.25">
      <c r="A413" s="31">
        <v>39</v>
      </c>
      <c r="B413" s="32" t="str">
        <f t="shared" si="6"/>
        <v>mid</v>
      </c>
      <c r="F413" s="29" t="s">
        <v>28</v>
      </c>
      <c r="G413" s="42">
        <v>88.3</v>
      </c>
      <c r="H413" s="41" t="str">
        <f>+IF(Waiting_status!$G413&lt;= 40,"Bajo",IF(Waiting_status!$G413 &gt;70,"High","Mid"))</f>
        <v>High</v>
      </c>
    </row>
    <row r="414" spans="1:8" x14ac:dyDescent="0.25">
      <c r="A414" s="38">
        <v>12</v>
      </c>
      <c r="B414" s="32" t="str">
        <f t="shared" si="6"/>
        <v>Low</v>
      </c>
      <c r="F414" s="28" t="s">
        <v>64</v>
      </c>
      <c r="G414" s="40">
        <v>61.9</v>
      </c>
      <c r="H414" s="41" t="str">
        <f>+IF(Waiting_status!$G414&lt;= 40,"Bajo",IF(Waiting_status!$G414 &gt;70,"High","Mid"))</f>
        <v>Mid</v>
      </c>
    </row>
    <row r="415" spans="1:8" x14ac:dyDescent="0.25">
      <c r="A415" s="31">
        <v>28</v>
      </c>
      <c r="B415" s="32" t="str">
        <f t="shared" si="6"/>
        <v>mid</v>
      </c>
      <c r="F415" s="29" t="s">
        <v>48</v>
      </c>
      <c r="G415" s="42">
        <v>68.8</v>
      </c>
      <c r="H415" s="41" t="str">
        <f>+IF(Waiting_status!$G415&lt;= 40,"Bajo",IF(Waiting_status!$G415 &gt;70,"High","Mid"))</f>
        <v>Mid</v>
      </c>
    </row>
    <row r="416" spans="1:8" x14ac:dyDescent="0.25">
      <c r="A416" s="38">
        <v>30</v>
      </c>
      <c r="B416" s="32" t="str">
        <f t="shared" si="6"/>
        <v>mid</v>
      </c>
      <c r="F416" s="28" t="s">
        <v>41</v>
      </c>
      <c r="G416" s="40">
        <v>91.4</v>
      </c>
      <c r="H416" s="41" t="str">
        <f>+IF(Waiting_status!$G416&lt;= 40,"Bajo",IF(Waiting_status!$G416 &gt;70,"High","Mid"))</f>
        <v>High</v>
      </c>
    </row>
    <row r="417" spans="1:8" x14ac:dyDescent="0.25">
      <c r="A417" s="31">
        <v>51</v>
      </c>
      <c r="B417" s="32" t="str">
        <f t="shared" si="6"/>
        <v>High</v>
      </c>
      <c r="F417" s="29" t="s">
        <v>56</v>
      </c>
      <c r="G417" s="42">
        <v>87.5</v>
      </c>
      <c r="H417" s="41" t="str">
        <f>+IF(Waiting_status!$G417&lt;= 40,"Bajo",IF(Waiting_status!$G417 &gt;70,"High","Mid"))</f>
        <v>High</v>
      </c>
    </row>
    <row r="418" spans="1:8" x14ac:dyDescent="0.25">
      <c r="A418" s="38">
        <v>38</v>
      </c>
      <c r="B418" s="32" t="str">
        <f t="shared" si="6"/>
        <v>mid</v>
      </c>
      <c r="F418" s="28" t="s">
        <v>16</v>
      </c>
      <c r="G418" s="40">
        <v>92.4</v>
      </c>
      <c r="H418" s="41" t="str">
        <f>+IF(Waiting_status!$G418&lt;= 40,"Bajo",IF(Waiting_status!$G418 &gt;70,"High","Mid"))</f>
        <v>High</v>
      </c>
    </row>
    <row r="419" spans="1:8" x14ac:dyDescent="0.25">
      <c r="A419" s="31">
        <v>60</v>
      </c>
      <c r="B419" s="32" t="str">
        <f t="shared" si="6"/>
        <v>High</v>
      </c>
      <c r="F419" s="29" t="s">
        <v>61</v>
      </c>
      <c r="G419" s="42">
        <v>99.5</v>
      </c>
      <c r="H419" s="41" t="str">
        <f>+IF(Waiting_status!$G419&lt;= 40,"Bajo",IF(Waiting_status!$G419 &gt;70,"High","Mid"))</f>
        <v>High</v>
      </c>
    </row>
    <row r="420" spans="1:8" x14ac:dyDescent="0.25">
      <c r="A420" s="38">
        <v>50</v>
      </c>
      <c r="B420" s="32" t="str">
        <f t="shared" si="6"/>
        <v>High</v>
      </c>
      <c r="F420" s="28" t="s">
        <v>61</v>
      </c>
      <c r="G420" s="40">
        <v>88.3</v>
      </c>
      <c r="H420" s="41" t="str">
        <f>+IF(Waiting_status!$G420&lt;= 40,"Bajo",IF(Waiting_status!$G420 &gt;70,"High","Mid"))</f>
        <v>High</v>
      </c>
    </row>
    <row r="421" spans="1:8" x14ac:dyDescent="0.25">
      <c r="A421" s="31">
        <v>24</v>
      </c>
      <c r="B421" s="32" t="str">
        <f t="shared" si="6"/>
        <v>mid</v>
      </c>
      <c r="F421" s="29" t="s">
        <v>61</v>
      </c>
      <c r="G421" s="42">
        <v>82.5</v>
      </c>
      <c r="H421" s="41" t="str">
        <f>+IF(Waiting_status!$G421&lt;= 40,"Bajo",IF(Waiting_status!$G421 &gt;70,"High","Mid"))</f>
        <v>High</v>
      </c>
    </row>
    <row r="422" spans="1:8" x14ac:dyDescent="0.25">
      <c r="A422" s="38">
        <v>41</v>
      </c>
      <c r="B422" s="32" t="str">
        <f t="shared" si="6"/>
        <v>High</v>
      </c>
      <c r="F422" s="28" t="s">
        <v>22</v>
      </c>
      <c r="G422" s="40">
        <v>88.9</v>
      </c>
      <c r="H422" s="41" t="str">
        <f>+IF(Waiting_status!$G422&lt;= 40,"Bajo",IF(Waiting_status!$G422 &gt;70,"High","Mid"))</f>
        <v>High</v>
      </c>
    </row>
    <row r="423" spans="1:8" x14ac:dyDescent="0.25">
      <c r="A423" s="31">
        <v>51</v>
      </c>
      <c r="B423" s="32" t="str">
        <f t="shared" si="6"/>
        <v>High</v>
      </c>
      <c r="F423" s="29" t="s">
        <v>64</v>
      </c>
      <c r="G423" s="42">
        <v>85.6</v>
      </c>
      <c r="H423" s="41" t="str">
        <f>+IF(Waiting_status!$G423&lt;= 40,"Bajo",IF(Waiting_status!$G423 &gt;70,"High","Mid"))</f>
        <v>High</v>
      </c>
    </row>
    <row r="424" spans="1:8" x14ac:dyDescent="0.25">
      <c r="A424" s="38">
        <v>34</v>
      </c>
      <c r="B424" s="32" t="str">
        <f t="shared" si="6"/>
        <v>mid</v>
      </c>
      <c r="F424" s="28" t="s">
        <v>61</v>
      </c>
      <c r="G424" s="40">
        <v>82</v>
      </c>
      <c r="H424" s="41" t="str">
        <f>+IF(Waiting_status!$G424&lt;= 40,"Bajo",IF(Waiting_status!$G424 &gt;70,"High","Mid"))</f>
        <v>High</v>
      </c>
    </row>
    <row r="425" spans="1:8" x14ac:dyDescent="0.25">
      <c r="A425" s="31">
        <v>58</v>
      </c>
      <c r="B425" s="32" t="str">
        <f t="shared" si="6"/>
        <v>High</v>
      </c>
      <c r="F425" s="29" t="s">
        <v>61</v>
      </c>
      <c r="G425" s="42">
        <v>61.3</v>
      </c>
      <c r="H425" s="41" t="str">
        <f>+IF(Waiting_status!$G425&lt;= 40,"Bajo",IF(Waiting_status!$G425 &gt;70,"High","Mid"))</f>
        <v>Mid</v>
      </c>
    </row>
    <row r="426" spans="1:8" x14ac:dyDescent="0.25">
      <c r="A426" s="38">
        <v>47</v>
      </c>
      <c r="B426" s="32" t="str">
        <f t="shared" si="6"/>
        <v>High</v>
      </c>
      <c r="F426" s="28" t="s">
        <v>48</v>
      </c>
      <c r="G426" s="40">
        <v>81.7</v>
      </c>
      <c r="H426" s="41" t="str">
        <f>+IF(Waiting_status!$G426&lt;= 40,"Bajo",IF(Waiting_status!$G426 &gt;70,"High","Mid"))</f>
        <v>High</v>
      </c>
    </row>
    <row r="427" spans="1:8" x14ac:dyDescent="0.25">
      <c r="A427" s="31">
        <v>34</v>
      </c>
      <c r="B427" s="32" t="str">
        <f t="shared" si="6"/>
        <v>mid</v>
      </c>
      <c r="F427" s="29" t="s">
        <v>22</v>
      </c>
      <c r="G427" s="42">
        <v>95</v>
      </c>
      <c r="H427" s="41" t="str">
        <f>+IF(Waiting_status!$G427&lt;= 40,"Bajo",IF(Waiting_status!$G427 &gt;70,"High","Mid"))</f>
        <v>High</v>
      </c>
    </row>
    <row r="428" spans="1:8" x14ac:dyDescent="0.25">
      <c r="A428" s="38">
        <v>58</v>
      </c>
      <c r="B428" s="32" t="str">
        <f t="shared" si="6"/>
        <v>High</v>
      </c>
      <c r="F428" s="28" t="s">
        <v>95</v>
      </c>
      <c r="G428" s="40">
        <v>93</v>
      </c>
      <c r="H428" s="41" t="str">
        <f>+IF(Waiting_status!$G428&lt;= 40,"Bajo",IF(Waiting_status!$G428 &gt;70,"High","Mid"))</f>
        <v>High</v>
      </c>
    </row>
    <row r="429" spans="1:8" x14ac:dyDescent="0.25">
      <c r="A429" s="31">
        <v>35</v>
      </c>
      <c r="B429" s="32" t="str">
        <f t="shared" si="6"/>
        <v>mid</v>
      </c>
      <c r="F429" s="29" t="s">
        <v>22</v>
      </c>
      <c r="G429" s="42">
        <v>97.4</v>
      </c>
      <c r="H429" s="41" t="str">
        <f>+IF(Waiting_status!$G429&lt;= 40,"Bajo",IF(Waiting_status!$G429 &gt;70,"High","Mid"))</f>
        <v>High</v>
      </c>
    </row>
    <row r="430" spans="1:8" x14ac:dyDescent="0.25">
      <c r="A430" s="38">
        <v>57</v>
      </c>
      <c r="B430" s="32" t="str">
        <f t="shared" si="6"/>
        <v>High</v>
      </c>
      <c r="F430" s="28" t="s">
        <v>48</v>
      </c>
      <c r="G430" s="40">
        <v>73.3</v>
      </c>
      <c r="H430" s="41" t="str">
        <f>+IF(Waiting_status!$G430&lt;= 40,"Bajo",IF(Waiting_status!$G430 &gt;70,"High","Mid"))</f>
        <v>High</v>
      </c>
    </row>
    <row r="431" spans="1:8" x14ac:dyDescent="0.25">
      <c r="A431" s="31">
        <v>40</v>
      </c>
      <c r="B431" s="32" t="str">
        <f t="shared" si="6"/>
        <v>mid</v>
      </c>
      <c r="F431" s="29" t="s">
        <v>28</v>
      </c>
      <c r="G431" s="42">
        <v>86.2</v>
      </c>
      <c r="H431" s="41" t="str">
        <f>+IF(Waiting_status!$G431&lt;= 40,"Bajo",IF(Waiting_status!$G431 &gt;70,"High","Mid"))</f>
        <v>High</v>
      </c>
    </row>
    <row r="432" spans="1:8" x14ac:dyDescent="0.25">
      <c r="A432" s="38">
        <v>13</v>
      </c>
      <c r="B432" s="32" t="str">
        <f t="shared" si="6"/>
        <v>Low</v>
      </c>
      <c r="F432" s="28" t="s">
        <v>64</v>
      </c>
      <c r="G432" s="40">
        <v>83.2</v>
      </c>
      <c r="H432" s="41" t="str">
        <f>+IF(Waiting_status!$G432&lt;= 40,"Bajo",IF(Waiting_status!$G432 &gt;70,"High","Mid"))</f>
        <v>High</v>
      </c>
    </row>
    <row r="433" spans="1:8" x14ac:dyDescent="0.25">
      <c r="A433" s="31">
        <v>31</v>
      </c>
      <c r="B433" s="32" t="str">
        <f t="shared" si="6"/>
        <v>mid</v>
      </c>
      <c r="F433" s="29" t="s">
        <v>61</v>
      </c>
      <c r="G433" s="42">
        <v>92.8</v>
      </c>
      <c r="H433" s="41" t="str">
        <f>+IF(Waiting_status!$G433&lt;= 40,"Bajo",IF(Waiting_status!$G433 &gt;70,"High","Mid"))</f>
        <v>High</v>
      </c>
    </row>
    <row r="434" spans="1:8" x14ac:dyDescent="0.25">
      <c r="A434" s="38">
        <v>13</v>
      </c>
      <c r="B434" s="32" t="str">
        <f t="shared" si="6"/>
        <v>Low</v>
      </c>
      <c r="F434" s="28" t="s">
        <v>64</v>
      </c>
      <c r="G434" s="40">
        <v>80.8</v>
      </c>
      <c r="H434" s="41" t="str">
        <f>+IF(Waiting_status!$G434&lt;= 40,"Bajo",IF(Waiting_status!$G434 &gt;70,"High","Mid"))</f>
        <v>High</v>
      </c>
    </row>
    <row r="435" spans="1:8" x14ac:dyDescent="0.25">
      <c r="A435" s="31">
        <v>18</v>
      </c>
      <c r="B435" s="32" t="str">
        <f t="shared" si="6"/>
        <v>Low</v>
      </c>
      <c r="F435" s="29" t="s">
        <v>48</v>
      </c>
      <c r="G435" s="42">
        <v>62.3</v>
      </c>
      <c r="H435" s="41" t="str">
        <f>+IF(Waiting_status!$G435&lt;= 40,"Bajo",IF(Waiting_status!$G435 &gt;70,"High","Mid"))</f>
        <v>Mid</v>
      </c>
    </row>
    <row r="436" spans="1:8" x14ac:dyDescent="0.25">
      <c r="A436" s="38">
        <v>24</v>
      </c>
      <c r="B436" s="32" t="str">
        <f t="shared" si="6"/>
        <v>mid</v>
      </c>
      <c r="F436" s="28" t="s">
        <v>22</v>
      </c>
      <c r="G436" s="40">
        <v>67.5</v>
      </c>
      <c r="H436" s="41" t="str">
        <f>+IF(Waiting_status!$G436&lt;= 40,"Bajo",IF(Waiting_status!$G436 &gt;70,"High","Mid"))</f>
        <v>Mid</v>
      </c>
    </row>
    <row r="437" spans="1:8" x14ac:dyDescent="0.25">
      <c r="A437" s="31">
        <v>25</v>
      </c>
      <c r="B437" s="32" t="str">
        <f t="shared" si="6"/>
        <v>mid</v>
      </c>
      <c r="F437" s="29" t="s">
        <v>61</v>
      </c>
      <c r="G437" s="42">
        <v>69.599999999999994</v>
      </c>
      <c r="H437" s="41" t="str">
        <f>+IF(Waiting_status!$G437&lt;= 40,"Bajo",IF(Waiting_status!$G437 &gt;70,"High","Mid"))</f>
        <v>Mid</v>
      </c>
    </row>
    <row r="438" spans="1:8" x14ac:dyDescent="0.25">
      <c r="A438" s="38">
        <v>36</v>
      </c>
      <c r="B438" s="32" t="str">
        <f t="shared" si="6"/>
        <v>mid</v>
      </c>
      <c r="F438" s="28" t="s">
        <v>61</v>
      </c>
      <c r="G438" s="40">
        <v>66.7</v>
      </c>
      <c r="H438" s="41" t="str">
        <f>+IF(Waiting_status!$G438&lt;= 40,"Bajo",IF(Waiting_status!$G438 &gt;70,"High","Mid"))</f>
        <v>Mid</v>
      </c>
    </row>
    <row r="439" spans="1:8" x14ac:dyDescent="0.25">
      <c r="A439" s="31">
        <v>54</v>
      </c>
      <c r="B439" s="32" t="str">
        <f t="shared" si="6"/>
        <v>High</v>
      </c>
      <c r="F439" s="29" t="s">
        <v>31</v>
      </c>
      <c r="G439" s="42">
        <v>74.099999999999994</v>
      </c>
      <c r="H439" s="41" t="str">
        <f>+IF(Waiting_status!$G439&lt;= 40,"Bajo",IF(Waiting_status!$G439 &gt;70,"High","Mid"))</f>
        <v>High</v>
      </c>
    </row>
    <row r="440" spans="1:8" x14ac:dyDescent="0.25">
      <c r="A440" s="38">
        <v>48</v>
      </c>
      <c r="B440" s="32" t="str">
        <f t="shared" si="6"/>
        <v>High</v>
      </c>
      <c r="F440" s="28" t="s">
        <v>61</v>
      </c>
      <c r="G440" s="40">
        <v>83.3</v>
      </c>
      <c r="H440" s="41" t="str">
        <f>+IF(Waiting_status!$G440&lt;= 40,"Bajo",IF(Waiting_status!$G440 &gt;70,"High","Mid"))</f>
        <v>High</v>
      </c>
    </row>
    <row r="441" spans="1:8" x14ac:dyDescent="0.25">
      <c r="A441" s="31">
        <v>48</v>
      </c>
      <c r="B441" s="32" t="str">
        <f t="shared" si="6"/>
        <v>High</v>
      </c>
      <c r="F441" s="29" t="s">
        <v>95</v>
      </c>
      <c r="G441" s="42">
        <v>97.1</v>
      </c>
      <c r="H441" s="41" t="str">
        <f>+IF(Waiting_status!$G441&lt;= 40,"Bajo",IF(Waiting_status!$G441 &gt;70,"High","Mid"))</f>
        <v>High</v>
      </c>
    </row>
    <row r="442" spans="1:8" x14ac:dyDescent="0.25">
      <c r="A442" s="38">
        <v>45</v>
      </c>
      <c r="B442" s="32" t="str">
        <f t="shared" si="6"/>
        <v>High</v>
      </c>
      <c r="F442" s="28" t="s">
        <v>48</v>
      </c>
      <c r="G442" s="40">
        <v>97.6</v>
      </c>
      <c r="H442" s="41" t="str">
        <f>+IF(Waiting_status!$G442&lt;= 40,"Bajo",IF(Waiting_status!$G442 &gt;70,"High","Mid"))</f>
        <v>High</v>
      </c>
    </row>
    <row r="443" spans="1:8" x14ac:dyDescent="0.25">
      <c r="A443" s="31">
        <v>53</v>
      </c>
      <c r="B443" s="32" t="str">
        <f t="shared" si="6"/>
        <v>High</v>
      </c>
      <c r="F443" s="29" t="s">
        <v>95</v>
      </c>
      <c r="G443" s="42">
        <v>97.5</v>
      </c>
      <c r="H443" s="41" t="str">
        <f>+IF(Waiting_status!$G443&lt;= 40,"Bajo",IF(Waiting_status!$G443 &gt;70,"High","Mid"))</f>
        <v>High</v>
      </c>
    </row>
    <row r="444" spans="1:8" x14ac:dyDescent="0.25">
      <c r="A444" s="38">
        <v>59</v>
      </c>
      <c r="B444" s="32" t="str">
        <f t="shared" si="6"/>
        <v>High</v>
      </c>
      <c r="F444" s="28" t="s">
        <v>61</v>
      </c>
      <c r="G444" s="40">
        <v>86.7</v>
      </c>
      <c r="H444" s="41" t="str">
        <f>+IF(Waiting_status!$G444&lt;= 40,"Bajo",IF(Waiting_status!$G444 &gt;70,"High","Mid"))</f>
        <v>High</v>
      </c>
    </row>
    <row r="445" spans="1:8" x14ac:dyDescent="0.25">
      <c r="A445" s="31">
        <v>16</v>
      </c>
      <c r="B445" s="32" t="str">
        <f t="shared" si="6"/>
        <v>Low</v>
      </c>
      <c r="F445" s="29" t="s">
        <v>31</v>
      </c>
      <c r="G445" s="42">
        <v>96.1</v>
      </c>
      <c r="H445" s="41" t="str">
        <f>+IF(Waiting_status!$G445&lt;= 40,"Bajo",IF(Waiting_status!$G445 &gt;70,"High","Mid"))</f>
        <v>High</v>
      </c>
    </row>
    <row r="446" spans="1:8" x14ac:dyDescent="0.25">
      <c r="A446" s="38">
        <v>22</v>
      </c>
      <c r="B446" s="32" t="str">
        <f t="shared" si="6"/>
        <v>mid</v>
      </c>
      <c r="F446" s="28" t="s">
        <v>48</v>
      </c>
      <c r="G446" s="40">
        <v>73.400000000000006</v>
      </c>
      <c r="H446" s="41" t="str">
        <f>+IF(Waiting_status!$G446&lt;= 40,"Bajo",IF(Waiting_status!$G446 &gt;70,"High","Mid"))</f>
        <v>High</v>
      </c>
    </row>
    <row r="447" spans="1:8" x14ac:dyDescent="0.25">
      <c r="A447" s="31">
        <v>24</v>
      </c>
      <c r="B447" s="32" t="str">
        <f t="shared" si="6"/>
        <v>mid</v>
      </c>
      <c r="F447" s="29" t="s">
        <v>61</v>
      </c>
      <c r="G447" s="42">
        <v>89</v>
      </c>
      <c r="H447" s="41" t="str">
        <f>+IF(Waiting_status!$G447&lt;= 40,"Bajo",IF(Waiting_status!$G447 &gt;70,"High","Mid"))</f>
        <v>High</v>
      </c>
    </row>
    <row r="448" spans="1:8" x14ac:dyDescent="0.25">
      <c r="A448" s="38">
        <v>32</v>
      </c>
      <c r="B448" s="32" t="str">
        <f t="shared" si="6"/>
        <v>mid</v>
      </c>
      <c r="F448" s="28" t="s">
        <v>61</v>
      </c>
      <c r="G448" s="40">
        <v>91.7</v>
      </c>
      <c r="H448" s="41" t="str">
        <f>+IF(Waiting_status!$G448&lt;= 40,"Bajo",IF(Waiting_status!$G448 &gt;70,"High","Mid"))</f>
        <v>High</v>
      </c>
    </row>
    <row r="449" spans="1:8" x14ac:dyDescent="0.25">
      <c r="A449" s="31">
        <v>46</v>
      </c>
      <c r="B449" s="32" t="str">
        <f t="shared" si="6"/>
        <v>High</v>
      </c>
      <c r="F449" s="29" t="s">
        <v>61</v>
      </c>
      <c r="G449" s="42">
        <v>87.6</v>
      </c>
      <c r="H449" s="41" t="str">
        <f>+IF(Waiting_status!$G449&lt;= 40,"Bajo",IF(Waiting_status!$G449 &gt;70,"High","Mid"))</f>
        <v>High</v>
      </c>
    </row>
    <row r="450" spans="1:8" x14ac:dyDescent="0.25">
      <c r="A450" s="38">
        <v>54</v>
      </c>
      <c r="B450" s="32" t="str">
        <f t="shared" si="6"/>
        <v>High</v>
      </c>
      <c r="F450" s="28" t="s">
        <v>22</v>
      </c>
      <c r="G450" s="40">
        <v>78</v>
      </c>
      <c r="H450" s="41" t="str">
        <f>+IF(Waiting_status!$G450&lt;= 40,"Bajo",IF(Waiting_status!$G450 &gt;70,"High","Mid"))</f>
        <v>High</v>
      </c>
    </row>
    <row r="451" spans="1:8" x14ac:dyDescent="0.25">
      <c r="A451" s="31">
        <v>10</v>
      </c>
      <c r="B451" s="32" t="str">
        <f t="shared" ref="B451:B514" si="7">+IF(A451&lt;= 20,"Low",IF(A451 &gt; 40,"High","mid"))</f>
        <v>Low</v>
      </c>
      <c r="F451" s="29" t="s">
        <v>95</v>
      </c>
      <c r="G451" s="42">
        <v>76.7</v>
      </c>
      <c r="H451" s="41" t="str">
        <f>+IF(Waiting_status!$G451&lt;= 40,"Bajo",IF(Waiting_status!$G451 &gt;70,"High","Mid"))</f>
        <v>High</v>
      </c>
    </row>
    <row r="452" spans="1:8" x14ac:dyDescent="0.25">
      <c r="A452" s="38">
        <v>30</v>
      </c>
      <c r="B452" s="32" t="str">
        <f t="shared" si="7"/>
        <v>mid</v>
      </c>
      <c r="F452" s="28" t="s">
        <v>64</v>
      </c>
      <c r="G452" s="40">
        <v>67.599999999999994</v>
      </c>
      <c r="H452" s="41" t="str">
        <f>+IF(Waiting_status!$G452&lt;= 40,"Bajo",IF(Waiting_status!$G452 &gt;70,"High","Mid"))</f>
        <v>Mid</v>
      </c>
    </row>
    <row r="453" spans="1:8" x14ac:dyDescent="0.25">
      <c r="A453" s="31">
        <v>50</v>
      </c>
      <c r="B453" s="32" t="str">
        <f t="shared" si="7"/>
        <v>High</v>
      </c>
      <c r="F453" s="29" t="s">
        <v>95</v>
      </c>
      <c r="G453" s="42">
        <v>98.4</v>
      </c>
      <c r="H453" s="41" t="str">
        <f>+IF(Waiting_status!$G453&lt;= 40,"Bajo",IF(Waiting_status!$G453 &gt;70,"High","Mid"))</f>
        <v>High</v>
      </c>
    </row>
    <row r="454" spans="1:8" x14ac:dyDescent="0.25">
      <c r="A454" s="38">
        <v>32</v>
      </c>
      <c r="B454" s="32" t="str">
        <f t="shared" si="7"/>
        <v>mid</v>
      </c>
      <c r="F454" s="28" t="s">
        <v>22</v>
      </c>
      <c r="G454" s="40">
        <v>65.900000000000006</v>
      </c>
      <c r="H454" s="41" t="str">
        <f>+IF(Waiting_status!$G454&lt;= 40,"Bajo",IF(Waiting_status!$G454 &gt;70,"High","Mid"))</f>
        <v>Mid</v>
      </c>
    </row>
    <row r="455" spans="1:8" x14ac:dyDescent="0.25">
      <c r="A455" s="31">
        <v>19</v>
      </c>
      <c r="B455" s="32" t="str">
        <f t="shared" si="7"/>
        <v>Low</v>
      </c>
      <c r="F455" s="29" t="s">
        <v>56</v>
      </c>
      <c r="G455" s="42">
        <v>98.8</v>
      </c>
      <c r="H455" s="41" t="str">
        <f>+IF(Waiting_status!$G455&lt;= 40,"Bajo",IF(Waiting_status!$G455 &gt;70,"High","Mid"))</f>
        <v>High</v>
      </c>
    </row>
    <row r="456" spans="1:8" x14ac:dyDescent="0.25">
      <c r="A456" s="38">
        <v>35</v>
      </c>
      <c r="B456" s="32" t="str">
        <f t="shared" si="7"/>
        <v>mid</v>
      </c>
      <c r="F456" s="28" t="s">
        <v>28</v>
      </c>
      <c r="G456" s="40">
        <v>73.7</v>
      </c>
      <c r="H456" s="41" t="str">
        <f>+IF(Waiting_status!$G456&lt;= 40,"Bajo",IF(Waiting_status!$G456 &gt;70,"High","Mid"))</f>
        <v>High</v>
      </c>
    </row>
    <row r="457" spans="1:8" x14ac:dyDescent="0.25">
      <c r="A457" s="31">
        <v>22</v>
      </c>
      <c r="B457" s="32" t="str">
        <f t="shared" si="7"/>
        <v>mid</v>
      </c>
      <c r="F457" s="29" t="s">
        <v>41</v>
      </c>
      <c r="G457" s="42">
        <v>88.6</v>
      </c>
      <c r="H457" s="41" t="str">
        <f>+IF(Waiting_status!$G457&lt;= 40,"Bajo",IF(Waiting_status!$G457 &gt;70,"High","Mid"))</f>
        <v>High</v>
      </c>
    </row>
    <row r="458" spans="1:8" x14ac:dyDescent="0.25">
      <c r="A458" s="38">
        <v>18</v>
      </c>
      <c r="B458" s="32" t="str">
        <f t="shared" si="7"/>
        <v>Low</v>
      </c>
      <c r="F458" s="28" t="s">
        <v>31</v>
      </c>
      <c r="G458" s="40">
        <v>92.1</v>
      </c>
      <c r="H458" s="41" t="str">
        <f>+IF(Waiting_status!$G458&lt;= 40,"Bajo",IF(Waiting_status!$G458 &gt;70,"High","Mid"))</f>
        <v>High</v>
      </c>
    </row>
    <row r="459" spans="1:8" x14ac:dyDescent="0.25">
      <c r="A459" s="31">
        <v>35</v>
      </c>
      <c r="B459" s="32" t="str">
        <f t="shared" si="7"/>
        <v>mid</v>
      </c>
      <c r="F459" s="29" t="s">
        <v>28</v>
      </c>
      <c r="G459" s="42">
        <v>81.2</v>
      </c>
      <c r="H459" s="41" t="str">
        <f>+IF(Waiting_status!$G459&lt;= 40,"Bajo",IF(Waiting_status!$G459 &gt;70,"High","Mid"))</f>
        <v>High</v>
      </c>
    </row>
    <row r="460" spans="1:8" x14ac:dyDescent="0.25">
      <c r="A460" s="38">
        <v>46</v>
      </c>
      <c r="B460" s="32" t="str">
        <f t="shared" si="7"/>
        <v>High</v>
      </c>
      <c r="F460" s="28" t="s">
        <v>16</v>
      </c>
      <c r="G460" s="40">
        <v>82.7</v>
      </c>
      <c r="H460" s="41" t="str">
        <f>+IF(Waiting_status!$G460&lt;= 40,"Bajo",IF(Waiting_status!$G460 &gt;70,"High","Mid"))</f>
        <v>High</v>
      </c>
    </row>
    <row r="461" spans="1:8" x14ac:dyDescent="0.25">
      <c r="A461" s="31">
        <v>24</v>
      </c>
      <c r="B461" s="32" t="str">
        <f t="shared" si="7"/>
        <v>mid</v>
      </c>
      <c r="F461" s="29" t="s">
        <v>56</v>
      </c>
      <c r="G461" s="42">
        <v>62.5</v>
      </c>
      <c r="H461" s="41" t="str">
        <f>+IF(Waiting_status!$G461&lt;= 40,"Bajo",IF(Waiting_status!$G461 &gt;70,"High","Mid"))</f>
        <v>Mid</v>
      </c>
    </row>
    <row r="462" spans="1:8" x14ac:dyDescent="0.25">
      <c r="A462" s="38">
        <v>11</v>
      </c>
      <c r="B462" s="32" t="str">
        <f t="shared" si="7"/>
        <v>Low</v>
      </c>
      <c r="F462" s="28" t="s">
        <v>56</v>
      </c>
      <c r="G462" s="40">
        <v>70.2</v>
      </c>
      <c r="H462" s="41" t="str">
        <f>+IF(Waiting_status!$G462&lt;= 40,"Bajo",IF(Waiting_status!$G462 &gt;70,"High","Mid"))</f>
        <v>High</v>
      </c>
    </row>
    <row r="463" spans="1:8" x14ac:dyDescent="0.25">
      <c r="A463" s="31">
        <v>11</v>
      </c>
      <c r="B463" s="32" t="str">
        <f t="shared" si="7"/>
        <v>Low</v>
      </c>
      <c r="F463" s="29" t="s">
        <v>31</v>
      </c>
      <c r="G463" s="42">
        <v>66.2</v>
      </c>
      <c r="H463" s="41" t="str">
        <f>+IF(Waiting_status!$G463&lt;= 40,"Bajo",IF(Waiting_status!$G463 &gt;70,"High","Mid"))</f>
        <v>Mid</v>
      </c>
    </row>
    <row r="464" spans="1:8" x14ac:dyDescent="0.25">
      <c r="A464" s="38">
        <v>35</v>
      </c>
      <c r="B464" s="32" t="str">
        <f t="shared" si="7"/>
        <v>mid</v>
      </c>
      <c r="F464" s="28" t="s">
        <v>41</v>
      </c>
      <c r="G464" s="40">
        <v>89</v>
      </c>
      <c r="H464" s="41" t="str">
        <f>+IF(Waiting_status!$G464&lt;= 40,"Bajo",IF(Waiting_status!$G464 &gt;70,"High","Mid"))</f>
        <v>High</v>
      </c>
    </row>
    <row r="465" spans="1:8" x14ac:dyDescent="0.25">
      <c r="A465" s="31">
        <v>20</v>
      </c>
      <c r="B465" s="32" t="str">
        <f t="shared" si="7"/>
        <v>Low</v>
      </c>
      <c r="F465" s="29" t="s">
        <v>28</v>
      </c>
      <c r="G465" s="42">
        <v>72.400000000000006</v>
      </c>
      <c r="H465" s="41" t="str">
        <f>+IF(Waiting_status!$G465&lt;= 40,"Bajo",IF(Waiting_status!$G465 &gt;70,"High","Mid"))</f>
        <v>High</v>
      </c>
    </row>
    <row r="466" spans="1:8" x14ac:dyDescent="0.25">
      <c r="A466" s="38">
        <v>59</v>
      </c>
      <c r="B466" s="32" t="str">
        <f t="shared" si="7"/>
        <v>High</v>
      </c>
      <c r="F466" s="28" t="s">
        <v>31</v>
      </c>
      <c r="G466" s="40">
        <v>65.2</v>
      </c>
      <c r="H466" s="41" t="str">
        <f>+IF(Waiting_status!$G466&lt;= 40,"Bajo",IF(Waiting_status!$G466 &gt;70,"High","Mid"))</f>
        <v>Mid</v>
      </c>
    </row>
    <row r="467" spans="1:8" x14ac:dyDescent="0.25">
      <c r="A467" s="31">
        <v>10</v>
      </c>
      <c r="B467" s="32" t="str">
        <f t="shared" si="7"/>
        <v>Low</v>
      </c>
      <c r="F467" s="29" t="s">
        <v>41</v>
      </c>
      <c r="G467" s="42">
        <v>81.099999999999994</v>
      </c>
      <c r="H467" s="41" t="str">
        <f>+IF(Waiting_status!$G467&lt;= 40,"Bajo",IF(Waiting_status!$G467 &gt;70,"High","Mid"))</f>
        <v>High</v>
      </c>
    </row>
    <row r="468" spans="1:8" x14ac:dyDescent="0.25">
      <c r="A468" s="38">
        <v>34</v>
      </c>
      <c r="B468" s="32" t="str">
        <f t="shared" si="7"/>
        <v>mid</v>
      </c>
      <c r="F468" s="28" t="s">
        <v>64</v>
      </c>
      <c r="G468" s="40">
        <v>62.6</v>
      </c>
      <c r="H468" s="41" t="str">
        <f>+IF(Waiting_status!$G468&lt;= 40,"Bajo",IF(Waiting_status!$G468 &gt;70,"High","Mid"))</f>
        <v>Mid</v>
      </c>
    </row>
    <row r="469" spans="1:8" x14ac:dyDescent="0.25">
      <c r="A469" s="31">
        <v>49</v>
      </c>
      <c r="B469" s="32" t="str">
        <f t="shared" si="7"/>
        <v>High</v>
      </c>
      <c r="F469" s="29" t="s">
        <v>28</v>
      </c>
      <c r="G469" s="42">
        <v>62</v>
      </c>
      <c r="H469" s="41" t="str">
        <f>+IF(Waiting_status!$G469&lt;= 40,"Bajo",IF(Waiting_status!$G469 &gt;70,"High","Mid"))</f>
        <v>Mid</v>
      </c>
    </row>
    <row r="470" spans="1:8" x14ac:dyDescent="0.25">
      <c r="A470" s="38">
        <v>25</v>
      </c>
      <c r="B470" s="32" t="str">
        <f t="shared" si="7"/>
        <v>mid</v>
      </c>
      <c r="F470" s="28" t="s">
        <v>22</v>
      </c>
      <c r="G470" s="40">
        <v>84.5</v>
      </c>
      <c r="H470" s="41" t="str">
        <f>+IF(Waiting_status!$G470&lt;= 40,"Bajo",IF(Waiting_status!$G470 &gt;70,"High","Mid"))</f>
        <v>High</v>
      </c>
    </row>
    <row r="471" spans="1:8" x14ac:dyDescent="0.25">
      <c r="A471" s="31">
        <v>16</v>
      </c>
      <c r="B471" s="32" t="str">
        <f t="shared" si="7"/>
        <v>Low</v>
      </c>
      <c r="F471" s="29" t="s">
        <v>16</v>
      </c>
      <c r="G471" s="42">
        <v>64.900000000000006</v>
      </c>
      <c r="H471" s="41" t="str">
        <f>+IF(Waiting_status!$G471&lt;= 40,"Bajo",IF(Waiting_status!$G471 &gt;70,"High","Mid"))</f>
        <v>Mid</v>
      </c>
    </row>
    <row r="472" spans="1:8" x14ac:dyDescent="0.25">
      <c r="A472" s="38">
        <v>21</v>
      </c>
      <c r="B472" s="32" t="str">
        <f t="shared" si="7"/>
        <v>mid</v>
      </c>
      <c r="F472" s="28" t="s">
        <v>22</v>
      </c>
      <c r="G472" s="40">
        <v>85.7</v>
      </c>
      <c r="H472" s="41" t="str">
        <f>+IF(Waiting_status!$G472&lt;= 40,"Bajo",IF(Waiting_status!$G472 &gt;70,"High","Mid"))</f>
        <v>High</v>
      </c>
    </row>
    <row r="473" spans="1:8" x14ac:dyDescent="0.25">
      <c r="A473" s="31">
        <v>27</v>
      </c>
      <c r="B473" s="32" t="str">
        <f t="shared" si="7"/>
        <v>mid</v>
      </c>
      <c r="F473" s="29" t="s">
        <v>31</v>
      </c>
      <c r="G473" s="42">
        <v>80.5</v>
      </c>
      <c r="H473" s="41" t="str">
        <f>+IF(Waiting_status!$G473&lt;= 40,"Bajo",IF(Waiting_status!$G473 &gt;70,"High","Mid"))</f>
        <v>High</v>
      </c>
    </row>
    <row r="474" spans="1:8" x14ac:dyDescent="0.25">
      <c r="A474" s="38">
        <v>18</v>
      </c>
      <c r="B474" s="32" t="str">
        <f t="shared" si="7"/>
        <v>Low</v>
      </c>
      <c r="F474" s="28" t="s">
        <v>16</v>
      </c>
      <c r="G474" s="40">
        <v>76</v>
      </c>
      <c r="H474" s="41" t="str">
        <f>+IF(Waiting_status!$G474&lt;= 40,"Bajo",IF(Waiting_status!$G474 &gt;70,"High","Mid"))</f>
        <v>High</v>
      </c>
    </row>
    <row r="475" spans="1:8" x14ac:dyDescent="0.25">
      <c r="A475" s="31">
        <v>20</v>
      </c>
      <c r="B475" s="32" t="str">
        <f t="shared" si="7"/>
        <v>Low</v>
      </c>
      <c r="F475" s="29" t="s">
        <v>31</v>
      </c>
      <c r="G475" s="42">
        <v>83.4</v>
      </c>
      <c r="H475" s="41" t="str">
        <f>+IF(Waiting_status!$G475&lt;= 40,"Bajo",IF(Waiting_status!$G475 &gt;70,"High","Mid"))</f>
        <v>High</v>
      </c>
    </row>
    <row r="476" spans="1:8" x14ac:dyDescent="0.25">
      <c r="A476" s="38">
        <v>19</v>
      </c>
      <c r="B476" s="32" t="str">
        <f t="shared" si="7"/>
        <v>Low</v>
      </c>
      <c r="F476" s="28" t="s">
        <v>56</v>
      </c>
      <c r="G476" s="40">
        <v>85.5</v>
      </c>
      <c r="H476" s="41" t="str">
        <f>+IF(Waiting_status!$G476&lt;= 40,"Bajo",IF(Waiting_status!$G476 &gt;70,"High","Mid"))</f>
        <v>High</v>
      </c>
    </row>
    <row r="477" spans="1:8" x14ac:dyDescent="0.25">
      <c r="A477" s="31">
        <v>44</v>
      </c>
      <c r="B477" s="32" t="str">
        <f t="shared" si="7"/>
        <v>High</v>
      </c>
      <c r="F477" s="29" t="s">
        <v>31</v>
      </c>
      <c r="G477" s="42">
        <v>76.2</v>
      </c>
      <c r="H477" s="41" t="str">
        <f>+IF(Waiting_status!$G477&lt;= 40,"Bajo",IF(Waiting_status!$G477 &gt;70,"High","Mid"))</f>
        <v>High</v>
      </c>
    </row>
    <row r="478" spans="1:8" x14ac:dyDescent="0.25">
      <c r="A478" s="38">
        <v>30</v>
      </c>
      <c r="B478" s="32" t="str">
        <f t="shared" si="7"/>
        <v>mid</v>
      </c>
      <c r="F478" s="28" t="s">
        <v>41</v>
      </c>
      <c r="G478" s="40">
        <v>76</v>
      </c>
      <c r="H478" s="41" t="str">
        <f>+IF(Waiting_status!$G478&lt;= 40,"Bajo",IF(Waiting_status!$G478 &gt;70,"High","Mid"))</f>
        <v>High</v>
      </c>
    </row>
    <row r="479" spans="1:8" x14ac:dyDescent="0.25">
      <c r="A479" s="31">
        <v>25</v>
      </c>
      <c r="B479" s="32" t="str">
        <f t="shared" si="7"/>
        <v>mid</v>
      </c>
      <c r="F479" s="29" t="s">
        <v>41</v>
      </c>
      <c r="G479" s="42">
        <v>71.3</v>
      </c>
      <c r="H479" s="41" t="str">
        <f>+IF(Waiting_status!$G479&lt;= 40,"Bajo",IF(Waiting_status!$G479 &gt;70,"High","Mid"))</f>
        <v>High</v>
      </c>
    </row>
    <row r="480" spans="1:8" x14ac:dyDescent="0.25">
      <c r="A480" s="38">
        <v>43</v>
      </c>
      <c r="B480" s="32" t="str">
        <f t="shared" si="7"/>
        <v>High</v>
      </c>
      <c r="F480" s="28" t="s">
        <v>31</v>
      </c>
      <c r="G480" s="40">
        <v>69.400000000000006</v>
      </c>
      <c r="H480" s="41" t="str">
        <f>+IF(Waiting_status!$G480&lt;= 40,"Bajo",IF(Waiting_status!$G480 &gt;70,"High","Mid"))</f>
        <v>Mid</v>
      </c>
    </row>
    <row r="481" spans="1:8" x14ac:dyDescent="0.25">
      <c r="A481" s="31">
        <v>44</v>
      </c>
      <c r="B481" s="32" t="str">
        <f t="shared" si="7"/>
        <v>High</v>
      </c>
      <c r="F481" s="29" t="s">
        <v>28</v>
      </c>
      <c r="G481" s="42">
        <v>90.6</v>
      </c>
      <c r="H481" s="41" t="str">
        <f>+IF(Waiting_status!$G481&lt;= 40,"Bajo",IF(Waiting_status!$G481 &gt;70,"High","Mid"))</f>
        <v>High</v>
      </c>
    </row>
    <row r="482" spans="1:8" x14ac:dyDescent="0.25">
      <c r="A482" s="38">
        <v>50</v>
      </c>
      <c r="B482" s="32" t="str">
        <f t="shared" si="7"/>
        <v>High</v>
      </c>
      <c r="F482" s="28" t="s">
        <v>95</v>
      </c>
      <c r="G482" s="40">
        <v>84.1</v>
      </c>
      <c r="H482" s="41" t="str">
        <f>+IF(Waiting_status!$G482&lt;= 40,"Bajo",IF(Waiting_status!$G482 &gt;70,"High","Mid"))</f>
        <v>High</v>
      </c>
    </row>
    <row r="483" spans="1:8" x14ac:dyDescent="0.25">
      <c r="A483" s="31">
        <v>40</v>
      </c>
      <c r="B483" s="32" t="str">
        <f t="shared" si="7"/>
        <v>mid</v>
      </c>
      <c r="F483" s="29" t="s">
        <v>31</v>
      </c>
      <c r="G483" s="42">
        <v>98</v>
      </c>
      <c r="H483" s="41" t="str">
        <f>+IF(Waiting_status!$G483&lt;= 40,"Bajo",IF(Waiting_status!$G483 &gt;70,"High","Mid"))</f>
        <v>High</v>
      </c>
    </row>
    <row r="484" spans="1:8" x14ac:dyDescent="0.25">
      <c r="A484" s="38">
        <v>22</v>
      </c>
      <c r="B484" s="32" t="str">
        <f t="shared" si="7"/>
        <v>mid</v>
      </c>
      <c r="F484" s="28" t="s">
        <v>61</v>
      </c>
      <c r="G484" s="40">
        <v>65</v>
      </c>
      <c r="H484" s="41" t="str">
        <f>+IF(Waiting_status!$G484&lt;= 40,"Bajo",IF(Waiting_status!$G484 &gt;70,"High","Mid"))</f>
        <v>Mid</v>
      </c>
    </row>
    <row r="485" spans="1:8" x14ac:dyDescent="0.25">
      <c r="A485" s="31">
        <v>25</v>
      </c>
      <c r="B485" s="32" t="str">
        <f t="shared" si="7"/>
        <v>mid</v>
      </c>
      <c r="F485" s="29" t="s">
        <v>28</v>
      </c>
      <c r="G485" s="42">
        <v>78.900000000000006</v>
      </c>
      <c r="H485" s="41" t="str">
        <f>+IF(Waiting_status!$G485&lt;= 40,"Bajo",IF(Waiting_status!$G485 &gt;70,"High","Mid"))</f>
        <v>High</v>
      </c>
    </row>
    <row r="486" spans="1:8" x14ac:dyDescent="0.25">
      <c r="A486" s="38">
        <v>17</v>
      </c>
      <c r="B486" s="32" t="str">
        <f t="shared" si="7"/>
        <v>Low</v>
      </c>
      <c r="F486" s="28" t="s">
        <v>61</v>
      </c>
      <c r="G486" s="40">
        <v>67.5</v>
      </c>
      <c r="H486" s="41" t="str">
        <f>+IF(Waiting_status!$G486&lt;= 40,"Bajo",IF(Waiting_status!$G486 &gt;70,"High","Mid"))</f>
        <v>Mid</v>
      </c>
    </row>
    <row r="487" spans="1:8" x14ac:dyDescent="0.25">
      <c r="A487" s="31">
        <v>40</v>
      </c>
      <c r="B487" s="32" t="str">
        <f t="shared" si="7"/>
        <v>mid</v>
      </c>
      <c r="F487" s="29" t="s">
        <v>22</v>
      </c>
      <c r="G487" s="42">
        <v>68.5</v>
      </c>
      <c r="H487" s="41" t="str">
        <f>+IF(Waiting_status!$G487&lt;= 40,"Bajo",IF(Waiting_status!$G487 &gt;70,"High","Mid"))</f>
        <v>Mid</v>
      </c>
    </row>
    <row r="488" spans="1:8" x14ac:dyDescent="0.25">
      <c r="A488" s="38">
        <v>54</v>
      </c>
      <c r="B488" s="32" t="str">
        <f t="shared" si="7"/>
        <v>High</v>
      </c>
      <c r="F488" s="28" t="s">
        <v>41</v>
      </c>
      <c r="G488" s="40">
        <v>82.5</v>
      </c>
      <c r="H488" s="41" t="str">
        <f>+IF(Waiting_status!$G488&lt;= 40,"Bajo",IF(Waiting_status!$G488 &gt;70,"High","Mid"))</f>
        <v>High</v>
      </c>
    </row>
    <row r="489" spans="1:8" x14ac:dyDescent="0.25">
      <c r="A489" s="31">
        <v>29</v>
      </c>
      <c r="B489" s="32" t="str">
        <f t="shared" si="7"/>
        <v>mid</v>
      </c>
      <c r="F489" s="29" t="s">
        <v>41</v>
      </c>
      <c r="G489" s="42">
        <v>95.1</v>
      </c>
      <c r="H489" s="41" t="str">
        <f>+IF(Waiting_status!$G489&lt;= 40,"Bajo",IF(Waiting_status!$G489 &gt;70,"High","Mid"))</f>
        <v>High</v>
      </c>
    </row>
    <row r="490" spans="1:8" x14ac:dyDescent="0.25">
      <c r="A490" s="38">
        <v>29</v>
      </c>
      <c r="B490" s="32" t="str">
        <f t="shared" si="7"/>
        <v>mid</v>
      </c>
      <c r="F490" s="28" t="s">
        <v>41</v>
      </c>
      <c r="G490" s="40">
        <v>78.2</v>
      </c>
      <c r="H490" s="41" t="str">
        <f>+IF(Waiting_status!$G490&lt;= 40,"Bajo",IF(Waiting_status!$G490 &gt;70,"High","Mid"))</f>
        <v>High</v>
      </c>
    </row>
    <row r="491" spans="1:8" x14ac:dyDescent="0.25">
      <c r="A491" s="31">
        <v>40</v>
      </c>
      <c r="B491" s="32" t="str">
        <f t="shared" si="7"/>
        <v>mid</v>
      </c>
      <c r="F491" s="29" t="s">
        <v>64</v>
      </c>
      <c r="G491" s="42">
        <v>87</v>
      </c>
      <c r="H491" s="41" t="str">
        <f>+IF(Waiting_status!$G491&lt;= 40,"Bajo",IF(Waiting_status!$G491 &gt;70,"High","Mid"))</f>
        <v>High</v>
      </c>
    </row>
    <row r="492" spans="1:8" x14ac:dyDescent="0.25">
      <c r="A492" s="38">
        <v>47</v>
      </c>
      <c r="B492" s="32" t="str">
        <f t="shared" si="7"/>
        <v>High</v>
      </c>
      <c r="F492" s="28" t="s">
        <v>16</v>
      </c>
      <c r="G492" s="40">
        <v>67.400000000000006</v>
      </c>
      <c r="H492" s="41" t="str">
        <f>+IF(Waiting_status!$G492&lt;= 40,"Bajo",IF(Waiting_status!$G492 &gt;70,"High","Mid"))</f>
        <v>Mid</v>
      </c>
    </row>
    <row r="493" spans="1:8" x14ac:dyDescent="0.25">
      <c r="A493" s="31">
        <v>33</v>
      </c>
      <c r="B493" s="32" t="str">
        <f t="shared" si="7"/>
        <v>mid</v>
      </c>
      <c r="F493" s="29" t="s">
        <v>22</v>
      </c>
      <c r="G493" s="42">
        <v>70.400000000000006</v>
      </c>
      <c r="H493" s="41" t="str">
        <f>+IF(Waiting_status!$G493&lt;= 40,"Bajo",IF(Waiting_status!$G493 &gt;70,"High","Mid"))</f>
        <v>High</v>
      </c>
    </row>
    <row r="494" spans="1:8" x14ac:dyDescent="0.25">
      <c r="A494" s="38">
        <v>32</v>
      </c>
      <c r="B494" s="32" t="str">
        <f t="shared" si="7"/>
        <v>mid</v>
      </c>
      <c r="F494" s="28" t="s">
        <v>28</v>
      </c>
      <c r="G494" s="40">
        <v>65.400000000000006</v>
      </c>
      <c r="H494" s="41" t="str">
        <f>+IF(Waiting_status!$G494&lt;= 40,"Bajo",IF(Waiting_status!$G494 &gt;70,"High","Mid"))</f>
        <v>Mid</v>
      </c>
    </row>
    <row r="495" spans="1:8" x14ac:dyDescent="0.25">
      <c r="A495" s="31">
        <v>13</v>
      </c>
      <c r="B495" s="32" t="str">
        <f t="shared" si="7"/>
        <v>Low</v>
      </c>
      <c r="F495" s="29" t="s">
        <v>31</v>
      </c>
      <c r="G495" s="42">
        <v>79</v>
      </c>
      <c r="H495" s="41" t="str">
        <f>+IF(Waiting_status!$G495&lt;= 40,"Bajo",IF(Waiting_status!$G495 &gt;70,"High","Mid"))</f>
        <v>High</v>
      </c>
    </row>
    <row r="496" spans="1:8" x14ac:dyDescent="0.25">
      <c r="A496" s="38">
        <v>55</v>
      </c>
      <c r="B496" s="32" t="str">
        <f t="shared" si="7"/>
        <v>High</v>
      </c>
      <c r="F496" s="28" t="s">
        <v>61</v>
      </c>
      <c r="G496" s="40">
        <v>80.5</v>
      </c>
      <c r="H496" s="41" t="str">
        <f>+IF(Waiting_status!$G496&lt;= 40,"Bajo",IF(Waiting_status!$G496 &gt;70,"High","Mid"))</f>
        <v>High</v>
      </c>
    </row>
    <row r="497" spans="1:8" x14ac:dyDescent="0.25">
      <c r="A497" s="31">
        <v>59</v>
      </c>
      <c r="B497" s="32" t="str">
        <f t="shared" si="7"/>
        <v>High</v>
      </c>
      <c r="F497" s="29" t="s">
        <v>48</v>
      </c>
      <c r="G497" s="42">
        <v>86.6</v>
      </c>
      <c r="H497" s="41" t="str">
        <f>+IF(Waiting_status!$G497&lt;= 40,"Bajo",IF(Waiting_status!$G497 &gt;70,"High","Mid"))</f>
        <v>High</v>
      </c>
    </row>
    <row r="498" spans="1:8" x14ac:dyDescent="0.25">
      <c r="A498" s="38">
        <v>36</v>
      </c>
      <c r="B498" s="32" t="str">
        <f t="shared" si="7"/>
        <v>mid</v>
      </c>
      <c r="F498" s="28" t="s">
        <v>56</v>
      </c>
      <c r="G498" s="40">
        <v>72</v>
      </c>
      <c r="H498" s="41" t="str">
        <f>+IF(Waiting_status!$G498&lt;= 40,"Bajo",IF(Waiting_status!$G498 &gt;70,"High","Mid"))</f>
        <v>High</v>
      </c>
    </row>
    <row r="499" spans="1:8" x14ac:dyDescent="0.25">
      <c r="A499" s="31">
        <v>31</v>
      </c>
      <c r="B499" s="32" t="str">
        <f t="shared" si="7"/>
        <v>mid</v>
      </c>
      <c r="F499" s="29" t="s">
        <v>56</v>
      </c>
      <c r="G499" s="42">
        <v>60.7</v>
      </c>
      <c r="H499" s="41" t="str">
        <f>+IF(Waiting_status!$G499&lt;= 40,"Bajo",IF(Waiting_status!$G499 &gt;70,"High","Mid"))</f>
        <v>Mid</v>
      </c>
    </row>
    <row r="500" spans="1:8" x14ac:dyDescent="0.25">
      <c r="A500" s="38">
        <v>42</v>
      </c>
      <c r="B500" s="32" t="str">
        <f t="shared" si="7"/>
        <v>High</v>
      </c>
      <c r="F500" s="28" t="s">
        <v>95</v>
      </c>
      <c r="G500" s="40">
        <v>86.8</v>
      </c>
      <c r="H500" s="41" t="str">
        <f>+IF(Waiting_status!$G500&lt;= 40,"Bajo",IF(Waiting_status!$G500 &gt;70,"High","Mid"))</f>
        <v>High</v>
      </c>
    </row>
    <row r="501" spans="1:8" x14ac:dyDescent="0.25">
      <c r="A501" s="31">
        <v>19</v>
      </c>
      <c r="B501" s="32" t="str">
        <f t="shared" si="7"/>
        <v>Low</v>
      </c>
      <c r="F501" s="29" t="s">
        <v>16</v>
      </c>
      <c r="G501" s="42">
        <v>68.8</v>
      </c>
      <c r="H501" s="41" t="str">
        <f>+IF(Waiting_status!$G501&lt;= 40,"Bajo",IF(Waiting_status!$G501 &gt;70,"High","Mid"))</f>
        <v>Mid</v>
      </c>
    </row>
    <row r="502" spans="1:8" x14ac:dyDescent="0.25">
      <c r="A502" s="38">
        <v>58</v>
      </c>
      <c r="B502" s="32" t="str">
        <f t="shared" si="7"/>
        <v>High</v>
      </c>
      <c r="F502" s="28" t="s">
        <v>41</v>
      </c>
      <c r="G502" s="40">
        <v>61.2</v>
      </c>
      <c r="H502" s="41" t="str">
        <f>+IF(Waiting_status!$G502&lt;= 40,"Bajo",IF(Waiting_status!$G502 &gt;70,"High","Mid"))</f>
        <v>Mid</v>
      </c>
    </row>
    <row r="503" spans="1:8" x14ac:dyDescent="0.25">
      <c r="A503" s="31">
        <v>50</v>
      </c>
      <c r="B503" s="32" t="str">
        <f t="shared" si="7"/>
        <v>High</v>
      </c>
      <c r="F503" s="29" t="s">
        <v>41</v>
      </c>
      <c r="G503" s="42">
        <v>97.1</v>
      </c>
      <c r="H503" s="41" t="str">
        <f>+IF(Waiting_status!$G503&lt;= 40,"Bajo",IF(Waiting_status!$G503 &gt;70,"High","Mid"))</f>
        <v>High</v>
      </c>
    </row>
    <row r="504" spans="1:8" x14ac:dyDescent="0.25">
      <c r="A504" s="38">
        <v>57</v>
      </c>
      <c r="B504" s="32" t="str">
        <f t="shared" si="7"/>
        <v>High</v>
      </c>
      <c r="F504" s="28" t="s">
        <v>22</v>
      </c>
      <c r="G504" s="40">
        <v>92.3</v>
      </c>
      <c r="H504" s="41" t="str">
        <f>+IF(Waiting_status!$G504&lt;= 40,"Bajo",IF(Waiting_status!$G504 &gt;70,"High","Mid"))</f>
        <v>High</v>
      </c>
    </row>
    <row r="505" spans="1:8" x14ac:dyDescent="0.25">
      <c r="A505" s="31">
        <v>31</v>
      </c>
      <c r="B505" s="32" t="str">
        <f t="shared" si="7"/>
        <v>mid</v>
      </c>
      <c r="F505" s="29" t="s">
        <v>41</v>
      </c>
      <c r="G505" s="42">
        <v>94.8</v>
      </c>
      <c r="H505" s="41" t="str">
        <f>+IF(Waiting_status!$G505&lt;= 40,"Bajo",IF(Waiting_status!$G505 &gt;70,"High","Mid"))</f>
        <v>High</v>
      </c>
    </row>
    <row r="506" spans="1:8" x14ac:dyDescent="0.25">
      <c r="A506" s="38">
        <v>41</v>
      </c>
      <c r="B506" s="32" t="str">
        <f t="shared" si="7"/>
        <v>High</v>
      </c>
      <c r="F506" s="28" t="s">
        <v>41</v>
      </c>
      <c r="G506" s="40">
        <v>91.3</v>
      </c>
      <c r="H506" s="41" t="str">
        <f>+IF(Waiting_status!$G506&lt;= 40,"Bajo",IF(Waiting_status!$G506 &gt;70,"High","Mid"))</f>
        <v>High</v>
      </c>
    </row>
    <row r="507" spans="1:8" x14ac:dyDescent="0.25">
      <c r="A507" s="31">
        <v>37</v>
      </c>
      <c r="B507" s="32" t="str">
        <f t="shared" si="7"/>
        <v>mid</v>
      </c>
      <c r="F507" s="29" t="s">
        <v>31</v>
      </c>
      <c r="G507" s="42">
        <v>82.8</v>
      </c>
      <c r="H507" s="41" t="str">
        <f>+IF(Waiting_status!$G507&lt;= 40,"Bajo",IF(Waiting_status!$G507 &gt;70,"High","Mid"))</f>
        <v>High</v>
      </c>
    </row>
    <row r="508" spans="1:8" x14ac:dyDescent="0.25">
      <c r="A508" s="38">
        <v>23</v>
      </c>
      <c r="B508" s="32" t="str">
        <f t="shared" si="7"/>
        <v>mid</v>
      </c>
      <c r="F508" s="28" t="s">
        <v>16</v>
      </c>
      <c r="G508" s="40">
        <v>62.9</v>
      </c>
      <c r="H508" s="41" t="str">
        <f>+IF(Waiting_status!$G508&lt;= 40,"Bajo",IF(Waiting_status!$G508 &gt;70,"High","Mid"))</f>
        <v>Mid</v>
      </c>
    </row>
    <row r="509" spans="1:8" x14ac:dyDescent="0.25">
      <c r="A509" s="31">
        <v>18</v>
      </c>
      <c r="B509" s="32" t="str">
        <f t="shared" si="7"/>
        <v>Low</v>
      </c>
      <c r="F509" s="29" t="s">
        <v>16</v>
      </c>
      <c r="G509" s="42">
        <v>67.3</v>
      </c>
      <c r="H509" s="41" t="str">
        <f>+IF(Waiting_status!$G509&lt;= 40,"Bajo",IF(Waiting_status!$G509 &gt;70,"High","Mid"))</f>
        <v>Mid</v>
      </c>
    </row>
    <row r="510" spans="1:8" x14ac:dyDescent="0.25">
      <c r="A510" s="38">
        <v>49</v>
      </c>
      <c r="B510" s="32" t="str">
        <f t="shared" si="7"/>
        <v>High</v>
      </c>
      <c r="F510" s="28" t="s">
        <v>28</v>
      </c>
      <c r="G510" s="40">
        <v>72.599999999999994</v>
      </c>
      <c r="H510" s="41" t="str">
        <f>+IF(Waiting_status!$G510&lt;= 40,"Bajo",IF(Waiting_status!$G510 &gt;70,"High","Mid"))</f>
        <v>High</v>
      </c>
    </row>
    <row r="511" spans="1:8" x14ac:dyDescent="0.25">
      <c r="A511" s="31">
        <v>51</v>
      </c>
      <c r="B511" s="32" t="str">
        <f t="shared" si="7"/>
        <v>High</v>
      </c>
      <c r="F511" s="29" t="s">
        <v>48</v>
      </c>
      <c r="G511" s="42">
        <v>84.8</v>
      </c>
      <c r="H511" s="41" t="str">
        <f>+IF(Waiting_status!$G511&lt;= 40,"Bajo",IF(Waiting_status!$G511 &gt;70,"High","Mid"))</f>
        <v>High</v>
      </c>
    </row>
    <row r="512" spans="1:8" x14ac:dyDescent="0.25">
      <c r="A512" s="38">
        <v>47</v>
      </c>
      <c r="B512" s="32" t="str">
        <f t="shared" si="7"/>
        <v>High</v>
      </c>
      <c r="F512" s="28" t="s">
        <v>28</v>
      </c>
      <c r="G512" s="40">
        <v>92.3</v>
      </c>
      <c r="H512" s="41" t="str">
        <f>+IF(Waiting_status!$G512&lt;= 40,"Bajo",IF(Waiting_status!$G512 &gt;70,"High","Mid"))</f>
        <v>High</v>
      </c>
    </row>
    <row r="513" spans="1:8" x14ac:dyDescent="0.25">
      <c r="A513" s="31">
        <v>60</v>
      </c>
      <c r="B513" s="32" t="str">
        <f t="shared" si="7"/>
        <v>High</v>
      </c>
      <c r="F513" s="29" t="s">
        <v>56</v>
      </c>
      <c r="G513" s="42">
        <v>69.2</v>
      </c>
      <c r="H513" s="41" t="str">
        <f>+IF(Waiting_status!$G513&lt;= 40,"Bajo",IF(Waiting_status!$G513 &gt;70,"High","Mid"))</f>
        <v>Mid</v>
      </c>
    </row>
    <row r="514" spans="1:8" x14ac:dyDescent="0.25">
      <c r="A514" s="38">
        <v>26</v>
      </c>
      <c r="B514" s="32" t="str">
        <f t="shared" si="7"/>
        <v>mid</v>
      </c>
      <c r="F514" s="28" t="s">
        <v>28</v>
      </c>
      <c r="G514" s="40">
        <v>88.1</v>
      </c>
      <c r="H514" s="41" t="str">
        <f>+IF(Waiting_status!$G514&lt;= 40,"Bajo",IF(Waiting_status!$G514 &gt;70,"High","Mid"))</f>
        <v>High</v>
      </c>
    </row>
    <row r="515" spans="1:8" x14ac:dyDescent="0.25">
      <c r="A515" s="31">
        <v>12</v>
      </c>
      <c r="B515" s="32" t="str">
        <f t="shared" ref="B515:B578" si="8">+IF(A515&lt;= 20,"Low",IF(A515 &gt; 40,"High","mid"))</f>
        <v>Low</v>
      </c>
      <c r="F515" s="29" t="s">
        <v>22</v>
      </c>
      <c r="G515" s="42">
        <v>83.8</v>
      </c>
      <c r="H515" s="41" t="str">
        <f>+IF(Waiting_status!$G515&lt;= 40,"Bajo",IF(Waiting_status!$G515 &gt;70,"High","Mid"))</f>
        <v>High</v>
      </c>
    </row>
    <row r="516" spans="1:8" x14ac:dyDescent="0.25">
      <c r="A516" s="38">
        <v>44</v>
      </c>
      <c r="B516" s="32" t="str">
        <f t="shared" si="8"/>
        <v>High</v>
      </c>
      <c r="F516" s="28" t="s">
        <v>22</v>
      </c>
      <c r="G516" s="40">
        <v>69.900000000000006</v>
      </c>
      <c r="H516" s="41" t="str">
        <f>+IF(Waiting_status!$G516&lt;= 40,"Bajo",IF(Waiting_status!$G516 &gt;70,"High","Mid"))</f>
        <v>Mid</v>
      </c>
    </row>
    <row r="517" spans="1:8" x14ac:dyDescent="0.25">
      <c r="A517" s="31">
        <v>34</v>
      </c>
      <c r="B517" s="32" t="str">
        <f t="shared" si="8"/>
        <v>mid</v>
      </c>
      <c r="F517" s="29" t="s">
        <v>16</v>
      </c>
      <c r="G517" s="42">
        <v>87.8</v>
      </c>
      <c r="H517" s="41" t="str">
        <f>+IF(Waiting_status!$G517&lt;= 40,"Bajo",IF(Waiting_status!$G517 &gt;70,"High","Mid"))</f>
        <v>High</v>
      </c>
    </row>
    <row r="518" spans="1:8" x14ac:dyDescent="0.25">
      <c r="A518" s="38">
        <v>43</v>
      </c>
      <c r="B518" s="32" t="str">
        <f t="shared" si="8"/>
        <v>High</v>
      </c>
      <c r="F518" s="28" t="s">
        <v>56</v>
      </c>
      <c r="G518" s="40">
        <v>92.5</v>
      </c>
      <c r="H518" s="41" t="str">
        <f>+IF(Waiting_status!$G518&lt;= 40,"Bajo",IF(Waiting_status!$G518 &gt;70,"High","Mid"))</f>
        <v>High</v>
      </c>
    </row>
    <row r="519" spans="1:8" x14ac:dyDescent="0.25">
      <c r="A519" s="31">
        <v>50</v>
      </c>
      <c r="B519" s="32" t="str">
        <f t="shared" si="8"/>
        <v>High</v>
      </c>
      <c r="F519" s="29" t="s">
        <v>22</v>
      </c>
      <c r="G519" s="42">
        <v>85.2</v>
      </c>
      <c r="H519" s="41" t="str">
        <f>+IF(Waiting_status!$G519&lt;= 40,"Bajo",IF(Waiting_status!$G519 &gt;70,"High","Mid"))</f>
        <v>High</v>
      </c>
    </row>
    <row r="520" spans="1:8" x14ac:dyDescent="0.25">
      <c r="A520" s="38">
        <v>11</v>
      </c>
      <c r="B520" s="32" t="str">
        <f t="shared" si="8"/>
        <v>Low</v>
      </c>
      <c r="F520" s="28" t="s">
        <v>41</v>
      </c>
      <c r="G520" s="40">
        <v>90.6</v>
      </c>
      <c r="H520" s="41" t="str">
        <f>+IF(Waiting_status!$G520&lt;= 40,"Bajo",IF(Waiting_status!$G520 &gt;70,"High","Mid"))</f>
        <v>High</v>
      </c>
    </row>
    <row r="521" spans="1:8" x14ac:dyDescent="0.25">
      <c r="A521" s="31">
        <v>19</v>
      </c>
      <c r="B521" s="32" t="str">
        <f t="shared" si="8"/>
        <v>Low</v>
      </c>
      <c r="F521" s="29" t="s">
        <v>41</v>
      </c>
      <c r="G521" s="42">
        <v>82.2</v>
      </c>
      <c r="H521" s="41" t="str">
        <f>+IF(Waiting_status!$G521&lt;= 40,"Bajo",IF(Waiting_status!$G521 &gt;70,"High","Mid"))</f>
        <v>High</v>
      </c>
    </row>
    <row r="522" spans="1:8" x14ac:dyDescent="0.25">
      <c r="A522" s="38">
        <v>36</v>
      </c>
      <c r="B522" s="32" t="str">
        <f t="shared" si="8"/>
        <v>mid</v>
      </c>
      <c r="F522" s="28" t="s">
        <v>95</v>
      </c>
      <c r="G522" s="40">
        <v>60.7</v>
      </c>
      <c r="H522" s="41" t="str">
        <f>+IF(Waiting_status!$G522&lt;= 40,"Bajo",IF(Waiting_status!$G522 &gt;70,"High","Mid"))</f>
        <v>Mid</v>
      </c>
    </row>
    <row r="523" spans="1:8" x14ac:dyDescent="0.25">
      <c r="A523" s="31">
        <v>56</v>
      </c>
      <c r="B523" s="32" t="str">
        <f t="shared" si="8"/>
        <v>High</v>
      </c>
      <c r="F523" s="29" t="s">
        <v>31</v>
      </c>
      <c r="G523" s="42">
        <v>86.7</v>
      </c>
      <c r="H523" s="41" t="str">
        <f>+IF(Waiting_status!$G523&lt;= 40,"Bajo",IF(Waiting_status!$G523 &gt;70,"High","Mid"))</f>
        <v>High</v>
      </c>
    </row>
    <row r="524" spans="1:8" x14ac:dyDescent="0.25">
      <c r="A524" s="38">
        <v>22</v>
      </c>
      <c r="B524" s="32" t="str">
        <f t="shared" si="8"/>
        <v>mid</v>
      </c>
      <c r="F524" s="28" t="s">
        <v>22</v>
      </c>
      <c r="G524" s="40">
        <v>63.5</v>
      </c>
      <c r="H524" s="41" t="str">
        <f>+IF(Waiting_status!$G524&lt;= 40,"Bajo",IF(Waiting_status!$G524 &gt;70,"High","Mid"))</f>
        <v>Mid</v>
      </c>
    </row>
    <row r="525" spans="1:8" x14ac:dyDescent="0.25">
      <c r="A525" s="31">
        <v>58</v>
      </c>
      <c r="B525" s="32" t="str">
        <f t="shared" si="8"/>
        <v>High</v>
      </c>
      <c r="F525" s="29" t="s">
        <v>95</v>
      </c>
      <c r="G525" s="42">
        <v>82.9</v>
      </c>
      <c r="H525" s="41" t="str">
        <f>+IF(Waiting_status!$G525&lt;= 40,"Bajo",IF(Waiting_status!$G525 &gt;70,"High","Mid"))</f>
        <v>High</v>
      </c>
    </row>
    <row r="526" spans="1:8" x14ac:dyDescent="0.25">
      <c r="A526" s="38">
        <v>32</v>
      </c>
      <c r="B526" s="32" t="str">
        <f t="shared" si="8"/>
        <v>mid</v>
      </c>
      <c r="F526" s="28" t="s">
        <v>64</v>
      </c>
      <c r="G526" s="40">
        <v>90.7</v>
      </c>
      <c r="H526" s="41" t="str">
        <f>+IF(Waiting_status!$G526&lt;= 40,"Bajo",IF(Waiting_status!$G526 &gt;70,"High","Mid"))</f>
        <v>High</v>
      </c>
    </row>
    <row r="527" spans="1:8" x14ac:dyDescent="0.25">
      <c r="A527" s="31">
        <v>55</v>
      </c>
      <c r="B527" s="32" t="str">
        <f t="shared" si="8"/>
        <v>High</v>
      </c>
      <c r="F527" s="29" t="s">
        <v>41</v>
      </c>
      <c r="G527" s="42">
        <v>85.2</v>
      </c>
      <c r="H527" s="41" t="str">
        <f>+IF(Waiting_status!$G527&lt;= 40,"Bajo",IF(Waiting_status!$G527 &gt;70,"High","Mid"))</f>
        <v>High</v>
      </c>
    </row>
    <row r="528" spans="1:8" x14ac:dyDescent="0.25">
      <c r="A528" s="38">
        <v>54</v>
      </c>
      <c r="B528" s="32" t="str">
        <f t="shared" si="8"/>
        <v>High</v>
      </c>
      <c r="F528" s="28" t="s">
        <v>22</v>
      </c>
      <c r="G528" s="40">
        <v>83.7</v>
      </c>
      <c r="H528" s="41" t="str">
        <f>+IF(Waiting_status!$G528&lt;= 40,"Bajo",IF(Waiting_status!$G528 &gt;70,"High","Mid"))</f>
        <v>High</v>
      </c>
    </row>
    <row r="529" spans="1:8" x14ac:dyDescent="0.25">
      <c r="A529" s="31">
        <v>20</v>
      </c>
      <c r="B529" s="32" t="str">
        <f t="shared" si="8"/>
        <v>Low</v>
      </c>
      <c r="F529" s="29" t="s">
        <v>64</v>
      </c>
      <c r="G529" s="42">
        <v>90.7</v>
      </c>
      <c r="H529" s="41" t="str">
        <f>+IF(Waiting_status!$G529&lt;= 40,"Bajo",IF(Waiting_status!$G529 &gt;70,"High","Mid"))</f>
        <v>High</v>
      </c>
    </row>
    <row r="530" spans="1:8" x14ac:dyDescent="0.25">
      <c r="A530" s="38">
        <v>49</v>
      </c>
      <c r="B530" s="32" t="str">
        <f t="shared" si="8"/>
        <v>High</v>
      </c>
      <c r="F530" s="28" t="s">
        <v>64</v>
      </c>
      <c r="G530" s="40">
        <v>87.8</v>
      </c>
      <c r="H530" s="41" t="str">
        <f>+IF(Waiting_status!$G530&lt;= 40,"Bajo",IF(Waiting_status!$G530 &gt;70,"High","Mid"))</f>
        <v>High</v>
      </c>
    </row>
    <row r="531" spans="1:8" x14ac:dyDescent="0.25">
      <c r="A531" s="31">
        <v>60</v>
      </c>
      <c r="B531" s="32" t="str">
        <f t="shared" si="8"/>
        <v>High</v>
      </c>
      <c r="F531" s="29" t="s">
        <v>56</v>
      </c>
      <c r="G531" s="42">
        <v>79.8</v>
      </c>
      <c r="H531" s="41" t="str">
        <f>+IF(Waiting_status!$G531&lt;= 40,"Bajo",IF(Waiting_status!$G531 &gt;70,"High","Mid"))</f>
        <v>High</v>
      </c>
    </row>
    <row r="532" spans="1:8" x14ac:dyDescent="0.25">
      <c r="A532" s="38">
        <v>33</v>
      </c>
      <c r="B532" s="32" t="str">
        <f t="shared" si="8"/>
        <v>mid</v>
      </c>
      <c r="F532" s="28" t="s">
        <v>61</v>
      </c>
      <c r="G532" s="40">
        <v>95.1</v>
      </c>
      <c r="H532" s="41" t="str">
        <f>+IF(Waiting_status!$G532&lt;= 40,"Bajo",IF(Waiting_status!$G532 &gt;70,"High","Mid"))</f>
        <v>High</v>
      </c>
    </row>
    <row r="533" spans="1:8" x14ac:dyDescent="0.25">
      <c r="A533" s="31">
        <v>51</v>
      </c>
      <c r="B533" s="32" t="str">
        <f t="shared" si="8"/>
        <v>High</v>
      </c>
      <c r="F533" s="29" t="s">
        <v>28</v>
      </c>
      <c r="G533" s="42">
        <v>97</v>
      </c>
      <c r="H533" s="41" t="str">
        <f>+IF(Waiting_status!$G533&lt;= 40,"Bajo",IF(Waiting_status!$G533 &gt;70,"High","Mid"))</f>
        <v>High</v>
      </c>
    </row>
    <row r="534" spans="1:8" x14ac:dyDescent="0.25">
      <c r="A534" s="38">
        <v>10</v>
      </c>
      <c r="B534" s="32" t="str">
        <f t="shared" si="8"/>
        <v>Low</v>
      </c>
      <c r="F534" s="28" t="s">
        <v>48</v>
      </c>
      <c r="G534" s="40">
        <v>65</v>
      </c>
      <c r="H534" s="41" t="str">
        <f>+IF(Waiting_status!$G534&lt;= 40,"Bajo",IF(Waiting_status!$G534 &gt;70,"High","Mid"))</f>
        <v>Mid</v>
      </c>
    </row>
    <row r="535" spans="1:8" x14ac:dyDescent="0.25">
      <c r="A535" s="31">
        <v>22</v>
      </c>
      <c r="B535" s="32" t="str">
        <f t="shared" si="8"/>
        <v>mid</v>
      </c>
      <c r="F535" s="29" t="s">
        <v>64</v>
      </c>
      <c r="G535" s="42">
        <v>60.8</v>
      </c>
      <c r="H535" s="41" t="str">
        <f>+IF(Waiting_status!$G535&lt;= 40,"Bajo",IF(Waiting_status!$G535 &gt;70,"High","Mid"))</f>
        <v>Mid</v>
      </c>
    </row>
    <row r="536" spans="1:8" x14ac:dyDescent="0.25">
      <c r="A536" s="38">
        <v>51</v>
      </c>
      <c r="B536" s="32" t="str">
        <f t="shared" si="8"/>
        <v>High</v>
      </c>
      <c r="F536" s="28" t="s">
        <v>41</v>
      </c>
      <c r="G536" s="40">
        <v>74.599999999999994</v>
      </c>
      <c r="H536" s="41" t="str">
        <f>+IF(Waiting_status!$G536&lt;= 40,"Bajo",IF(Waiting_status!$G536 &gt;70,"High","Mid"))</f>
        <v>High</v>
      </c>
    </row>
    <row r="537" spans="1:8" x14ac:dyDescent="0.25">
      <c r="A537" s="31">
        <v>34</v>
      </c>
      <c r="B537" s="32" t="str">
        <f t="shared" si="8"/>
        <v>mid</v>
      </c>
      <c r="F537" s="29" t="s">
        <v>56</v>
      </c>
      <c r="G537" s="42">
        <v>66.7</v>
      </c>
      <c r="H537" s="41" t="str">
        <f>+IF(Waiting_status!$G537&lt;= 40,"Bajo",IF(Waiting_status!$G537 &gt;70,"High","Mid"))</f>
        <v>Mid</v>
      </c>
    </row>
    <row r="538" spans="1:8" x14ac:dyDescent="0.25">
      <c r="A538" s="38">
        <v>41</v>
      </c>
      <c r="B538" s="32" t="str">
        <f t="shared" si="8"/>
        <v>High</v>
      </c>
      <c r="F538" s="28" t="s">
        <v>41</v>
      </c>
      <c r="G538" s="40">
        <v>64.8</v>
      </c>
      <c r="H538" s="41" t="str">
        <f>+IF(Waiting_status!$G538&lt;= 40,"Bajo",IF(Waiting_status!$G538 &gt;70,"High","Mid"))</f>
        <v>Mid</v>
      </c>
    </row>
    <row r="539" spans="1:8" x14ac:dyDescent="0.25">
      <c r="A539" s="31">
        <v>46</v>
      </c>
      <c r="B539" s="32" t="str">
        <f t="shared" si="8"/>
        <v>High</v>
      </c>
      <c r="F539" s="29" t="s">
        <v>61</v>
      </c>
      <c r="G539" s="42">
        <v>79.2</v>
      </c>
      <c r="H539" s="41" t="str">
        <f>+IF(Waiting_status!$G539&lt;= 40,"Bajo",IF(Waiting_status!$G539 &gt;70,"High","Mid"))</f>
        <v>High</v>
      </c>
    </row>
    <row r="540" spans="1:8" x14ac:dyDescent="0.25">
      <c r="A540" s="38">
        <v>49</v>
      </c>
      <c r="B540" s="32" t="str">
        <f t="shared" si="8"/>
        <v>High</v>
      </c>
      <c r="F540" s="28" t="s">
        <v>61</v>
      </c>
      <c r="G540" s="40">
        <v>92.5</v>
      </c>
      <c r="H540" s="41" t="str">
        <f>+IF(Waiting_status!$G540&lt;= 40,"Bajo",IF(Waiting_status!$G540 &gt;70,"High","Mid"))</f>
        <v>High</v>
      </c>
    </row>
    <row r="541" spans="1:8" x14ac:dyDescent="0.25">
      <c r="A541" s="31">
        <v>54</v>
      </c>
      <c r="B541" s="32" t="str">
        <f t="shared" si="8"/>
        <v>High</v>
      </c>
      <c r="F541" s="29" t="s">
        <v>22</v>
      </c>
      <c r="G541" s="42">
        <v>62.5</v>
      </c>
      <c r="H541" s="41" t="str">
        <f>+IF(Waiting_status!$G541&lt;= 40,"Bajo",IF(Waiting_status!$G541 &gt;70,"High","Mid"))</f>
        <v>Mid</v>
      </c>
    </row>
    <row r="542" spans="1:8" x14ac:dyDescent="0.25">
      <c r="A542" s="38">
        <v>54</v>
      </c>
      <c r="B542" s="32" t="str">
        <f t="shared" si="8"/>
        <v>High</v>
      </c>
      <c r="F542" s="28" t="s">
        <v>61</v>
      </c>
      <c r="G542" s="40">
        <v>99.9</v>
      </c>
      <c r="H542" s="41" t="str">
        <f>+IF(Waiting_status!$G542&lt;= 40,"Bajo",IF(Waiting_status!$G542 &gt;70,"High","Mid"))</f>
        <v>High</v>
      </c>
    </row>
    <row r="543" spans="1:8" x14ac:dyDescent="0.25">
      <c r="A543" s="31">
        <v>43</v>
      </c>
      <c r="B543" s="32" t="str">
        <f t="shared" si="8"/>
        <v>High</v>
      </c>
      <c r="F543" s="29" t="s">
        <v>41</v>
      </c>
      <c r="G543" s="42">
        <v>92.9</v>
      </c>
      <c r="H543" s="41" t="str">
        <f>+IF(Waiting_status!$G543&lt;= 40,"Bajo",IF(Waiting_status!$G543 &gt;70,"High","Mid"))</f>
        <v>High</v>
      </c>
    </row>
    <row r="544" spans="1:8" x14ac:dyDescent="0.25">
      <c r="A544" s="38">
        <v>16</v>
      </c>
      <c r="B544" s="32" t="str">
        <f t="shared" si="8"/>
        <v>Low</v>
      </c>
      <c r="F544" s="28" t="s">
        <v>56</v>
      </c>
      <c r="G544" s="40">
        <v>69</v>
      </c>
      <c r="H544" s="41" t="str">
        <f>+IF(Waiting_status!$G544&lt;= 40,"Bajo",IF(Waiting_status!$G544 &gt;70,"High","Mid"))</f>
        <v>Mid</v>
      </c>
    </row>
    <row r="545" spans="1:8" x14ac:dyDescent="0.25">
      <c r="A545" s="31">
        <v>18</v>
      </c>
      <c r="B545" s="32" t="str">
        <f t="shared" si="8"/>
        <v>Low</v>
      </c>
      <c r="F545" s="29" t="s">
        <v>31</v>
      </c>
      <c r="G545" s="42">
        <v>97.8</v>
      </c>
      <c r="H545" s="41" t="str">
        <f>+IF(Waiting_status!$G545&lt;= 40,"Bajo",IF(Waiting_status!$G545 &gt;70,"High","Mid"))</f>
        <v>High</v>
      </c>
    </row>
    <row r="546" spans="1:8" x14ac:dyDescent="0.25">
      <c r="A546" s="38">
        <v>18</v>
      </c>
      <c r="B546" s="32" t="str">
        <f t="shared" si="8"/>
        <v>Low</v>
      </c>
      <c r="F546" s="28" t="s">
        <v>48</v>
      </c>
      <c r="G546" s="40">
        <v>72.2</v>
      </c>
      <c r="H546" s="41" t="str">
        <f>+IF(Waiting_status!$G546&lt;= 40,"Bajo",IF(Waiting_status!$G546 &gt;70,"High","Mid"))</f>
        <v>High</v>
      </c>
    </row>
    <row r="547" spans="1:8" x14ac:dyDescent="0.25">
      <c r="A547" s="31">
        <v>14</v>
      </c>
      <c r="B547" s="32" t="str">
        <f t="shared" si="8"/>
        <v>Low</v>
      </c>
      <c r="F547" s="29" t="s">
        <v>41</v>
      </c>
      <c r="G547" s="42">
        <v>83.6</v>
      </c>
      <c r="H547" s="41" t="str">
        <f>+IF(Waiting_status!$G547&lt;= 40,"Bajo",IF(Waiting_status!$G547 &gt;70,"High","Mid"))</f>
        <v>High</v>
      </c>
    </row>
    <row r="548" spans="1:8" x14ac:dyDescent="0.25">
      <c r="A548" s="38">
        <v>50</v>
      </c>
      <c r="B548" s="32" t="str">
        <f t="shared" si="8"/>
        <v>High</v>
      </c>
      <c r="F548" s="28" t="s">
        <v>22</v>
      </c>
      <c r="G548" s="40">
        <v>67.2</v>
      </c>
      <c r="H548" s="41" t="str">
        <f>+IF(Waiting_status!$G548&lt;= 40,"Bajo",IF(Waiting_status!$G548 &gt;70,"High","Mid"))</f>
        <v>Mid</v>
      </c>
    </row>
    <row r="549" spans="1:8" x14ac:dyDescent="0.25">
      <c r="A549" s="31">
        <v>16</v>
      </c>
      <c r="B549" s="32" t="str">
        <f t="shared" si="8"/>
        <v>Low</v>
      </c>
      <c r="F549" s="29" t="s">
        <v>31</v>
      </c>
      <c r="G549" s="42">
        <v>65.400000000000006</v>
      </c>
      <c r="H549" s="41" t="str">
        <f>+IF(Waiting_status!$G549&lt;= 40,"Bajo",IF(Waiting_status!$G549 &gt;70,"High","Mid"))</f>
        <v>Mid</v>
      </c>
    </row>
    <row r="550" spans="1:8" x14ac:dyDescent="0.25">
      <c r="A550" s="38">
        <v>34</v>
      </c>
      <c r="B550" s="32" t="str">
        <f t="shared" si="8"/>
        <v>mid</v>
      </c>
      <c r="F550" s="28" t="s">
        <v>95</v>
      </c>
      <c r="G550" s="40">
        <v>85</v>
      </c>
      <c r="H550" s="41" t="str">
        <f>+IF(Waiting_status!$G550&lt;= 40,"Bajo",IF(Waiting_status!$G550 &gt;70,"High","Mid"))</f>
        <v>High</v>
      </c>
    </row>
    <row r="551" spans="1:8" x14ac:dyDescent="0.25">
      <c r="A551" s="31">
        <v>38</v>
      </c>
      <c r="B551" s="32" t="str">
        <f t="shared" si="8"/>
        <v>mid</v>
      </c>
      <c r="F551" s="29" t="s">
        <v>64</v>
      </c>
      <c r="G551" s="42">
        <v>87.9</v>
      </c>
      <c r="H551" s="41" t="str">
        <f>+IF(Waiting_status!$G551&lt;= 40,"Bajo",IF(Waiting_status!$G551 &gt;70,"High","Mid"))</f>
        <v>High</v>
      </c>
    </row>
    <row r="552" spans="1:8" x14ac:dyDescent="0.25">
      <c r="A552" s="38">
        <v>32</v>
      </c>
      <c r="B552" s="32" t="str">
        <f t="shared" si="8"/>
        <v>mid</v>
      </c>
      <c r="F552" s="28" t="s">
        <v>95</v>
      </c>
      <c r="G552" s="40">
        <v>98.8</v>
      </c>
      <c r="H552" s="41" t="str">
        <f>+IF(Waiting_status!$G552&lt;= 40,"Bajo",IF(Waiting_status!$G552 &gt;70,"High","Mid"))</f>
        <v>High</v>
      </c>
    </row>
    <row r="553" spans="1:8" x14ac:dyDescent="0.25">
      <c r="A553" s="31">
        <v>22</v>
      </c>
      <c r="B553" s="32" t="str">
        <f t="shared" si="8"/>
        <v>mid</v>
      </c>
      <c r="F553" s="29" t="s">
        <v>61</v>
      </c>
      <c r="G553" s="42">
        <v>74.900000000000006</v>
      </c>
      <c r="H553" s="41" t="str">
        <f>+IF(Waiting_status!$G553&lt;= 40,"Bajo",IF(Waiting_status!$G553 &gt;70,"High","Mid"))</f>
        <v>High</v>
      </c>
    </row>
    <row r="554" spans="1:8" x14ac:dyDescent="0.25">
      <c r="A554" s="38">
        <v>29</v>
      </c>
      <c r="B554" s="32" t="str">
        <f t="shared" si="8"/>
        <v>mid</v>
      </c>
      <c r="F554" s="28" t="s">
        <v>56</v>
      </c>
      <c r="G554" s="40">
        <v>86.5</v>
      </c>
      <c r="H554" s="41" t="str">
        <f>+IF(Waiting_status!$G554&lt;= 40,"Bajo",IF(Waiting_status!$G554 &gt;70,"High","Mid"))</f>
        <v>High</v>
      </c>
    </row>
    <row r="555" spans="1:8" x14ac:dyDescent="0.25">
      <c r="A555" s="31">
        <v>43</v>
      </c>
      <c r="B555" s="32" t="str">
        <f t="shared" si="8"/>
        <v>High</v>
      </c>
      <c r="F555" s="29" t="s">
        <v>22</v>
      </c>
      <c r="G555" s="42">
        <v>96.4</v>
      </c>
      <c r="H555" s="41" t="str">
        <f>+IF(Waiting_status!$G555&lt;= 40,"Bajo",IF(Waiting_status!$G555 &gt;70,"High","Mid"))</f>
        <v>High</v>
      </c>
    </row>
    <row r="556" spans="1:8" x14ac:dyDescent="0.25">
      <c r="A556" s="38">
        <v>41</v>
      </c>
      <c r="B556" s="32" t="str">
        <f t="shared" si="8"/>
        <v>High</v>
      </c>
      <c r="F556" s="28" t="s">
        <v>48</v>
      </c>
      <c r="G556" s="40">
        <v>73.8</v>
      </c>
      <c r="H556" s="41" t="str">
        <f>+IF(Waiting_status!$G556&lt;= 40,"Bajo",IF(Waiting_status!$G556 &gt;70,"High","Mid"))</f>
        <v>High</v>
      </c>
    </row>
    <row r="557" spans="1:8" x14ac:dyDescent="0.25">
      <c r="A557" s="31">
        <v>32</v>
      </c>
      <c r="B557" s="32" t="str">
        <f t="shared" si="8"/>
        <v>mid</v>
      </c>
      <c r="F557" s="29" t="s">
        <v>48</v>
      </c>
      <c r="G557" s="42">
        <v>96.4</v>
      </c>
      <c r="H557" s="41" t="str">
        <f>+IF(Waiting_status!$G557&lt;= 40,"Bajo",IF(Waiting_status!$G557 &gt;70,"High","Mid"))</f>
        <v>High</v>
      </c>
    </row>
    <row r="558" spans="1:8" x14ac:dyDescent="0.25">
      <c r="A558" s="38">
        <v>24</v>
      </c>
      <c r="B558" s="32" t="str">
        <f t="shared" si="8"/>
        <v>mid</v>
      </c>
      <c r="F558" s="28" t="s">
        <v>31</v>
      </c>
      <c r="G558" s="40">
        <v>62.8</v>
      </c>
      <c r="H558" s="41" t="str">
        <f>+IF(Waiting_status!$G558&lt;= 40,"Bajo",IF(Waiting_status!$G558 &gt;70,"High","Mid"))</f>
        <v>Mid</v>
      </c>
    </row>
    <row r="559" spans="1:8" x14ac:dyDescent="0.25">
      <c r="A559" s="31">
        <v>53</v>
      </c>
      <c r="B559" s="32" t="str">
        <f t="shared" si="8"/>
        <v>High</v>
      </c>
      <c r="F559" s="29" t="s">
        <v>41</v>
      </c>
      <c r="G559" s="42">
        <v>65.7</v>
      </c>
      <c r="H559" s="41" t="str">
        <f>+IF(Waiting_status!$G559&lt;= 40,"Bajo",IF(Waiting_status!$G559 &gt;70,"High","Mid"))</f>
        <v>Mid</v>
      </c>
    </row>
    <row r="560" spans="1:8" x14ac:dyDescent="0.25">
      <c r="A560" s="38">
        <v>41</v>
      </c>
      <c r="B560" s="32" t="str">
        <f t="shared" si="8"/>
        <v>High</v>
      </c>
      <c r="F560" s="28" t="s">
        <v>22</v>
      </c>
      <c r="G560" s="40">
        <v>90.2</v>
      </c>
      <c r="H560" s="41" t="str">
        <f>+IF(Waiting_status!$G560&lt;= 40,"Bajo",IF(Waiting_status!$G560 &gt;70,"High","Mid"))</f>
        <v>High</v>
      </c>
    </row>
    <row r="561" spans="1:8" x14ac:dyDescent="0.25">
      <c r="A561" s="31">
        <v>37</v>
      </c>
      <c r="B561" s="32" t="str">
        <f t="shared" si="8"/>
        <v>mid</v>
      </c>
      <c r="F561" s="29" t="s">
        <v>28</v>
      </c>
      <c r="G561" s="42">
        <v>84</v>
      </c>
      <c r="H561" s="41" t="str">
        <f>+IF(Waiting_status!$G561&lt;= 40,"Bajo",IF(Waiting_status!$G561 &gt;70,"High","Mid"))</f>
        <v>High</v>
      </c>
    </row>
    <row r="562" spans="1:8" x14ac:dyDescent="0.25">
      <c r="A562" s="38">
        <v>57</v>
      </c>
      <c r="B562" s="32" t="str">
        <f t="shared" si="8"/>
        <v>High</v>
      </c>
      <c r="F562" s="28" t="s">
        <v>48</v>
      </c>
      <c r="G562" s="40">
        <v>76.5</v>
      </c>
      <c r="H562" s="41" t="str">
        <f>+IF(Waiting_status!$G562&lt;= 40,"Bajo",IF(Waiting_status!$G562 &gt;70,"High","Mid"))</f>
        <v>High</v>
      </c>
    </row>
    <row r="563" spans="1:8" x14ac:dyDescent="0.25">
      <c r="A563" s="31">
        <v>44</v>
      </c>
      <c r="B563" s="32" t="str">
        <f t="shared" si="8"/>
        <v>High</v>
      </c>
      <c r="F563" s="29" t="s">
        <v>22</v>
      </c>
      <c r="G563" s="42">
        <v>88.6</v>
      </c>
      <c r="H563" s="41" t="str">
        <f>+IF(Waiting_status!$G563&lt;= 40,"Bajo",IF(Waiting_status!$G563 &gt;70,"High","Mid"))</f>
        <v>High</v>
      </c>
    </row>
    <row r="564" spans="1:8" x14ac:dyDescent="0.25">
      <c r="A564" s="38">
        <v>29</v>
      </c>
      <c r="B564" s="32" t="str">
        <f t="shared" si="8"/>
        <v>mid</v>
      </c>
      <c r="F564" s="28" t="s">
        <v>28</v>
      </c>
      <c r="G564" s="40">
        <v>63.2</v>
      </c>
      <c r="H564" s="41" t="str">
        <f>+IF(Waiting_status!$G564&lt;= 40,"Bajo",IF(Waiting_status!$G564 &gt;70,"High","Mid"))</f>
        <v>Mid</v>
      </c>
    </row>
    <row r="565" spans="1:8" x14ac:dyDescent="0.25">
      <c r="A565" s="31">
        <v>18</v>
      </c>
      <c r="B565" s="32" t="str">
        <f t="shared" si="8"/>
        <v>Low</v>
      </c>
      <c r="F565" s="29" t="s">
        <v>61</v>
      </c>
      <c r="G565" s="42">
        <v>95.8</v>
      </c>
      <c r="H565" s="41" t="str">
        <f>+IF(Waiting_status!$G565&lt;= 40,"Bajo",IF(Waiting_status!$G565 &gt;70,"High","Mid"))</f>
        <v>High</v>
      </c>
    </row>
    <row r="566" spans="1:8" x14ac:dyDescent="0.25">
      <c r="A566" s="38">
        <v>16</v>
      </c>
      <c r="B566" s="32" t="str">
        <f t="shared" si="8"/>
        <v>Low</v>
      </c>
      <c r="F566" s="28" t="s">
        <v>28</v>
      </c>
      <c r="G566" s="40">
        <v>73.900000000000006</v>
      </c>
      <c r="H566" s="41" t="str">
        <f>+IF(Waiting_status!$G566&lt;= 40,"Bajo",IF(Waiting_status!$G566 &gt;70,"High","Mid"))</f>
        <v>High</v>
      </c>
    </row>
    <row r="567" spans="1:8" x14ac:dyDescent="0.25">
      <c r="A567" s="31">
        <v>11</v>
      </c>
      <c r="B567" s="32" t="str">
        <f t="shared" si="8"/>
        <v>Low</v>
      </c>
      <c r="F567" s="29" t="s">
        <v>22</v>
      </c>
      <c r="G567" s="42">
        <v>98</v>
      </c>
      <c r="H567" s="41" t="str">
        <f>+IF(Waiting_status!$G567&lt;= 40,"Bajo",IF(Waiting_status!$G567 &gt;70,"High","Mid"))</f>
        <v>High</v>
      </c>
    </row>
    <row r="568" spans="1:8" x14ac:dyDescent="0.25">
      <c r="A568" s="38">
        <v>25</v>
      </c>
      <c r="B568" s="32" t="str">
        <f t="shared" si="8"/>
        <v>mid</v>
      </c>
      <c r="F568" s="28" t="s">
        <v>28</v>
      </c>
      <c r="G568" s="40">
        <v>61.5</v>
      </c>
      <c r="H568" s="41" t="str">
        <f>+IF(Waiting_status!$G568&lt;= 40,"Bajo",IF(Waiting_status!$G568 &gt;70,"High","Mid"))</f>
        <v>Mid</v>
      </c>
    </row>
    <row r="569" spans="1:8" x14ac:dyDescent="0.25">
      <c r="A569" s="31">
        <v>60</v>
      </c>
      <c r="B569" s="32" t="str">
        <f t="shared" si="8"/>
        <v>High</v>
      </c>
      <c r="F569" s="29" t="s">
        <v>48</v>
      </c>
      <c r="G569" s="42">
        <v>65</v>
      </c>
      <c r="H569" s="41" t="str">
        <f>+IF(Waiting_status!$G569&lt;= 40,"Bajo",IF(Waiting_status!$G569 &gt;70,"High","Mid"))</f>
        <v>Mid</v>
      </c>
    </row>
    <row r="570" spans="1:8" x14ac:dyDescent="0.25">
      <c r="A570" s="38">
        <v>30</v>
      </c>
      <c r="B570" s="32" t="str">
        <f t="shared" si="8"/>
        <v>mid</v>
      </c>
      <c r="F570" s="28" t="s">
        <v>28</v>
      </c>
      <c r="G570" s="40">
        <v>77.599999999999994</v>
      </c>
      <c r="H570" s="41" t="str">
        <f>+IF(Waiting_status!$G570&lt;= 40,"Bajo",IF(Waiting_status!$G570 &gt;70,"High","Mid"))</f>
        <v>High</v>
      </c>
    </row>
    <row r="571" spans="1:8" x14ac:dyDescent="0.25">
      <c r="A571" s="31">
        <v>24</v>
      </c>
      <c r="B571" s="32" t="str">
        <f t="shared" si="8"/>
        <v>mid</v>
      </c>
      <c r="F571" s="29" t="s">
        <v>16</v>
      </c>
      <c r="G571" s="42">
        <v>69.3</v>
      </c>
      <c r="H571" s="41" t="str">
        <f>+IF(Waiting_status!$G571&lt;= 40,"Bajo",IF(Waiting_status!$G571 &gt;70,"High","Mid"))</f>
        <v>Mid</v>
      </c>
    </row>
    <row r="572" spans="1:8" x14ac:dyDescent="0.25">
      <c r="A572" s="38">
        <v>29</v>
      </c>
      <c r="B572" s="32" t="str">
        <f t="shared" si="8"/>
        <v>mid</v>
      </c>
      <c r="F572" s="28" t="s">
        <v>56</v>
      </c>
      <c r="G572" s="40">
        <v>81</v>
      </c>
      <c r="H572" s="41" t="str">
        <f>+IF(Waiting_status!$G572&lt;= 40,"Bajo",IF(Waiting_status!$G572 &gt;70,"High","Mid"))</f>
        <v>High</v>
      </c>
    </row>
    <row r="573" spans="1:8" x14ac:dyDescent="0.25">
      <c r="A573" s="31">
        <v>34</v>
      </c>
      <c r="B573" s="32" t="str">
        <f t="shared" si="8"/>
        <v>mid</v>
      </c>
      <c r="F573" s="29" t="s">
        <v>31</v>
      </c>
      <c r="G573" s="42">
        <v>98.3</v>
      </c>
      <c r="H573" s="41" t="str">
        <f>+IF(Waiting_status!$G573&lt;= 40,"Bajo",IF(Waiting_status!$G573 &gt;70,"High","Mid"))</f>
        <v>High</v>
      </c>
    </row>
    <row r="574" spans="1:8" x14ac:dyDescent="0.25">
      <c r="A574" s="38">
        <v>43</v>
      </c>
      <c r="B574" s="32" t="str">
        <f t="shared" si="8"/>
        <v>High</v>
      </c>
      <c r="F574" s="28" t="s">
        <v>48</v>
      </c>
      <c r="G574" s="40">
        <v>60.5</v>
      </c>
      <c r="H574" s="41" t="str">
        <f>+IF(Waiting_status!$G574&lt;= 40,"Bajo",IF(Waiting_status!$G574 &gt;70,"High","Mid"))</f>
        <v>Mid</v>
      </c>
    </row>
    <row r="575" spans="1:8" x14ac:dyDescent="0.25">
      <c r="A575" s="31">
        <v>15</v>
      </c>
      <c r="B575" s="32" t="str">
        <f t="shared" si="8"/>
        <v>Low</v>
      </c>
      <c r="F575" s="29" t="s">
        <v>31</v>
      </c>
      <c r="G575" s="42">
        <v>68.3</v>
      </c>
      <c r="H575" s="41" t="str">
        <f>+IF(Waiting_status!$G575&lt;= 40,"Bajo",IF(Waiting_status!$G575 &gt;70,"High","Mid"))</f>
        <v>Mid</v>
      </c>
    </row>
    <row r="576" spans="1:8" x14ac:dyDescent="0.25">
      <c r="A576" s="38">
        <v>22</v>
      </c>
      <c r="B576" s="32" t="str">
        <f t="shared" si="8"/>
        <v>mid</v>
      </c>
      <c r="F576" s="28" t="s">
        <v>16</v>
      </c>
      <c r="G576" s="40">
        <v>68.2</v>
      </c>
      <c r="H576" s="41" t="str">
        <f>+IF(Waiting_status!$G576&lt;= 40,"Bajo",IF(Waiting_status!$G576 &gt;70,"High","Mid"))</f>
        <v>Mid</v>
      </c>
    </row>
    <row r="577" spans="1:8" x14ac:dyDescent="0.25">
      <c r="A577" s="31">
        <v>33</v>
      </c>
      <c r="B577" s="32" t="str">
        <f t="shared" si="8"/>
        <v>mid</v>
      </c>
      <c r="F577" s="29" t="s">
        <v>48</v>
      </c>
      <c r="G577" s="42">
        <v>79</v>
      </c>
      <c r="H577" s="41" t="str">
        <f>+IF(Waiting_status!$G577&lt;= 40,"Bajo",IF(Waiting_status!$G577 &gt;70,"High","Mid"))</f>
        <v>High</v>
      </c>
    </row>
    <row r="578" spans="1:8" x14ac:dyDescent="0.25">
      <c r="A578" s="38">
        <v>47</v>
      </c>
      <c r="B578" s="32" t="str">
        <f t="shared" si="8"/>
        <v>High</v>
      </c>
      <c r="F578" s="28" t="s">
        <v>22</v>
      </c>
      <c r="G578" s="40">
        <v>63.8</v>
      </c>
      <c r="H578" s="41" t="str">
        <f>+IF(Waiting_status!$G578&lt;= 40,"Bajo",IF(Waiting_status!$G578 &gt;70,"High","Mid"))</f>
        <v>Mid</v>
      </c>
    </row>
    <row r="579" spans="1:8" x14ac:dyDescent="0.25">
      <c r="A579" s="31">
        <v>52</v>
      </c>
      <c r="B579" s="32" t="str">
        <f t="shared" ref="B579:B642" si="9">+IF(A579&lt;= 20,"Low",IF(A579 &gt; 40,"High","mid"))</f>
        <v>High</v>
      </c>
      <c r="F579" s="29" t="s">
        <v>56</v>
      </c>
      <c r="G579" s="42">
        <v>76.599999999999994</v>
      </c>
      <c r="H579" s="41" t="str">
        <f>+IF(Waiting_status!$G579&lt;= 40,"Bajo",IF(Waiting_status!$G579 &gt;70,"High","Mid"))</f>
        <v>High</v>
      </c>
    </row>
    <row r="580" spans="1:8" x14ac:dyDescent="0.25">
      <c r="A580" s="38">
        <v>48</v>
      </c>
      <c r="B580" s="32" t="str">
        <f t="shared" si="9"/>
        <v>High</v>
      </c>
      <c r="F580" s="28" t="s">
        <v>16</v>
      </c>
      <c r="G580" s="40">
        <v>92.8</v>
      </c>
      <c r="H580" s="41" t="str">
        <f>+IF(Waiting_status!$G580&lt;= 40,"Bajo",IF(Waiting_status!$G580 &gt;70,"High","Mid"))</f>
        <v>High</v>
      </c>
    </row>
    <row r="581" spans="1:8" x14ac:dyDescent="0.25">
      <c r="A581" s="31">
        <v>50</v>
      </c>
      <c r="B581" s="32" t="str">
        <f t="shared" si="9"/>
        <v>High</v>
      </c>
      <c r="F581" s="29" t="s">
        <v>61</v>
      </c>
      <c r="G581" s="42">
        <v>92.9</v>
      </c>
      <c r="H581" s="41" t="str">
        <f>+IF(Waiting_status!$G581&lt;= 40,"Bajo",IF(Waiting_status!$G581 &gt;70,"High","Mid"))</f>
        <v>High</v>
      </c>
    </row>
    <row r="582" spans="1:8" x14ac:dyDescent="0.25">
      <c r="A582" s="38">
        <v>33</v>
      </c>
      <c r="B582" s="32" t="str">
        <f t="shared" si="9"/>
        <v>mid</v>
      </c>
      <c r="F582" s="28" t="s">
        <v>41</v>
      </c>
      <c r="G582" s="40">
        <v>88.2</v>
      </c>
      <c r="H582" s="41" t="str">
        <f>+IF(Waiting_status!$G582&lt;= 40,"Bajo",IF(Waiting_status!$G582 &gt;70,"High","Mid"))</f>
        <v>High</v>
      </c>
    </row>
    <row r="583" spans="1:8" x14ac:dyDescent="0.25">
      <c r="A583" s="31">
        <v>11</v>
      </c>
      <c r="B583" s="32" t="str">
        <f t="shared" si="9"/>
        <v>Low</v>
      </c>
      <c r="F583" s="29" t="s">
        <v>61</v>
      </c>
      <c r="G583" s="42">
        <v>90</v>
      </c>
      <c r="H583" s="41" t="str">
        <f>+IF(Waiting_status!$G583&lt;= 40,"Bajo",IF(Waiting_status!$G583 &gt;70,"High","Mid"))</f>
        <v>High</v>
      </c>
    </row>
    <row r="584" spans="1:8" x14ac:dyDescent="0.25">
      <c r="A584" s="38">
        <v>10</v>
      </c>
      <c r="B584" s="32" t="str">
        <f t="shared" si="9"/>
        <v>Low</v>
      </c>
      <c r="F584" s="28" t="s">
        <v>31</v>
      </c>
      <c r="G584" s="40">
        <v>84.7</v>
      </c>
      <c r="H584" s="41" t="str">
        <f>+IF(Waiting_status!$G584&lt;= 40,"Bajo",IF(Waiting_status!$G584 &gt;70,"High","Mid"))</f>
        <v>High</v>
      </c>
    </row>
    <row r="585" spans="1:8" x14ac:dyDescent="0.25">
      <c r="A585" s="31">
        <v>45</v>
      </c>
      <c r="B585" s="32" t="str">
        <f t="shared" si="9"/>
        <v>High</v>
      </c>
      <c r="F585" s="29" t="s">
        <v>48</v>
      </c>
      <c r="G585" s="42">
        <v>90</v>
      </c>
      <c r="H585" s="41" t="str">
        <f>+IF(Waiting_status!$G585&lt;= 40,"Bajo",IF(Waiting_status!$G585 &gt;70,"High","Mid"))</f>
        <v>High</v>
      </c>
    </row>
    <row r="586" spans="1:8" x14ac:dyDescent="0.25">
      <c r="A586" s="38">
        <v>39</v>
      </c>
      <c r="B586" s="32" t="str">
        <f t="shared" si="9"/>
        <v>mid</v>
      </c>
      <c r="F586" s="28" t="s">
        <v>41</v>
      </c>
      <c r="G586" s="40">
        <v>71.900000000000006</v>
      </c>
      <c r="H586" s="41" t="str">
        <f>+IF(Waiting_status!$G586&lt;= 40,"Bajo",IF(Waiting_status!$G586 &gt;70,"High","Mid"))</f>
        <v>High</v>
      </c>
    </row>
    <row r="587" spans="1:8" x14ac:dyDescent="0.25">
      <c r="A587" s="31">
        <v>37</v>
      </c>
      <c r="B587" s="32" t="str">
        <f t="shared" si="9"/>
        <v>mid</v>
      </c>
      <c r="F587" s="29" t="s">
        <v>16</v>
      </c>
      <c r="G587" s="42">
        <v>72</v>
      </c>
      <c r="H587" s="41" t="str">
        <f>+IF(Waiting_status!$G587&lt;= 40,"Bajo",IF(Waiting_status!$G587 &gt;70,"High","Mid"))</f>
        <v>High</v>
      </c>
    </row>
    <row r="588" spans="1:8" x14ac:dyDescent="0.25">
      <c r="A588" s="38">
        <v>16</v>
      </c>
      <c r="B588" s="32" t="str">
        <f t="shared" si="9"/>
        <v>Low</v>
      </c>
      <c r="F588" s="28" t="s">
        <v>41</v>
      </c>
      <c r="G588" s="40">
        <v>62.9</v>
      </c>
      <c r="H588" s="41" t="str">
        <f>+IF(Waiting_status!$G588&lt;= 40,"Bajo",IF(Waiting_status!$G588 &gt;70,"High","Mid"))</f>
        <v>Mid</v>
      </c>
    </row>
    <row r="589" spans="1:8" x14ac:dyDescent="0.25">
      <c r="A589" s="31">
        <v>60</v>
      </c>
      <c r="B589" s="32" t="str">
        <f t="shared" si="9"/>
        <v>High</v>
      </c>
      <c r="F589" s="29" t="s">
        <v>95</v>
      </c>
      <c r="G589" s="42">
        <v>81.599999999999994</v>
      </c>
      <c r="H589" s="41" t="str">
        <f>+IF(Waiting_status!$G589&lt;= 40,"Bajo",IF(Waiting_status!$G589 &gt;70,"High","Mid"))</f>
        <v>High</v>
      </c>
    </row>
    <row r="590" spans="1:8" x14ac:dyDescent="0.25">
      <c r="A590" s="38">
        <v>38</v>
      </c>
      <c r="B590" s="32" t="str">
        <f t="shared" si="9"/>
        <v>mid</v>
      </c>
      <c r="F590" s="28" t="s">
        <v>22</v>
      </c>
      <c r="G590" s="40">
        <v>64.599999999999994</v>
      </c>
      <c r="H590" s="41" t="str">
        <f>+IF(Waiting_status!$G590&lt;= 40,"Bajo",IF(Waiting_status!$G590 &gt;70,"High","Mid"))</f>
        <v>Mid</v>
      </c>
    </row>
    <row r="591" spans="1:8" x14ac:dyDescent="0.25">
      <c r="A591" s="31">
        <v>42</v>
      </c>
      <c r="B591" s="32" t="str">
        <f t="shared" si="9"/>
        <v>High</v>
      </c>
      <c r="F591" s="29" t="s">
        <v>41</v>
      </c>
      <c r="G591" s="42">
        <v>93.1</v>
      </c>
      <c r="H591" s="41" t="str">
        <f>+IF(Waiting_status!$G591&lt;= 40,"Bajo",IF(Waiting_status!$G591 &gt;70,"High","Mid"))</f>
        <v>High</v>
      </c>
    </row>
    <row r="592" spans="1:8" x14ac:dyDescent="0.25">
      <c r="A592" s="38">
        <v>30</v>
      </c>
      <c r="B592" s="32" t="str">
        <f t="shared" si="9"/>
        <v>mid</v>
      </c>
      <c r="F592" s="28" t="s">
        <v>41</v>
      </c>
      <c r="G592" s="40">
        <v>72.099999999999994</v>
      </c>
      <c r="H592" s="41" t="str">
        <f>+IF(Waiting_status!$G592&lt;= 40,"Bajo",IF(Waiting_status!$G592 &gt;70,"High","Mid"))</f>
        <v>High</v>
      </c>
    </row>
    <row r="593" spans="1:8" x14ac:dyDescent="0.25">
      <c r="A593" s="31">
        <v>31</v>
      </c>
      <c r="B593" s="32" t="str">
        <f t="shared" si="9"/>
        <v>mid</v>
      </c>
      <c r="F593" s="29" t="s">
        <v>61</v>
      </c>
      <c r="G593" s="42">
        <v>90.1</v>
      </c>
      <c r="H593" s="41" t="str">
        <f>+IF(Waiting_status!$G593&lt;= 40,"Bajo",IF(Waiting_status!$G593 &gt;70,"High","Mid"))</f>
        <v>High</v>
      </c>
    </row>
    <row r="594" spans="1:8" x14ac:dyDescent="0.25">
      <c r="A594" s="38">
        <v>23</v>
      </c>
      <c r="B594" s="32" t="str">
        <f t="shared" si="9"/>
        <v>mid</v>
      </c>
      <c r="F594" s="28" t="s">
        <v>41</v>
      </c>
      <c r="G594" s="40">
        <v>89.2</v>
      </c>
      <c r="H594" s="41" t="str">
        <f>+IF(Waiting_status!$G594&lt;= 40,"Bajo",IF(Waiting_status!$G594 &gt;70,"High","Mid"))</f>
        <v>High</v>
      </c>
    </row>
    <row r="595" spans="1:8" x14ac:dyDescent="0.25">
      <c r="A595" s="31">
        <v>50</v>
      </c>
      <c r="B595" s="32" t="str">
        <f t="shared" si="9"/>
        <v>High</v>
      </c>
      <c r="F595" s="29" t="s">
        <v>95</v>
      </c>
      <c r="G595" s="42">
        <v>72.900000000000006</v>
      </c>
      <c r="H595" s="41" t="str">
        <f>+IF(Waiting_status!$G595&lt;= 40,"Bajo",IF(Waiting_status!$G595 &gt;70,"High","Mid"))</f>
        <v>High</v>
      </c>
    </row>
    <row r="596" spans="1:8" x14ac:dyDescent="0.25">
      <c r="A596" s="38">
        <v>14</v>
      </c>
      <c r="B596" s="32" t="str">
        <f t="shared" si="9"/>
        <v>Low</v>
      </c>
      <c r="F596" s="28" t="s">
        <v>22</v>
      </c>
      <c r="G596" s="40">
        <v>81.3</v>
      </c>
      <c r="H596" s="41" t="str">
        <f>+IF(Waiting_status!$G596&lt;= 40,"Bajo",IF(Waiting_status!$G596 &gt;70,"High","Mid"))</f>
        <v>High</v>
      </c>
    </row>
    <row r="597" spans="1:8" x14ac:dyDescent="0.25">
      <c r="A597" s="31">
        <v>21</v>
      </c>
      <c r="B597" s="32" t="str">
        <f t="shared" si="9"/>
        <v>mid</v>
      </c>
      <c r="F597" s="29" t="s">
        <v>95</v>
      </c>
      <c r="G597" s="42">
        <v>92</v>
      </c>
      <c r="H597" s="41" t="str">
        <f>+IF(Waiting_status!$G597&lt;= 40,"Bajo",IF(Waiting_status!$G597 &gt;70,"High","Mid"))</f>
        <v>High</v>
      </c>
    </row>
    <row r="598" spans="1:8" x14ac:dyDescent="0.25">
      <c r="A598" s="38">
        <v>33</v>
      </c>
      <c r="B598" s="32" t="str">
        <f t="shared" si="9"/>
        <v>mid</v>
      </c>
      <c r="F598" s="28" t="s">
        <v>64</v>
      </c>
      <c r="G598" s="40">
        <v>86.4</v>
      </c>
      <c r="H598" s="41" t="str">
        <f>+IF(Waiting_status!$G598&lt;= 40,"Bajo",IF(Waiting_status!$G598 &gt;70,"High","Mid"))</f>
        <v>High</v>
      </c>
    </row>
    <row r="599" spans="1:8" x14ac:dyDescent="0.25">
      <c r="A599" s="31">
        <v>22</v>
      </c>
      <c r="B599" s="32" t="str">
        <f t="shared" si="9"/>
        <v>mid</v>
      </c>
      <c r="F599" s="29" t="s">
        <v>28</v>
      </c>
      <c r="G599" s="42">
        <v>64.400000000000006</v>
      </c>
      <c r="H599" s="41" t="str">
        <f>+IF(Waiting_status!$G599&lt;= 40,"Bajo",IF(Waiting_status!$G599 &gt;70,"High","Mid"))</f>
        <v>Mid</v>
      </c>
    </row>
    <row r="600" spans="1:8" x14ac:dyDescent="0.25">
      <c r="A600" s="38">
        <v>19</v>
      </c>
      <c r="B600" s="32" t="str">
        <f t="shared" si="9"/>
        <v>Low</v>
      </c>
      <c r="F600" s="28" t="s">
        <v>28</v>
      </c>
      <c r="G600" s="40">
        <v>95</v>
      </c>
      <c r="H600" s="41" t="str">
        <f>+IF(Waiting_status!$G600&lt;= 40,"Bajo",IF(Waiting_status!$G600 &gt;70,"High","Mid"))</f>
        <v>High</v>
      </c>
    </row>
    <row r="601" spans="1:8" x14ac:dyDescent="0.25">
      <c r="A601" s="31">
        <v>23</v>
      </c>
      <c r="B601" s="32" t="str">
        <f t="shared" si="9"/>
        <v>mid</v>
      </c>
      <c r="F601" s="29" t="s">
        <v>16</v>
      </c>
      <c r="G601" s="42">
        <v>85.7</v>
      </c>
      <c r="H601" s="41" t="str">
        <f>+IF(Waiting_status!$G601&lt;= 40,"Bajo",IF(Waiting_status!$G601 &gt;70,"High","Mid"))</f>
        <v>High</v>
      </c>
    </row>
    <row r="602" spans="1:8" x14ac:dyDescent="0.25">
      <c r="A602" s="38">
        <v>30</v>
      </c>
      <c r="B602" s="32" t="str">
        <f t="shared" si="9"/>
        <v>mid</v>
      </c>
      <c r="F602" s="28" t="s">
        <v>22</v>
      </c>
      <c r="G602" s="40">
        <v>76.7</v>
      </c>
      <c r="H602" s="41" t="str">
        <f>+IF(Waiting_status!$G602&lt;= 40,"Bajo",IF(Waiting_status!$G602 &gt;70,"High","Mid"))</f>
        <v>High</v>
      </c>
    </row>
    <row r="603" spans="1:8" x14ac:dyDescent="0.25">
      <c r="A603" s="31">
        <v>51</v>
      </c>
      <c r="B603" s="32" t="str">
        <f t="shared" si="9"/>
        <v>High</v>
      </c>
      <c r="F603" s="29" t="s">
        <v>48</v>
      </c>
      <c r="G603" s="42">
        <v>94.1</v>
      </c>
      <c r="H603" s="41" t="str">
        <f>+IF(Waiting_status!$G603&lt;= 40,"Bajo",IF(Waiting_status!$G603 &gt;70,"High","Mid"))</f>
        <v>High</v>
      </c>
    </row>
    <row r="604" spans="1:8" x14ac:dyDescent="0.25">
      <c r="A604" s="38">
        <v>47</v>
      </c>
      <c r="B604" s="32" t="str">
        <f t="shared" si="9"/>
        <v>High</v>
      </c>
      <c r="F604" s="28" t="s">
        <v>22</v>
      </c>
      <c r="G604" s="40">
        <v>70.400000000000006</v>
      </c>
      <c r="H604" s="41" t="str">
        <f>+IF(Waiting_status!$G604&lt;= 40,"Bajo",IF(Waiting_status!$G604 &gt;70,"High","Mid"))</f>
        <v>High</v>
      </c>
    </row>
    <row r="605" spans="1:8" x14ac:dyDescent="0.25">
      <c r="A605" s="31">
        <v>50</v>
      </c>
      <c r="B605" s="32" t="str">
        <f t="shared" si="9"/>
        <v>High</v>
      </c>
      <c r="F605" s="29" t="s">
        <v>41</v>
      </c>
      <c r="G605" s="42">
        <v>73.400000000000006</v>
      </c>
      <c r="H605" s="41" t="str">
        <f>+IF(Waiting_status!$G605&lt;= 40,"Bajo",IF(Waiting_status!$G605 &gt;70,"High","Mid"))</f>
        <v>High</v>
      </c>
    </row>
    <row r="606" spans="1:8" x14ac:dyDescent="0.25">
      <c r="A606" s="38">
        <v>23</v>
      </c>
      <c r="B606" s="32" t="str">
        <f t="shared" si="9"/>
        <v>mid</v>
      </c>
      <c r="F606" s="28" t="s">
        <v>28</v>
      </c>
      <c r="G606" s="40">
        <v>60.2</v>
      </c>
      <c r="H606" s="41" t="str">
        <f>+IF(Waiting_status!$G606&lt;= 40,"Bajo",IF(Waiting_status!$G606 &gt;70,"High","Mid"))</f>
        <v>Mid</v>
      </c>
    </row>
    <row r="607" spans="1:8" x14ac:dyDescent="0.25">
      <c r="A607" s="31">
        <v>15</v>
      </c>
      <c r="B607" s="32" t="str">
        <f t="shared" si="9"/>
        <v>Low</v>
      </c>
      <c r="F607" s="29" t="s">
        <v>64</v>
      </c>
      <c r="G607" s="42">
        <v>69.099999999999994</v>
      </c>
      <c r="H607" s="41" t="str">
        <f>+IF(Waiting_status!$G607&lt;= 40,"Bajo",IF(Waiting_status!$G607 &gt;70,"High","Mid"))</f>
        <v>Mid</v>
      </c>
    </row>
    <row r="608" spans="1:8" x14ac:dyDescent="0.25">
      <c r="A608" s="38">
        <v>37</v>
      </c>
      <c r="B608" s="32" t="str">
        <f t="shared" si="9"/>
        <v>mid</v>
      </c>
      <c r="F608" s="28" t="s">
        <v>61</v>
      </c>
      <c r="G608" s="40">
        <v>65</v>
      </c>
      <c r="H608" s="41" t="str">
        <f>+IF(Waiting_status!$G608&lt;= 40,"Bajo",IF(Waiting_status!$G608 &gt;70,"High","Mid"))</f>
        <v>Mid</v>
      </c>
    </row>
    <row r="609" spans="1:8" x14ac:dyDescent="0.25">
      <c r="A609" s="31">
        <v>36</v>
      </c>
      <c r="B609" s="32" t="str">
        <f t="shared" si="9"/>
        <v>mid</v>
      </c>
      <c r="F609" s="29" t="s">
        <v>22</v>
      </c>
      <c r="G609" s="42">
        <v>68</v>
      </c>
      <c r="H609" s="41" t="str">
        <f>+IF(Waiting_status!$G609&lt;= 40,"Bajo",IF(Waiting_status!$G609 &gt;70,"High","Mid"))</f>
        <v>Mid</v>
      </c>
    </row>
    <row r="610" spans="1:8" x14ac:dyDescent="0.25">
      <c r="A610" s="38">
        <v>37</v>
      </c>
      <c r="B610" s="32" t="str">
        <f t="shared" si="9"/>
        <v>mid</v>
      </c>
      <c r="F610" s="28" t="s">
        <v>16</v>
      </c>
      <c r="G610" s="40">
        <v>81.400000000000006</v>
      </c>
      <c r="H610" s="41" t="str">
        <f>+IF(Waiting_status!$G610&lt;= 40,"Bajo",IF(Waiting_status!$G610 &gt;70,"High","Mid"))</f>
        <v>High</v>
      </c>
    </row>
    <row r="611" spans="1:8" x14ac:dyDescent="0.25">
      <c r="A611" s="31">
        <v>29</v>
      </c>
      <c r="B611" s="32" t="str">
        <f t="shared" si="9"/>
        <v>mid</v>
      </c>
      <c r="F611" s="29" t="s">
        <v>41</v>
      </c>
      <c r="G611" s="42">
        <v>90.1</v>
      </c>
      <c r="H611" s="41" t="str">
        <f>+IF(Waiting_status!$G611&lt;= 40,"Bajo",IF(Waiting_status!$G611 &gt;70,"High","Mid"))</f>
        <v>High</v>
      </c>
    </row>
    <row r="612" spans="1:8" x14ac:dyDescent="0.25">
      <c r="A612" s="38">
        <v>59</v>
      </c>
      <c r="B612" s="32" t="str">
        <f t="shared" si="9"/>
        <v>High</v>
      </c>
      <c r="F612" s="28" t="s">
        <v>95</v>
      </c>
      <c r="G612" s="40">
        <v>81.3</v>
      </c>
      <c r="H612" s="41" t="str">
        <f>+IF(Waiting_status!$G612&lt;= 40,"Bajo",IF(Waiting_status!$G612 &gt;70,"High","Mid"))</f>
        <v>High</v>
      </c>
    </row>
    <row r="613" spans="1:8" x14ac:dyDescent="0.25">
      <c r="A613" s="31">
        <v>30</v>
      </c>
      <c r="B613" s="32" t="str">
        <f t="shared" si="9"/>
        <v>mid</v>
      </c>
      <c r="F613" s="29" t="s">
        <v>56</v>
      </c>
      <c r="G613" s="42">
        <v>81.599999999999994</v>
      </c>
      <c r="H613" s="41" t="str">
        <f>+IF(Waiting_status!$G613&lt;= 40,"Bajo",IF(Waiting_status!$G613 &gt;70,"High","Mid"))</f>
        <v>High</v>
      </c>
    </row>
    <row r="614" spans="1:8" x14ac:dyDescent="0.25">
      <c r="A614" s="38">
        <v>41</v>
      </c>
      <c r="B614" s="32" t="str">
        <f t="shared" si="9"/>
        <v>High</v>
      </c>
      <c r="F614" s="28" t="s">
        <v>95</v>
      </c>
      <c r="G614" s="40">
        <v>93.6</v>
      </c>
      <c r="H614" s="41" t="str">
        <f>+IF(Waiting_status!$G614&lt;= 40,"Bajo",IF(Waiting_status!$G614 &gt;70,"High","Mid"))</f>
        <v>High</v>
      </c>
    </row>
    <row r="615" spans="1:8" x14ac:dyDescent="0.25">
      <c r="A615" s="31">
        <v>55</v>
      </c>
      <c r="B615" s="32" t="str">
        <f t="shared" si="9"/>
        <v>High</v>
      </c>
      <c r="F615" s="29" t="s">
        <v>48</v>
      </c>
      <c r="G615" s="42">
        <v>78</v>
      </c>
      <c r="H615" s="41" t="str">
        <f>+IF(Waiting_status!$G615&lt;= 40,"Bajo",IF(Waiting_status!$G615 &gt;70,"High","Mid"))</f>
        <v>High</v>
      </c>
    </row>
    <row r="616" spans="1:8" x14ac:dyDescent="0.25">
      <c r="A616" s="38">
        <v>41</v>
      </c>
      <c r="B616" s="32" t="str">
        <f t="shared" si="9"/>
        <v>High</v>
      </c>
      <c r="F616" s="28" t="s">
        <v>41</v>
      </c>
      <c r="G616" s="40">
        <v>94.5</v>
      </c>
      <c r="H616" s="41" t="str">
        <f>+IF(Waiting_status!$G616&lt;= 40,"Bajo",IF(Waiting_status!$G616 &gt;70,"High","Mid"))</f>
        <v>High</v>
      </c>
    </row>
    <row r="617" spans="1:8" x14ac:dyDescent="0.25">
      <c r="A617" s="31">
        <v>43</v>
      </c>
      <c r="B617" s="32" t="str">
        <f t="shared" si="9"/>
        <v>High</v>
      </c>
      <c r="F617" s="29" t="s">
        <v>95</v>
      </c>
      <c r="G617" s="42">
        <v>76.400000000000006</v>
      </c>
      <c r="H617" s="41" t="str">
        <f>+IF(Waiting_status!$G617&lt;= 40,"Bajo",IF(Waiting_status!$G617 &gt;70,"High","Mid"))</f>
        <v>High</v>
      </c>
    </row>
    <row r="618" spans="1:8" x14ac:dyDescent="0.25">
      <c r="A618" s="38">
        <v>58</v>
      </c>
      <c r="B618" s="32" t="str">
        <f t="shared" si="9"/>
        <v>High</v>
      </c>
      <c r="F618" s="28" t="s">
        <v>64</v>
      </c>
      <c r="G618" s="40">
        <v>72.3</v>
      </c>
      <c r="H618" s="41" t="str">
        <f>+IF(Waiting_status!$G618&lt;= 40,"Bajo",IF(Waiting_status!$G618 &gt;70,"High","Mid"))</f>
        <v>High</v>
      </c>
    </row>
    <row r="619" spans="1:8" x14ac:dyDescent="0.25">
      <c r="A619" s="31">
        <v>35</v>
      </c>
      <c r="B619" s="32" t="str">
        <f t="shared" si="9"/>
        <v>mid</v>
      </c>
      <c r="F619" s="29" t="s">
        <v>61</v>
      </c>
      <c r="G619" s="42">
        <v>66.8</v>
      </c>
      <c r="H619" s="41" t="str">
        <f>+IF(Waiting_status!$G619&lt;= 40,"Bajo",IF(Waiting_status!$G619 &gt;70,"High","Mid"))</f>
        <v>Mid</v>
      </c>
    </row>
    <row r="620" spans="1:8" x14ac:dyDescent="0.25">
      <c r="A620" s="38">
        <v>45</v>
      </c>
      <c r="B620" s="32" t="str">
        <f t="shared" si="9"/>
        <v>High</v>
      </c>
      <c r="F620" s="28" t="s">
        <v>48</v>
      </c>
      <c r="G620" s="40">
        <v>81.7</v>
      </c>
      <c r="H620" s="41" t="str">
        <f>+IF(Waiting_status!$G620&lt;= 40,"Bajo",IF(Waiting_status!$G620 &gt;70,"High","Mid"))</f>
        <v>High</v>
      </c>
    </row>
    <row r="621" spans="1:8" x14ac:dyDescent="0.25">
      <c r="A621" s="31">
        <v>47</v>
      </c>
      <c r="B621" s="32" t="str">
        <f t="shared" si="9"/>
        <v>High</v>
      </c>
      <c r="F621" s="29" t="s">
        <v>48</v>
      </c>
      <c r="G621" s="42">
        <v>60.4</v>
      </c>
      <c r="H621" s="41" t="str">
        <f>+IF(Waiting_status!$G621&lt;= 40,"Bajo",IF(Waiting_status!$G621 &gt;70,"High","Mid"))</f>
        <v>Mid</v>
      </c>
    </row>
    <row r="622" spans="1:8" x14ac:dyDescent="0.25">
      <c r="A622" s="38">
        <v>23</v>
      </c>
      <c r="B622" s="32" t="str">
        <f t="shared" si="9"/>
        <v>mid</v>
      </c>
      <c r="F622" s="28" t="s">
        <v>48</v>
      </c>
      <c r="G622" s="40">
        <v>79.3</v>
      </c>
      <c r="H622" s="41" t="str">
        <f>+IF(Waiting_status!$G622&lt;= 40,"Bajo",IF(Waiting_status!$G622 &gt;70,"High","Mid"))</f>
        <v>High</v>
      </c>
    </row>
    <row r="623" spans="1:8" x14ac:dyDescent="0.25">
      <c r="A623" s="31">
        <v>32</v>
      </c>
      <c r="B623" s="32" t="str">
        <f t="shared" si="9"/>
        <v>mid</v>
      </c>
      <c r="F623" s="29" t="s">
        <v>28</v>
      </c>
      <c r="G623" s="42">
        <v>93.5</v>
      </c>
      <c r="H623" s="41" t="str">
        <f>+IF(Waiting_status!$G623&lt;= 40,"Bajo",IF(Waiting_status!$G623 &gt;70,"High","Mid"))</f>
        <v>High</v>
      </c>
    </row>
    <row r="624" spans="1:8" x14ac:dyDescent="0.25">
      <c r="A624" s="38">
        <v>15</v>
      </c>
      <c r="B624" s="32" t="str">
        <f t="shared" si="9"/>
        <v>Low</v>
      </c>
      <c r="F624" s="28" t="s">
        <v>41</v>
      </c>
      <c r="G624" s="40">
        <v>71.900000000000006</v>
      </c>
      <c r="H624" s="41" t="str">
        <f>+IF(Waiting_status!$G624&lt;= 40,"Bajo",IF(Waiting_status!$G624 &gt;70,"High","Mid"))</f>
        <v>High</v>
      </c>
    </row>
    <row r="625" spans="1:8" x14ac:dyDescent="0.25">
      <c r="A625" s="31">
        <v>49</v>
      </c>
      <c r="B625" s="32" t="str">
        <f t="shared" si="9"/>
        <v>High</v>
      </c>
      <c r="F625" s="29" t="s">
        <v>61</v>
      </c>
      <c r="G625" s="42">
        <v>88.4</v>
      </c>
      <c r="H625" s="41" t="str">
        <f>+IF(Waiting_status!$G625&lt;= 40,"Bajo",IF(Waiting_status!$G625 &gt;70,"High","Mid"))</f>
        <v>High</v>
      </c>
    </row>
    <row r="626" spans="1:8" x14ac:dyDescent="0.25">
      <c r="A626" s="38">
        <v>36</v>
      </c>
      <c r="B626" s="32" t="str">
        <f t="shared" si="9"/>
        <v>mid</v>
      </c>
      <c r="F626" s="28" t="s">
        <v>56</v>
      </c>
      <c r="G626" s="40">
        <v>94.7</v>
      </c>
      <c r="H626" s="41" t="str">
        <f>+IF(Waiting_status!$G626&lt;= 40,"Bajo",IF(Waiting_status!$G626 &gt;70,"High","Mid"))</f>
        <v>High</v>
      </c>
    </row>
    <row r="627" spans="1:8" x14ac:dyDescent="0.25">
      <c r="A627" s="31">
        <v>21</v>
      </c>
      <c r="B627" s="32" t="str">
        <f t="shared" si="9"/>
        <v>mid</v>
      </c>
      <c r="F627" s="29" t="s">
        <v>56</v>
      </c>
      <c r="G627" s="42">
        <v>72.400000000000006</v>
      </c>
      <c r="H627" s="41" t="str">
        <f>+IF(Waiting_status!$G627&lt;= 40,"Bajo",IF(Waiting_status!$G627 &gt;70,"High","Mid"))</f>
        <v>High</v>
      </c>
    </row>
    <row r="628" spans="1:8" x14ac:dyDescent="0.25">
      <c r="A628" s="38">
        <v>55</v>
      </c>
      <c r="B628" s="32" t="str">
        <f t="shared" si="9"/>
        <v>High</v>
      </c>
      <c r="F628" s="28" t="s">
        <v>56</v>
      </c>
      <c r="G628" s="40">
        <v>87.2</v>
      </c>
      <c r="H628" s="41" t="str">
        <f>+IF(Waiting_status!$G628&lt;= 40,"Bajo",IF(Waiting_status!$G628 &gt;70,"High","Mid"))</f>
        <v>High</v>
      </c>
    </row>
    <row r="629" spans="1:8" x14ac:dyDescent="0.25">
      <c r="A629" s="31">
        <v>45</v>
      </c>
      <c r="B629" s="32" t="str">
        <f t="shared" si="9"/>
        <v>High</v>
      </c>
      <c r="F629" s="29" t="s">
        <v>28</v>
      </c>
      <c r="G629" s="42">
        <v>80.900000000000006</v>
      </c>
      <c r="H629" s="41" t="str">
        <f>+IF(Waiting_status!$G629&lt;= 40,"Bajo",IF(Waiting_status!$G629 &gt;70,"High","Mid"))</f>
        <v>High</v>
      </c>
    </row>
    <row r="630" spans="1:8" x14ac:dyDescent="0.25">
      <c r="A630" s="38">
        <v>29</v>
      </c>
      <c r="B630" s="32" t="str">
        <f t="shared" si="9"/>
        <v>mid</v>
      </c>
      <c r="F630" s="28" t="s">
        <v>28</v>
      </c>
      <c r="G630" s="40">
        <v>90.7</v>
      </c>
      <c r="H630" s="41" t="str">
        <f>+IF(Waiting_status!$G630&lt;= 40,"Bajo",IF(Waiting_status!$G630 &gt;70,"High","Mid"))</f>
        <v>High</v>
      </c>
    </row>
    <row r="631" spans="1:8" x14ac:dyDescent="0.25">
      <c r="A631" s="31">
        <v>57</v>
      </c>
      <c r="B631" s="32" t="str">
        <f t="shared" si="9"/>
        <v>High</v>
      </c>
      <c r="F631" s="29" t="s">
        <v>28</v>
      </c>
      <c r="G631" s="42">
        <v>62.3</v>
      </c>
      <c r="H631" s="41" t="str">
        <f>+IF(Waiting_status!$G631&lt;= 40,"Bajo",IF(Waiting_status!$G631 &gt;70,"High","Mid"))</f>
        <v>Mid</v>
      </c>
    </row>
    <row r="632" spans="1:8" x14ac:dyDescent="0.25">
      <c r="A632" s="38">
        <v>25</v>
      </c>
      <c r="B632" s="32" t="str">
        <f t="shared" si="9"/>
        <v>mid</v>
      </c>
      <c r="F632" s="28" t="s">
        <v>16</v>
      </c>
      <c r="G632" s="40">
        <v>82.2</v>
      </c>
      <c r="H632" s="41" t="str">
        <f>+IF(Waiting_status!$G632&lt;= 40,"Bajo",IF(Waiting_status!$G632 &gt;70,"High","Mid"))</f>
        <v>High</v>
      </c>
    </row>
    <row r="633" spans="1:8" x14ac:dyDescent="0.25">
      <c r="A633" s="31">
        <v>10</v>
      </c>
      <c r="B633" s="32" t="str">
        <f t="shared" si="9"/>
        <v>Low</v>
      </c>
      <c r="F633" s="29" t="s">
        <v>56</v>
      </c>
      <c r="G633" s="42">
        <v>89.4</v>
      </c>
      <c r="H633" s="41" t="str">
        <f>+IF(Waiting_status!$G633&lt;= 40,"Bajo",IF(Waiting_status!$G633 &gt;70,"High","Mid"))</f>
        <v>High</v>
      </c>
    </row>
    <row r="634" spans="1:8" x14ac:dyDescent="0.25">
      <c r="A634" s="38">
        <v>34</v>
      </c>
      <c r="B634" s="32" t="str">
        <f t="shared" si="9"/>
        <v>mid</v>
      </c>
      <c r="F634" s="28" t="s">
        <v>95</v>
      </c>
      <c r="G634" s="40">
        <v>84.6</v>
      </c>
      <c r="H634" s="41" t="str">
        <f>+IF(Waiting_status!$G634&lt;= 40,"Bajo",IF(Waiting_status!$G634 &gt;70,"High","Mid"))</f>
        <v>High</v>
      </c>
    </row>
    <row r="635" spans="1:8" x14ac:dyDescent="0.25">
      <c r="A635" s="31">
        <v>60</v>
      </c>
      <c r="B635" s="32" t="str">
        <f t="shared" si="9"/>
        <v>High</v>
      </c>
      <c r="F635" s="29" t="s">
        <v>28</v>
      </c>
      <c r="G635" s="42">
        <v>69.900000000000006</v>
      </c>
      <c r="H635" s="41" t="str">
        <f>+IF(Waiting_status!$G635&lt;= 40,"Bajo",IF(Waiting_status!$G635 &gt;70,"High","Mid"))</f>
        <v>Mid</v>
      </c>
    </row>
    <row r="636" spans="1:8" x14ac:dyDescent="0.25">
      <c r="A636" s="38">
        <v>14</v>
      </c>
      <c r="B636" s="32" t="str">
        <f t="shared" si="9"/>
        <v>Low</v>
      </c>
      <c r="F636" s="28" t="s">
        <v>41</v>
      </c>
      <c r="G636" s="40">
        <v>67.3</v>
      </c>
      <c r="H636" s="41" t="str">
        <f>+IF(Waiting_status!$G636&lt;= 40,"Bajo",IF(Waiting_status!$G636 &gt;70,"High","Mid"))</f>
        <v>Mid</v>
      </c>
    </row>
    <row r="637" spans="1:8" x14ac:dyDescent="0.25">
      <c r="A637" s="31">
        <v>59</v>
      </c>
      <c r="B637" s="32" t="str">
        <f t="shared" si="9"/>
        <v>High</v>
      </c>
      <c r="F637" s="29" t="s">
        <v>95</v>
      </c>
      <c r="G637" s="42">
        <v>76.8</v>
      </c>
      <c r="H637" s="41" t="str">
        <f>+IF(Waiting_status!$G637&lt;= 40,"Bajo",IF(Waiting_status!$G637 &gt;70,"High","Mid"))</f>
        <v>High</v>
      </c>
    </row>
    <row r="638" spans="1:8" x14ac:dyDescent="0.25">
      <c r="A638" s="38">
        <v>22</v>
      </c>
      <c r="B638" s="32" t="str">
        <f t="shared" si="9"/>
        <v>mid</v>
      </c>
      <c r="F638" s="28" t="s">
        <v>95</v>
      </c>
      <c r="G638" s="40">
        <v>80.2</v>
      </c>
      <c r="H638" s="41" t="str">
        <f>+IF(Waiting_status!$G638&lt;= 40,"Bajo",IF(Waiting_status!$G638 &gt;70,"High","Mid"))</f>
        <v>High</v>
      </c>
    </row>
    <row r="639" spans="1:8" x14ac:dyDescent="0.25">
      <c r="A639" s="31">
        <v>44</v>
      </c>
      <c r="B639" s="32" t="str">
        <f t="shared" si="9"/>
        <v>High</v>
      </c>
      <c r="F639" s="29" t="s">
        <v>48</v>
      </c>
      <c r="G639" s="42">
        <v>62.2</v>
      </c>
      <c r="H639" s="41" t="str">
        <f>+IF(Waiting_status!$G639&lt;= 40,"Bajo",IF(Waiting_status!$G639 &gt;70,"High","Mid"))</f>
        <v>Mid</v>
      </c>
    </row>
    <row r="640" spans="1:8" x14ac:dyDescent="0.25">
      <c r="A640" s="38">
        <v>10</v>
      </c>
      <c r="B640" s="32" t="str">
        <f t="shared" si="9"/>
        <v>Low</v>
      </c>
      <c r="F640" s="28" t="s">
        <v>61</v>
      </c>
      <c r="G640" s="40">
        <v>93</v>
      </c>
      <c r="H640" s="41" t="str">
        <f>+IF(Waiting_status!$G640&lt;= 40,"Bajo",IF(Waiting_status!$G640 &gt;70,"High","Mid"))</f>
        <v>High</v>
      </c>
    </row>
    <row r="641" spans="1:8" x14ac:dyDescent="0.25">
      <c r="A641" s="31">
        <v>56</v>
      </c>
      <c r="B641" s="32" t="str">
        <f t="shared" si="9"/>
        <v>High</v>
      </c>
      <c r="F641" s="29" t="s">
        <v>95</v>
      </c>
      <c r="G641" s="42">
        <v>95.5</v>
      </c>
      <c r="H641" s="41" t="str">
        <f>+IF(Waiting_status!$G641&lt;= 40,"Bajo",IF(Waiting_status!$G641 &gt;70,"High","Mid"))</f>
        <v>High</v>
      </c>
    </row>
    <row r="642" spans="1:8" x14ac:dyDescent="0.25">
      <c r="A642" s="38">
        <v>22</v>
      </c>
      <c r="B642" s="32" t="str">
        <f t="shared" si="9"/>
        <v>mid</v>
      </c>
      <c r="F642" s="28" t="s">
        <v>31</v>
      </c>
      <c r="G642" s="40">
        <v>88.2</v>
      </c>
      <c r="H642" s="41" t="str">
        <f>+IF(Waiting_status!$G642&lt;= 40,"Bajo",IF(Waiting_status!$G642 &gt;70,"High","Mid"))</f>
        <v>High</v>
      </c>
    </row>
    <row r="643" spans="1:8" x14ac:dyDescent="0.25">
      <c r="A643" s="31">
        <v>57</v>
      </c>
      <c r="B643" s="32" t="str">
        <f t="shared" ref="B643:B706" si="10">+IF(A643&lt;= 20,"Low",IF(A643 &gt; 40,"High","mid"))</f>
        <v>High</v>
      </c>
      <c r="F643" s="29" t="s">
        <v>61</v>
      </c>
      <c r="G643" s="42">
        <v>71.2</v>
      </c>
      <c r="H643" s="41" t="str">
        <f>+IF(Waiting_status!$G643&lt;= 40,"Bajo",IF(Waiting_status!$G643 &gt;70,"High","Mid"))</f>
        <v>High</v>
      </c>
    </row>
    <row r="644" spans="1:8" x14ac:dyDescent="0.25">
      <c r="A644" s="38">
        <v>45</v>
      </c>
      <c r="B644" s="32" t="str">
        <f t="shared" si="10"/>
        <v>High</v>
      </c>
      <c r="F644" s="28" t="s">
        <v>61</v>
      </c>
      <c r="G644" s="40">
        <v>87.4</v>
      </c>
      <c r="H644" s="41" t="str">
        <f>+IF(Waiting_status!$G644&lt;= 40,"Bajo",IF(Waiting_status!$G644 &gt;70,"High","Mid"))</f>
        <v>High</v>
      </c>
    </row>
    <row r="645" spans="1:8" x14ac:dyDescent="0.25">
      <c r="A645" s="31">
        <v>36</v>
      </c>
      <c r="B645" s="32" t="str">
        <f t="shared" si="10"/>
        <v>mid</v>
      </c>
      <c r="F645" s="29" t="s">
        <v>41</v>
      </c>
      <c r="G645" s="42">
        <v>85.3</v>
      </c>
      <c r="H645" s="41" t="str">
        <f>+IF(Waiting_status!$G645&lt;= 40,"Bajo",IF(Waiting_status!$G645 &gt;70,"High","Mid"))</f>
        <v>High</v>
      </c>
    </row>
    <row r="646" spans="1:8" x14ac:dyDescent="0.25">
      <c r="A646" s="38">
        <v>35</v>
      </c>
      <c r="B646" s="32" t="str">
        <f t="shared" si="10"/>
        <v>mid</v>
      </c>
      <c r="F646" s="28" t="s">
        <v>28</v>
      </c>
      <c r="G646" s="40">
        <v>92.1</v>
      </c>
      <c r="H646" s="41" t="str">
        <f>+IF(Waiting_status!$G646&lt;= 40,"Bajo",IF(Waiting_status!$G646 &gt;70,"High","Mid"))</f>
        <v>High</v>
      </c>
    </row>
    <row r="647" spans="1:8" x14ac:dyDescent="0.25">
      <c r="A647" s="31">
        <v>15</v>
      </c>
      <c r="B647" s="32" t="str">
        <f t="shared" si="10"/>
        <v>Low</v>
      </c>
      <c r="F647" s="29" t="s">
        <v>41</v>
      </c>
      <c r="G647" s="42">
        <v>81.099999999999994</v>
      </c>
      <c r="H647" s="41" t="str">
        <f>+IF(Waiting_status!$G647&lt;= 40,"Bajo",IF(Waiting_status!$G647 &gt;70,"High","Mid"))</f>
        <v>High</v>
      </c>
    </row>
    <row r="648" spans="1:8" x14ac:dyDescent="0.25">
      <c r="A648" s="38">
        <v>34</v>
      </c>
      <c r="B648" s="32" t="str">
        <f t="shared" si="10"/>
        <v>mid</v>
      </c>
      <c r="F648" s="28" t="s">
        <v>95</v>
      </c>
      <c r="G648" s="40">
        <v>67.8</v>
      </c>
      <c r="H648" s="41" t="str">
        <f>+IF(Waiting_status!$G648&lt;= 40,"Bajo",IF(Waiting_status!$G648 &gt;70,"High","Mid"))</f>
        <v>Mid</v>
      </c>
    </row>
    <row r="649" spans="1:8" x14ac:dyDescent="0.25">
      <c r="A649" s="31">
        <v>30</v>
      </c>
      <c r="B649" s="32" t="str">
        <f t="shared" si="10"/>
        <v>mid</v>
      </c>
      <c r="F649" s="29" t="s">
        <v>95</v>
      </c>
      <c r="G649" s="42">
        <v>65.599999999999994</v>
      </c>
      <c r="H649" s="41" t="str">
        <f>+IF(Waiting_status!$G649&lt;= 40,"Bajo",IF(Waiting_status!$G649 &gt;70,"High","Mid"))</f>
        <v>Mid</v>
      </c>
    </row>
    <row r="650" spans="1:8" x14ac:dyDescent="0.25">
      <c r="A650" s="38">
        <v>56</v>
      </c>
      <c r="B650" s="32" t="str">
        <f t="shared" si="10"/>
        <v>High</v>
      </c>
      <c r="F650" s="28" t="s">
        <v>95</v>
      </c>
      <c r="G650" s="40">
        <v>99.6</v>
      </c>
      <c r="H650" s="41" t="str">
        <f>+IF(Waiting_status!$G650&lt;= 40,"Bajo",IF(Waiting_status!$G650 &gt;70,"High","Mid"))</f>
        <v>High</v>
      </c>
    </row>
    <row r="651" spans="1:8" x14ac:dyDescent="0.25">
      <c r="A651" s="31">
        <v>29</v>
      </c>
      <c r="B651" s="32" t="str">
        <f t="shared" si="10"/>
        <v>mid</v>
      </c>
      <c r="F651" s="29" t="s">
        <v>61</v>
      </c>
      <c r="G651" s="42">
        <v>69.400000000000006</v>
      </c>
      <c r="H651" s="41" t="str">
        <f>+IF(Waiting_status!$G651&lt;= 40,"Bajo",IF(Waiting_status!$G651 &gt;70,"High","Mid"))</f>
        <v>Mid</v>
      </c>
    </row>
    <row r="652" spans="1:8" x14ac:dyDescent="0.25">
      <c r="A652" s="38">
        <v>57</v>
      </c>
      <c r="B652" s="32" t="str">
        <f t="shared" si="10"/>
        <v>High</v>
      </c>
      <c r="F652" s="28" t="s">
        <v>61</v>
      </c>
      <c r="G652" s="40">
        <v>62.1</v>
      </c>
      <c r="H652" s="41" t="str">
        <f>+IF(Waiting_status!$G652&lt;= 40,"Bajo",IF(Waiting_status!$G652 &gt;70,"High","Mid"))</f>
        <v>Mid</v>
      </c>
    </row>
    <row r="653" spans="1:8" x14ac:dyDescent="0.25">
      <c r="A653" s="31">
        <v>11</v>
      </c>
      <c r="B653" s="32" t="str">
        <f t="shared" si="10"/>
        <v>Low</v>
      </c>
      <c r="F653" s="29" t="s">
        <v>64</v>
      </c>
      <c r="G653" s="42">
        <v>84.7</v>
      </c>
      <c r="H653" s="41" t="str">
        <f>+IF(Waiting_status!$G653&lt;= 40,"Bajo",IF(Waiting_status!$G653 &gt;70,"High","Mid"))</f>
        <v>High</v>
      </c>
    </row>
    <row r="654" spans="1:8" x14ac:dyDescent="0.25">
      <c r="A654" s="38">
        <v>25</v>
      </c>
      <c r="B654" s="32" t="str">
        <f t="shared" si="10"/>
        <v>mid</v>
      </c>
      <c r="F654" s="28" t="s">
        <v>64</v>
      </c>
      <c r="G654" s="40">
        <v>99.4</v>
      </c>
      <c r="H654" s="41" t="str">
        <f>+IF(Waiting_status!$G654&lt;= 40,"Bajo",IF(Waiting_status!$G654 &gt;70,"High","Mid"))</f>
        <v>High</v>
      </c>
    </row>
    <row r="655" spans="1:8" x14ac:dyDescent="0.25">
      <c r="A655" s="31">
        <v>31</v>
      </c>
      <c r="B655" s="32" t="str">
        <f t="shared" si="10"/>
        <v>mid</v>
      </c>
      <c r="F655" s="29" t="s">
        <v>61</v>
      </c>
      <c r="G655" s="42">
        <v>73.5</v>
      </c>
      <c r="H655" s="41" t="str">
        <f>+IF(Waiting_status!$G655&lt;= 40,"Bajo",IF(Waiting_status!$G655 &gt;70,"High","Mid"))</f>
        <v>High</v>
      </c>
    </row>
    <row r="656" spans="1:8" x14ac:dyDescent="0.25">
      <c r="A656" s="38">
        <v>29</v>
      </c>
      <c r="B656" s="32" t="str">
        <f t="shared" si="10"/>
        <v>mid</v>
      </c>
      <c r="F656" s="28" t="s">
        <v>41</v>
      </c>
      <c r="G656" s="40">
        <v>72.3</v>
      </c>
      <c r="H656" s="41" t="str">
        <f>+IF(Waiting_status!$G656&lt;= 40,"Bajo",IF(Waiting_status!$G656 &gt;70,"High","Mid"))</f>
        <v>High</v>
      </c>
    </row>
    <row r="657" spans="1:8" x14ac:dyDescent="0.25">
      <c r="A657" s="31">
        <v>54</v>
      </c>
      <c r="B657" s="32" t="str">
        <f t="shared" si="10"/>
        <v>High</v>
      </c>
      <c r="F657" s="29" t="s">
        <v>95</v>
      </c>
      <c r="G657" s="42">
        <v>76.8</v>
      </c>
      <c r="H657" s="41" t="str">
        <f>+IF(Waiting_status!$G657&lt;= 40,"Bajo",IF(Waiting_status!$G657 &gt;70,"High","Mid"))</f>
        <v>High</v>
      </c>
    </row>
    <row r="658" spans="1:8" x14ac:dyDescent="0.25">
      <c r="A658" s="38">
        <v>60</v>
      </c>
      <c r="B658" s="32" t="str">
        <f t="shared" si="10"/>
        <v>High</v>
      </c>
      <c r="F658" s="28" t="s">
        <v>48</v>
      </c>
      <c r="G658" s="40">
        <v>78.5</v>
      </c>
      <c r="H658" s="41" t="str">
        <f>+IF(Waiting_status!$G658&lt;= 40,"Bajo",IF(Waiting_status!$G658 &gt;70,"High","Mid"))</f>
        <v>High</v>
      </c>
    </row>
    <row r="659" spans="1:8" x14ac:dyDescent="0.25">
      <c r="A659" s="31">
        <v>16</v>
      </c>
      <c r="B659" s="32" t="str">
        <f t="shared" si="10"/>
        <v>Low</v>
      </c>
      <c r="F659" s="29" t="s">
        <v>56</v>
      </c>
      <c r="G659" s="42">
        <v>60.3</v>
      </c>
      <c r="H659" s="41" t="str">
        <f>+IF(Waiting_status!$G659&lt;= 40,"Bajo",IF(Waiting_status!$G659 &gt;70,"High","Mid"))</f>
        <v>Mid</v>
      </c>
    </row>
    <row r="660" spans="1:8" x14ac:dyDescent="0.25">
      <c r="A660" s="38">
        <v>50</v>
      </c>
      <c r="B660" s="32" t="str">
        <f t="shared" si="10"/>
        <v>High</v>
      </c>
      <c r="F660" s="28" t="s">
        <v>61</v>
      </c>
      <c r="G660" s="40">
        <v>72.599999999999994</v>
      </c>
      <c r="H660" s="41" t="str">
        <f>+IF(Waiting_status!$G660&lt;= 40,"Bajo",IF(Waiting_status!$G660 &gt;70,"High","Mid"))</f>
        <v>High</v>
      </c>
    </row>
    <row r="661" spans="1:8" x14ac:dyDescent="0.25">
      <c r="A661" s="31">
        <v>33</v>
      </c>
      <c r="B661" s="32" t="str">
        <f t="shared" si="10"/>
        <v>mid</v>
      </c>
      <c r="F661" s="29" t="s">
        <v>56</v>
      </c>
      <c r="G661" s="42">
        <v>73.2</v>
      </c>
      <c r="H661" s="41" t="str">
        <f>+IF(Waiting_status!$G661&lt;= 40,"Bajo",IF(Waiting_status!$G661 &gt;70,"High","Mid"))</f>
        <v>High</v>
      </c>
    </row>
    <row r="662" spans="1:8" x14ac:dyDescent="0.25">
      <c r="A662" s="38">
        <v>14</v>
      </c>
      <c r="B662" s="32" t="str">
        <f t="shared" si="10"/>
        <v>Low</v>
      </c>
      <c r="F662" s="28" t="s">
        <v>31</v>
      </c>
      <c r="G662" s="40">
        <v>70</v>
      </c>
      <c r="H662" s="41" t="str">
        <f>+IF(Waiting_status!$G662&lt;= 40,"Bajo",IF(Waiting_status!$G662 &gt;70,"High","Mid"))</f>
        <v>Mid</v>
      </c>
    </row>
    <row r="663" spans="1:8" x14ac:dyDescent="0.25">
      <c r="A663" s="31">
        <v>36</v>
      </c>
      <c r="B663" s="32" t="str">
        <f t="shared" si="10"/>
        <v>mid</v>
      </c>
      <c r="F663" s="29" t="s">
        <v>22</v>
      </c>
      <c r="G663" s="42">
        <v>80.599999999999994</v>
      </c>
      <c r="H663" s="41" t="str">
        <f>+IF(Waiting_status!$G663&lt;= 40,"Bajo",IF(Waiting_status!$G663 &gt;70,"High","Mid"))</f>
        <v>High</v>
      </c>
    </row>
    <row r="664" spans="1:8" x14ac:dyDescent="0.25">
      <c r="A664" s="38">
        <v>24</v>
      </c>
      <c r="B664" s="32" t="str">
        <f t="shared" si="10"/>
        <v>mid</v>
      </c>
      <c r="F664" s="28" t="s">
        <v>48</v>
      </c>
      <c r="G664" s="40">
        <v>71</v>
      </c>
      <c r="H664" s="41" t="str">
        <f>+IF(Waiting_status!$G664&lt;= 40,"Bajo",IF(Waiting_status!$G664 &gt;70,"High","Mid"))</f>
        <v>High</v>
      </c>
    </row>
    <row r="665" spans="1:8" x14ac:dyDescent="0.25">
      <c r="A665" s="31">
        <v>20</v>
      </c>
      <c r="B665" s="32" t="str">
        <f t="shared" si="10"/>
        <v>Low</v>
      </c>
      <c r="F665" s="29" t="s">
        <v>61</v>
      </c>
      <c r="G665" s="42">
        <v>80.599999999999994</v>
      </c>
      <c r="H665" s="41" t="str">
        <f>+IF(Waiting_status!$G665&lt;= 40,"Bajo",IF(Waiting_status!$G665 &gt;70,"High","Mid"))</f>
        <v>High</v>
      </c>
    </row>
    <row r="666" spans="1:8" x14ac:dyDescent="0.25">
      <c r="A666" s="38">
        <v>51</v>
      </c>
      <c r="B666" s="32" t="str">
        <f t="shared" si="10"/>
        <v>High</v>
      </c>
      <c r="F666" s="28" t="s">
        <v>16</v>
      </c>
      <c r="G666" s="40">
        <v>83.7</v>
      </c>
      <c r="H666" s="41" t="str">
        <f>+IF(Waiting_status!$G666&lt;= 40,"Bajo",IF(Waiting_status!$G666 &gt;70,"High","Mid"))</f>
        <v>High</v>
      </c>
    </row>
    <row r="667" spans="1:8" x14ac:dyDescent="0.25">
      <c r="A667" s="31">
        <v>19</v>
      </c>
      <c r="B667" s="32" t="str">
        <f t="shared" si="10"/>
        <v>Low</v>
      </c>
      <c r="F667" s="29" t="s">
        <v>56</v>
      </c>
      <c r="G667" s="42">
        <v>92.3</v>
      </c>
      <c r="H667" s="41" t="str">
        <f>+IF(Waiting_status!$G667&lt;= 40,"Bajo",IF(Waiting_status!$G667 &gt;70,"High","Mid"))</f>
        <v>High</v>
      </c>
    </row>
    <row r="668" spans="1:8" x14ac:dyDescent="0.25">
      <c r="A668" s="38">
        <v>16</v>
      </c>
      <c r="B668" s="32" t="str">
        <f t="shared" si="10"/>
        <v>Low</v>
      </c>
      <c r="F668" s="28" t="s">
        <v>41</v>
      </c>
      <c r="G668" s="40">
        <v>78.8</v>
      </c>
      <c r="H668" s="41" t="str">
        <f>+IF(Waiting_status!$G668&lt;= 40,"Bajo",IF(Waiting_status!$G668 &gt;70,"High","Mid"))</f>
        <v>High</v>
      </c>
    </row>
    <row r="669" spans="1:8" x14ac:dyDescent="0.25">
      <c r="A669" s="31">
        <v>55</v>
      </c>
      <c r="B669" s="32" t="str">
        <f t="shared" si="10"/>
        <v>High</v>
      </c>
      <c r="F669" s="29" t="s">
        <v>48</v>
      </c>
      <c r="G669" s="42">
        <v>63.7</v>
      </c>
      <c r="H669" s="41" t="str">
        <f>+IF(Waiting_status!$G669&lt;= 40,"Bajo",IF(Waiting_status!$G669 &gt;70,"High","Mid"))</f>
        <v>Mid</v>
      </c>
    </row>
    <row r="670" spans="1:8" x14ac:dyDescent="0.25">
      <c r="A670" s="38">
        <v>41</v>
      </c>
      <c r="B670" s="32" t="str">
        <f t="shared" si="10"/>
        <v>High</v>
      </c>
      <c r="F670" s="28" t="s">
        <v>95</v>
      </c>
      <c r="G670" s="40">
        <v>61.8</v>
      </c>
      <c r="H670" s="41" t="str">
        <f>+IF(Waiting_status!$G670&lt;= 40,"Bajo",IF(Waiting_status!$G670 &gt;70,"High","Mid"))</f>
        <v>Mid</v>
      </c>
    </row>
    <row r="671" spans="1:8" x14ac:dyDescent="0.25">
      <c r="A671" s="31">
        <v>39</v>
      </c>
      <c r="B671" s="32" t="str">
        <f t="shared" si="10"/>
        <v>mid</v>
      </c>
      <c r="F671" s="29" t="s">
        <v>56</v>
      </c>
      <c r="G671" s="42">
        <v>60</v>
      </c>
      <c r="H671" s="41" t="str">
        <f>+IF(Waiting_status!$G671&lt;= 40,"Bajo",IF(Waiting_status!$G671 &gt;70,"High","Mid"))</f>
        <v>Mid</v>
      </c>
    </row>
    <row r="672" spans="1:8" x14ac:dyDescent="0.25">
      <c r="A672" s="38">
        <v>52</v>
      </c>
      <c r="B672" s="32" t="str">
        <f t="shared" si="10"/>
        <v>High</v>
      </c>
      <c r="F672" s="28" t="s">
        <v>28</v>
      </c>
      <c r="G672" s="40">
        <v>83.6</v>
      </c>
      <c r="H672" s="41" t="str">
        <f>+IF(Waiting_status!$G672&lt;= 40,"Bajo",IF(Waiting_status!$G672 &gt;70,"High","Mid"))</f>
        <v>High</v>
      </c>
    </row>
    <row r="673" spans="1:8" x14ac:dyDescent="0.25">
      <c r="A673" s="31">
        <v>12</v>
      </c>
      <c r="B673" s="32" t="str">
        <f t="shared" si="10"/>
        <v>Low</v>
      </c>
      <c r="F673" s="29" t="s">
        <v>31</v>
      </c>
      <c r="G673" s="42">
        <v>86.9</v>
      </c>
      <c r="H673" s="41" t="str">
        <f>+IF(Waiting_status!$G673&lt;= 40,"Bajo",IF(Waiting_status!$G673 &gt;70,"High","Mid"))</f>
        <v>High</v>
      </c>
    </row>
    <row r="674" spans="1:8" x14ac:dyDescent="0.25">
      <c r="A674" s="38">
        <v>54</v>
      </c>
      <c r="B674" s="32" t="str">
        <f t="shared" si="10"/>
        <v>High</v>
      </c>
      <c r="F674" s="28" t="s">
        <v>41</v>
      </c>
      <c r="G674" s="40">
        <v>71.400000000000006</v>
      </c>
      <c r="H674" s="41" t="str">
        <f>+IF(Waiting_status!$G674&lt;= 40,"Bajo",IF(Waiting_status!$G674 &gt;70,"High","Mid"))</f>
        <v>High</v>
      </c>
    </row>
    <row r="675" spans="1:8" x14ac:dyDescent="0.25">
      <c r="A675" s="31">
        <v>34</v>
      </c>
      <c r="B675" s="32" t="str">
        <f t="shared" si="10"/>
        <v>mid</v>
      </c>
      <c r="F675" s="29" t="s">
        <v>16</v>
      </c>
      <c r="G675" s="42">
        <v>94.9</v>
      </c>
      <c r="H675" s="41" t="str">
        <f>+IF(Waiting_status!$G675&lt;= 40,"Bajo",IF(Waiting_status!$G675 &gt;70,"High","Mid"))</f>
        <v>High</v>
      </c>
    </row>
    <row r="676" spans="1:8" x14ac:dyDescent="0.25">
      <c r="A676" s="38">
        <v>24</v>
      </c>
      <c r="B676" s="32" t="str">
        <f t="shared" si="10"/>
        <v>mid</v>
      </c>
      <c r="F676" s="28" t="s">
        <v>31</v>
      </c>
      <c r="G676" s="40">
        <v>69.400000000000006</v>
      </c>
      <c r="H676" s="41" t="str">
        <f>+IF(Waiting_status!$G676&lt;= 40,"Bajo",IF(Waiting_status!$G676 &gt;70,"High","Mid"))</f>
        <v>Mid</v>
      </c>
    </row>
    <row r="677" spans="1:8" x14ac:dyDescent="0.25">
      <c r="A677" s="31">
        <v>45</v>
      </c>
      <c r="B677" s="32" t="str">
        <f t="shared" si="10"/>
        <v>High</v>
      </c>
      <c r="F677" s="29" t="s">
        <v>28</v>
      </c>
      <c r="G677" s="42">
        <v>93.3</v>
      </c>
      <c r="H677" s="41" t="str">
        <f>+IF(Waiting_status!$G677&lt;= 40,"Bajo",IF(Waiting_status!$G677 &gt;70,"High","Mid"))</f>
        <v>High</v>
      </c>
    </row>
    <row r="678" spans="1:8" x14ac:dyDescent="0.25">
      <c r="A678" s="38">
        <v>55</v>
      </c>
      <c r="B678" s="32" t="str">
        <f t="shared" si="10"/>
        <v>High</v>
      </c>
      <c r="F678" s="28" t="s">
        <v>31</v>
      </c>
      <c r="G678" s="40">
        <v>65.099999999999994</v>
      </c>
      <c r="H678" s="41" t="str">
        <f>+IF(Waiting_status!$G678&lt;= 40,"Bajo",IF(Waiting_status!$G678 &gt;70,"High","Mid"))</f>
        <v>Mid</v>
      </c>
    </row>
    <row r="679" spans="1:8" x14ac:dyDescent="0.25">
      <c r="A679" s="31">
        <v>30</v>
      </c>
      <c r="B679" s="32" t="str">
        <f t="shared" si="10"/>
        <v>mid</v>
      </c>
      <c r="F679" s="29" t="s">
        <v>22</v>
      </c>
      <c r="G679" s="42">
        <v>91.7</v>
      </c>
      <c r="H679" s="41" t="str">
        <f>+IF(Waiting_status!$G679&lt;= 40,"Bajo",IF(Waiting_status!$G679 &gt;70,"High","Mid"))</f>
        <v>High</v>
      </c>
    </row>
    <row r="680" spans="1:8" x14ac:dyDescent="0.25">
      <c r="A680" s="38">
        <v>40</v>
      </c>
      <c r="B680" s="32" t="str">
        <f t="shared" si="10"/>
        <v>mid</v>
      </c>
      <c r="F680" s="28" t="s">
        <v>48</v>
      </c>
      <c r="G680" s="40">
        <v>70</v>
      </c>
      <c r="H680" s="41" t="str">
        <f>+IF(Waiting_status!$G680&lt;= 40,"Bajo",IF(Waiting_status!$G680 &gt;70,"High","Mid"))</f>
        <v>Mid</v>
      </c>
    </row>
    <row r="681" spans="1:8" x14ac:dyDescent="0.25">
      <c r="A681" s="31">
        <v>51</v>
      </c>
      <c r="B681" s="32" t="str">
        <f t="shared" si="10"/>
        <v>High</v>
      </c>
      <c r="F681" s="29" t="s">
        <v>31</v>
      </c>
      <c r="G681" s="42">
        <v>85.5</v>
      </c>
      <c r="H681" s="41" t="str">
        <f>+IF(Waiting_status!$G681&lt;= 40,"Bajo",IF(Waiting_status!$G681 &gt;70,"High","Mid"))</f>
        <v>High</v>
      </c>
    </row>
    <row r="682" spans="1:8" x14ac:dyDescent="0.25">
      <c r="A682" s="38">
        <v>15</v>
      </c>
      <c r="B682" s="32" t="str">
        <f t="shared" si="10"/>
        <v>Low</v>
      </c>
      <c r="F682" s="28" t="s">
        <v>61</v>
      </c>
      <c r="G682" s="40">
        <v>83.5</v>
      </c>
      <c r="H682" s="41" t="str">
        <f>+IF(Waiting_status!$G682&lt;= 40,"Bajo",IF(Waiting_status!$G682 &gt;70,"High","Mid"))</f>
        <v>High</v>
      </c>
    </row>
    <row r="683" spans="1:8" x14ac:dyDescent="0.25">
      <c r="A683" s="31">
        <v>35</v>
      </c>
      <c r="B683" s="32" t="str">
        <f t="shared" si="10"/>
        <v>mid</v>
      </c>
      <c r="F683" s="29" t="s">
        <v>56</v>
      </c>
      <c r="G683" s="42">
        <v>70.2</v>
      </c>
      <c r="H683" s="41" t="str">
        <f>+IF(Waiting_status!$G683&lt;= 40,"Bajo",IF(Waiting_status!$G683 &gt;70,"High","Mid"))</f>
        <v>High</v>
      </c>
    </row>
    <row r="684" spans="1:8" x14ac:dyDescent="0.25">
      <c r="A684" s="38">
        <v>35</v>
      </c>
      <c r="B684" s="32" t="str">
        <f t="shared" si="10"/>
        <v>mid</v>
      </c>
      <c r="F684" s="28" t="s">
        <v>64</v>
      </c>
      <c r="G684" s="40">
        <v>64.900000000000006</v>
      </c>
      <c r="H684" s="41" t="str">
        <f>+IF(Waiting_status!$G684&lt;= 40,"Bajo",IF(Waiting_status!$G684 &gt;70,"High","Mid"))</f>
        <v>Mid</v>
      </c>
    </row>
    <row r="685" spans="1:8" x14ac:dyDescent="0.25">
      <c r="A685" s="31">
        <v>19</v>
      </c>
      <c r="B685" s="32" t="str">
        <f t="shared" si="10"/>
        <v>Low</v>
      </c>
      <c r="F685" s="29" t="s">
        <v>16</v>
      </c>
      <c r="G685" s="42">
        <v>77.099999999999994</v>
      </c>
      <c r="H685" s="41" t="str">
        <f>+IF(Waiting_status!$G685&lt;= 40,"Bajo",IF(Waiting_status!$G685 &gt;70,"High","Mid"))</f>
        <v>High</v>
      </c>
    </row>
    <row r="686" spans="1:8" x14ac:dyDescent="0.25">
      <c r="A686" s="38">
        <v>17</v>
      </c>
      <c r="B686" s="32" t="str">
        <f t="shared" si="10"/>
        <v>Low</v>
      </c>
      <c r="F686" s="28" t="s">
        <v>64</v>
      </c>
      <c r="G686" s="40">
        <v>96.1</v>
      </c>
      <c r="H686" s="41" t="str">
        <f>+IF(Waiting_status!$G686&lt;= 40,"Bajo",IF(Waiting_status!$G686 &gt;70,"High","Mid"))</f>
        <v>High</v>
      </c>
    </row>
    <row r="687" spans="1:8" x14ac:dyDescent="0.25">
      <c r="A687" s="31">
        <v>18</v>
      </c>
      <c r="B687" s="32" t="str">
        <f t="shared" si="10"/>
        <v>Low</v>
      </c>
      <c r="F687" s="29" t="s">
        <v>41</v>
      </c>
      <c r="G687" s="42">
        <v>91.5</v>
      </c>
      <c r="H687" s="41" t="str">
        <f>+IF(Waiting_status!$G687&lt;= 40,"Bajo",IF(Waiting_status!$G687 &gt;70,"High","Mid"))</f>
        <v>High</v>
      </c>
    </row>
    <row r="688" spans="1:8" x14ac:dyDescent="0.25">
      <c r="A688" s="38">
        <v>56</v>
      </c>
      <c r="B688" s="32" t="str">
        <f t="shared" si="10"/>
        <v>High</v>
      </c>
      <c r="F688" s="28" t="s">
        <v>22</v>
      </c>
      <c r="G688" s="40">
        <v>77.8</v>
      </c>
      <c r="H688" s="41" t="str">
        <f>+IF(Waiting_status!$G688&lt;= 40,"Bajo",IF(Waiting_status!$G688 &gt;70,"High","Mid"))</f>
        <v>High</v>
      </c>
    </row>
    <row r="689" spans="1:8" x14ac:dyDescent="0.25">
      <c r="A689" s="31">
        <v>22</v>
      </c>
      <c r="B689" s="32" t="str">
        <f t="shared" si="10"/>
        <v>mid</v>
      </c>
      <c r="F689" s="29" t="s">
        <v>22</v>
      </c>
      <c r="G689" s="42">
        <v>74.599999999999994</v>
      </c>
      <c r="H689" s="41" t="str">
        <f>+IF(Waiting_status!$G689&lt;= 40,"Bajo",IF(Waiting_status!$G689 &gt;70,"High","Mid"))</f>
        <v>High</v>
      </c>
    </row>
    <row r="690" spans="1:8" x14ac:dyDescent="0.25">
      <c r="A690" s="38">
        <v>23</v>
      </c>
      <c r="B690" s="32" t="str">
        <f t="shared" si="10"/>
        <v>mid</v>
      </c>
      <c r="F690" s="28" t="s">
        <v>41</v>
      </c>
      <c r="G690" s="40">
        <v>62.1</v>
      </c>
      <c r="H690" s="41" t="str">
        <f>+IF(Waiting_status!$G690&lt;= 40,"Bajo",IF(Waiting_status!$G690 &gt;70,"High","Mid"))</f>
        <v>Mid</v>
      </c>
    </row>
    <row r="691" spans="1:8" x14ac:dyDescent="0.25">
      <c r="A691" s="31">
        <v>10</v>
      </c>
      <c r="B691" s="32" t="str">
        <f t="shared" si="10"/>
        <v>Low</v>
      </c>
      <c r="F691" s="29" t="s">
        <v>31</v>
      </c>
      <c r="G691" s="42">
        <v>65.099999999999994</v>
      </c>
      <c r="H691" s="41" t="str">
        <f>+IF(Waiting_status!$G691&lt;= 40,"Bajo",IF(Waiting_status!$G691 &gt;70,"High","Mid"))</f>
        <v>Mid</v>
      </c>
    </row>
    <row r="692" spans="1:8" x14ac:dyDescent="0.25">
      <c r="A692" s="38">
        <v>47</v>
      </c>
      <c r="B692" s="32" t="str">
        <f t="shared" si="10"/>
        <v>High</v>
      </c>
      <c r="F692" s="28" t="s">
        <v>61</v>
      </c>
      <c r="G692" s="40">
        <v>93.3</v>
      </c>
      <c r="H692" s="41" t="str">
        <f>+IF(Waiting_status!$G692&lt;= 40,"Bajo",IF(Waiting_status!$G692 &gt;70,"High","Mid"))</f>
        <v>High</v>
      </c>
    </row>
    <row r="693" spans="1:8" x14ac:dyDescent="0.25">
      <c r="A693" s="31">
        <v>26</v>
      </c>
      <c r="B693" s="32" t="str">
        <f t="shared" si="10"/>
        <v>mid</v>
      </c>
      <c r="F693" s="29" t="s">
        <v>95</v>
      </c>
      <c r="G693" s="42">
        <v>81</v>
      </c>
      <c r="H693" s="41" t="str">
        <f>+IF(Waiting_status!$G693&lt;= 40,"Bajo",IF(Waiting_status!$G693 &gt;70,"High","Mid"))</f>
        <v>High</v>
      </c>
    </row>
    <row r="694" spans="1:8" x14ac:dyDescent="0.25">
      <c r="A694" s="38">
        <v>14</v>
      </c>
      <c r="B694" s="32" t="str">
        <f t="shared" si="10"/>
        <v>Low</v>
      </c>
      <c r="F694" s="28" t="s">
        <v>64</v>
      </c>
      <c r="G694" s="40">
        <v>89.4</v>
      </c>
      <c r="H694" s="41" t="str">
        <f>+IF(Waiting_status!$G694&lt;= 40,"Bajo",IF(Waiting_status!$G694 &gt;70,"High","Mid"))</f>
        <v>High</v>
      </c>
    </row>
    <row r="695" spans="1:8" x14ac:dyDescent="0.25">
      <c r="A695" s="31">
        <v>51</v>
      </c>
      <c r="B695" s="32" t="str">
        <f t="shared" si="10"/>
        <v>High</v>
      </c>
      <c r="F695" s="29" t="s">
        <v>95</v>
      </c>
      <c r="G695" s="42">
        <v>74.5</v>
      </c>
      <c r="H695" s="41" t="str">
        <f>+IF(Waiting_status!$G695&lt;= 40,"Bajo",IF(Waiting_status!$G695 &gt;70,"High","Mid"))</f>
        <v>High</v>
      </c>
    </row>
    <row r="696" spans="1:8" x14ac:dyDescent="0.25">
      <c r="A696" s="38">
        <v>27</v>
      </c>
      <c r="B696" s="32" t="str">
        <f t="shared" si="10"/>
        <v>mid</v>
      </c>
      <c r="F696" s="28" t="s">
        <v>28</v>
      </c>
      <c r="G696" s="40">
        <v>71.2</v>
      </c>
      <c r="H696" s="41" t="str">
        <f>+IF(Waiting_status!$G696&lt;= 40,"Bajo",IF(Waiting_status!$G696 &gt;70,"High","Mid"))</f>
        <v>High</v>
      </c>
    </row>
    <row r="697" spans="1:8" x14ac:dyDescent="0.25">
      <c r="A697" s="31">
        <v>32</v>
      </c>
      <c r="B697" s="32" t="str">
        <f t="shared" si="10"/>
        <v>mid</v>
      </c>
      <c r="F697" s="29" t="s">
        <v>56</v>
      </c>
      <c r="G697" s="42">
        <v>62.5</v>
      </c>
      <c r="H697" s="41" t="str">
        <f>+IF(Waiting_status!$G697&lt;= 40,"Bajo",IF(Waiting_status!$G697 &gt;70,"High","Mid"))</f>
        <v>Mid</v>
      </c>
    </row>
    <row r="698" spans="1:8" x14ac:dyDescent="0.25">
      <c r="A698" s="38">
        <v>53</v>
      </c>
      <c r="B698" s="32" t="str">
        <f t="shared" si="10"/>
        <v>High</v>
      </c>
      <c r="F698" s="28" t="s">
        <v>95</v>
      </c>
      <c r="G698" s="40">
        <v>61.6</v>
      </c>
      <c r="H698" s="41" t="str">
        <f>+IF(Waiting_status!$G698&lt;= 40,"Bajo",IF(Waiting_status!$G698 &gt;70,"High","Mid"))</f>
        <v>Mid</v>
      </c>
    </row>
    <row r="699" spans="1:8" x14ac:dyDescent="0.25">
      <c r="A699" s="31">
        <v>44</v>
      </c>
      <c r="B699" s="32" t="str">
        <f t="shared" si="10"/>
        <v>High</v>
      </c>
      <c r="F699" s="29" t="s">
        <v>61</v>
      </c>
      <c r="G699" s="42">
        <v>72.8</v>
      </c>
      <c r="H699" s="41" t="str">
        <f>+IF(Waiting_status!$G699&lt;= 40,"Bajo",IF(Waiting_status!$G699 &gt;70,"High","Mid"))</f>
        <v>High</v>
      </c>
    </row>
    <row r="700" spans="1:8" x14ac:dyDescent="0.25">
      <c r="A700" s="38">
        <v>21</v>
      </c>
      <c r="B700" s="32" t="str">
        <f t="shared" si="10"/>
        <v>mid</v>
      </c>
      <c r="F700" s="28" t="s">
        <v>48</v>
      </c>
      <c r="G700" s="40">
        <v>93</v>
      </c>
      <c r="H700" s="41" t="str">
        <f>+IF(Waiting_status!$G700&lt;= 40,"Bajo",IF(Waiting_status!$G700 &gt;70,"High","Mid"))</f>
        <v>High</v>
      </c>
    </row>
    <row r="701" spans="1:8" x14ac:dyDescent="0.25">
      <c r="A701" s="31">
        <v>32</v>
      </c>
      <c r="B701" s="32" t="str">
        <f t="shared" si="10"/>
        <v>mid</v>
      </c>
      <c r="F701" s="29" t="s">
        <v>22</v>
      </c>
      <c r="G701" s="42">
        <v>79.400000000000006</v>
      </c>
      <c r="H701" s="41" t="str">
        <f>+IF(Waiting_status!$G701&lt;= 40,"Bajo",IF(Waiting_status!$G701 &gt;70,"High","Mid"))</f>
        <v>High</v>
      </c>
    </row>
    <row r="702" spans="1:8" x14ac:dyDescent="0.25">
      <c r="A702" s="38">
        <v>55</v>
      </c>
      <c r="B702" s="32" t="str">
        <f t="shared" si="10"/>
        <v>High</v>
      </c>
      <c r="F702" s="28" t="s">
        <v>61</v>
      </c>
      <c r="G702" s="40">
        <v>72.099999999999994</v>
      </c>
      <c r="H702" s="41" t="str">
        <f>+IF(Waiting_status!$G702&lt;= 40,"Bajo",IF(Waiting_status!$G702 &gt;70,"High","Mid"))</f>
        <v>High</v>
      </c>
    </row>
    <row r="703" spans="1:8" x14ac:dyDescent="0.25">
      <c r="A703" s="31">
        <v>51</v>
      </c>
      <c r="B703" s="32" t="str">
        <f t="shared" si="10"/>
        <v>High</v>
      </c>
      <c r="F703" s="29" t="s">
        <v>56</v>
      </c>
      <c r="G703" s="42">
        <v>73.900000000000006</v>
      </c>
      <c r="H703" s="41" t="str">
        <f>+IF(Waiting_status!$G703&lt;= 40,"Bajo",IF(Waiting_status!$G703 &gt;70,"High","Mid"))</f>
        <v>High</v>
      </c>
    </row>
    <row r="704" spans="1:8" x14ac:dyDescent="0.25">
      <c r="A704" s="38">
        <v>29</v>
      </c>
      <c r="B704" s="32" t="str">
        <f t="shared" si="10"/>
        <v>mid</v>
      </c>
      <c r="F704" s="28" t="s">
        <v>48</v>
      </c>
      <c r="G704" s="40">
        <v>94.6</v>
      </c>
      <c r="H704" s="41" t="str">
        <f>+IF(Waiting_status!$G704&lt;= 40,"Bajo",IF(Waiting_status!$G704 &gt;70,"High","Mid"))</f>
        <v>High</v>
      </c>
    </row>
    <row r="705" spans="1:8" x14ac:dyDescent="0.25">
      <c r="A705" s="31">
        <v>28</v>
      </c>
      <c r="B705" s="32" t="str">
        <f t="shared" si="10"/>
        <v>mid</v>
      </c>
      <c r="F705" s="29" t="s">
        <v>16</v>
      </c>
      <c r="G705" s="42">
        <v>97.1</v>
      </c>
      <c r="H705" s="41" t="str">
        <f>+IF(Waiting_status!$G705&lt;= 40,"Bajo",IF(Waiting_status!$G705 &gt;70,"High","Mid"))</f>
        <v>High</v>
      </c>
    </row>
    <row r="706" spans="1:8" x14ac:dyDescent="0.25">
      <c r="A706" s="38">
        <v>34</v>
      </c>
      <c r="B706" s="32" t="str">
        <f t="shared" si="10"/>
        <v>mid</v>
      </c>
      <c r="F706" s="28" t="s">
        <v>31</v>
      </c>
      <c r="G706" s="40">
        <v>96.8</v>
      </c>
      <c r="H706" s="41" t="str">
        <f>+IF(Waiting_status!$G706&lt;= 40,"Bajo",IF(Waiting_status!$G706 &gt;70,"High","Mid"))</f>
        <v>High</v>
      </c>
    </row>
    <row r="707" spans="1:8" x14ac:dyDescent="0.25">
      <c r="A707" s="31">
        <v>35</v>
      </c>
      <c r="B707" s="32" t="str">
        <f t="shared" ref="B707:B770" si="11">+IF(A707&lt;= 20,"Low",IF(A707 &gt; 40,"High","mid"))</f>
        <v>mid</v>
      </c>
      <c r="F707" s="29" t="s">
        <v>31</v>
      </c>
      <c r="G707" s="42">
        <v>90.9</v>
      </c>
      <c r="H707" s="41" t="str">
        <f>+IF(Waiting_status!$G707&lt;= 40,"Bajo",IF(Waiting_status!$G707 &gt;70,"High","Mid"))</f>
        <v>High</v>
      </c>
    </row>
    <row r="708" spans="1:8" x14ac:dyDescent="0.25">
      <c r="A708" s="38">
        <v>18</v>
      </c>
      <c r="B708" s="32" t="str">
        <f t="shared" si="11"/>
        <v>Low</v>
      </c>
      <c r="F708" s="28" t="s">
        <v>41</v>
      </c>
      <c r="G708" s="40">
        <v>71.2</v>
      </c>
      <c r="H708" s="41" t="str">
        <f>+IF(Waiting_status!$G708&lt;= 40,"Bajo",IF(Waiting_status!$G708 &gt;70,"High","Mid"))</f>
        <v>High</v>
      </c>
    </row>
    <row r="709" spans="1:8" x14ac:dyDescent="0.25">
      <c r="A709" s="31">
        <v>52</v>
      </c>
      <c r="B709" s="32" t="str">
        <f t="shared" si="11"/>
        <v>High</v>
      </c>
      <c r="F709" s="29" t="s">
        <v>41</v>
      </c>
      <c r="G709" s="42">
        <v>66.400000000000006</v>
      </c>
      <c r="H709" s="41" t="str">
        <f>+IF(Waiting_status!$G709&lt;= 40,"Bajo",IF(Waiting_status!$G709 &gt;70,"High","Mid"))</f>
        <v>Mid</v>
      </c>
    </row>
    <row r="710" spans="1:8" x14ac:dyDescent="0.25">
      <c r="A710" s="38">
        <v>46</v>
      </c>
      <c r="B710" s="32" t="str">
        <f t="shared" si="11"/>
        <v>High</v>
      </c>
      <c r="F710" s="28" t="s">
        <v>41</v>
      </c>
      <c r="G710" s="40">
        <v>73.599999999999994</v>
      </c>
      <c r="H710" s="41" t="str">
        <f>+IF(Waiting_status!$G710&lt;= 40,"Bajo",IF(Waiting_status!$G710 &gt;70,"High","Mid"))</f>
        <v>High</v>
      </c>
    </row>
    <row r="711" spans="1:8" x14ac:dyDescent="0.25">
      <c r="A711" s="31">
        <v>31</v>
      </c>
      <c r="B711" s="32" t="str">
        <f t="shared" si="11"/>
        <v>mid</v>
      </c>
      <c r="F711" s="29" t="s">
        <v>31</v>
      </c>
      <c r="G711" s="42">
        <v>84.1</v>
      </c>
      <c r="H711" s="41" t="str">
        <f>+IF(Waiting_status!$G711&lt;= 40,"Bajo",IF(Waiting_status!$G711 &gt;70,"High","Mid"))</f>
        <v>High</v>
      </c>
    </row>
    <row r="712" spans="1:8" x14ac:dyDescent="0.25">
      <c r="A712" s="38">
        <v>53</v>
      </c>
      <c r="B712" s="32" t="str">
        <f t="shared" si="11"/>
        <v>High</v>
      </c>
      <c r="F712" s="28" t="s">
        <v>56</v>
      </c>
      <c r="G712" s="40">
        <v>62.1</v>
      </c>
      <c r="H712" s="41" t="str">
        <f>+IF(Waiting_status!$G712&lt;= 40,"Bajo",IF(Waiting_status!$G712 &gt;70,"High","Mid"))</f>
        <v>Mid</v>
      </c>
    </row>
    <row r="713" spans="1:8" x14ac:dyDescent="0.25">
      <c r="A713" s="31">
        <v>26</v>
      </c>
      <c r="B713" s="32" t="str">
        <f t="shared" si="11"/>
        <v>mid</v>
      </c>
      <c r="F713" s="29" t="s">
        <v>56</v>
      </c>
      <c r="G713" s="42">
        <v>62.3</v>
      </c>
      <c r="H713" s="41" t="str">
        <f>+IF(Waiting_status!$G713&lt;= 40,"Bajo",IF(Waiting_status!$G713 &gt;70,"High","Mid"))</f>
        <v>Mid</v>
      </c>
    </row>
    <row r="714" spans="1:8" x14ac:dyDescent="0.25">
      <c r="A714" s="38">
        <v>10</v>
      </c>
      <c r="B714" s="32" t="str">
        <f t="shared" si="11"/>
        <v>Low</v>
      </c>
      <c r="F714" s="28" t="s">
        <v>16</v>
      </c>
      <c r="G714" s="40">
        <v>69.400000000000006</v>
      </c>
      <c r="H714" s="41" t="str">
        <f>+IF(Waiting_status!$G714&lt;= 40,"Bajo",IF(Waiting_status!$G714 &gt;70,"High","Mid"))</f>
        <v>Mid</v>
      </c>
    </row>
    <row r="715" spans="1:8" x14ac:dyDescent="0.25">
      <c r="A715" s="31">
        <v>15</v>
      </c>
      <c r="B715" s="32" t="str">
        <f t="shared" si="11"/>
        <v>Low</v>
      </c>
      <c r="F715" s="29" t="s">
        <v>95</v>
      </c>
      <c r="G715" s="42">
        <v>86.8</v>
      </c>
      <c r="H715" s="41" t="str">
        <f>+IF(Waiting_status!$G715&lt;= 40,"Bajo",IF(Waiting_status!$G715 &gt;70,"High","Mid"))</f>
        <v>High</v>
      </c>
    </row>
    <row r="716" spans="1:8" x14ac:dyDescent="0.25">
      <c r="A716" s="38">
        <v>54</v>
      </c>
      <c r="B716" s="32" t="str">
        <f t="shared" si="11"/>
        <v>High</v>
      </c>
      <c r="F716" s="28" t="s">
        <v>56</v>
      </c>
      <c r="G716" s="40">
        <v>62.2</v>
      </c>
      <c r="H716" s="41" t="str">
        <f>+IF(Waiting_status!$G716&lt;= 40,"Bajo",IF(Waiting_status!$G716 &gt;70,"High","Mid"))</f>
        <v>Mid</v>
      </c>
    </row>
    <row r="717" spans="1:8" x14ac:dyDescent="0.25">
      <c r="A717" s="31">
        <v>56</v>
      </c>
      <c r="B717" s="32" t="str">
        <f t="shared" si="11"/>
        <v>High</v>
      </c>
      <c r="F717" s="29" t="s">
        <v>41</v>
      </c>
      <c r="G717" s="42">
        <v>64</v>
      </c>
      <c r="H717" s="41" t="str">
        <f>+IF(Waiting_status!$G717&lt;= 40,"Bajo",IF(Waiting_status!$G717 &gt;70,"High","Mid"))</f>
        <v>Mid</v>
      </c>
    </row>
    <row r="718" spans="1:8" x14ac:dyDescent="0.25">
      <c r="A718" s="38">
        <v>36</v>
      </c>
      <c r="B718" s="32" t="str">
        <f t="shared" si="11"/>
        <v>mid</v>
      </c>
      <c r="F718" s="28" t="s">
        <v>16</v>
      </c>
      <c r="G718" s="40">
        <v>72.099999999999994</v>
      </c>
      <c r="H718" s="41" t="str">
        <f>+IF(Waiting_status!$G718&lt;= 40,"Bajo",IF(Waiting_status!$G718 &gt;70,"High","Mid"))</f>
        <v>High</v>
      </c>
    </row>
    <row r="719" spans="1:8" x14ac:dyDescent="0.25">
      <c r="A719" s="31">
        <v>29</v>
      </c>
      <c r="B719" s="32" t="str">
        <f t="shared" si="11"/>
        <v>mid</v>
      </c>
      <c r="F719" s="29" t="s">
        <v>22</v>
      </c>
      <c r="G719" s="42">
        <v>82.4</v>
      </c>
      <c r="H719" s="41" t="str">
        <f>+IF(Waiting_status!$G719&lt;= 40,"Bajo",IF(Waiting_status!$G719 &gt;70,"High","Mid"))</f>
        <v>High</v>
      </c>
    </row>
    <row r="720" spans="1:8" x14ac:dyDescent="0.25">
      <c r="A720" s="38">
        <v>15</v>
      </c>
      <c r="B720" s="32" t="str">
        <f t="shared" si="11"/>
        <v>Low</v>
      </c>
      <c r="F720" s="28" t="s">
        <v>28</v>
      </c>
      <c r="G720" s="40">
        <v>97.2</v>
      </c>
      <c r="H720" s="41" t="str">
        <f>+IF(Waiting_status!$G720&lt;= 40,"Bajo",IF(Waiting_status!$G720 &gt;70,"High","Mid"))</f>
        <v>High</v>
      </c>
    </row>
    <row r="721" spans="1:8" x14ac:dyDescent="0.25">
      <c r="A721" s="31">
        <v>14</v>
      </c>
      <c r="B721" s="32" t="str">
        <f t="shared" si="11"/>
        <v>Low</v>
      </c>
      <c r="F721" s="29" t="s">
        <v>28</v>
      </c>
      <c r="G721" s="42">
        <v>94.5</v>
      </c>
      <c r="H721" s="41" t="str">
        <f>+IF(Waiting_status!$G721&lt;= 40,"Bajo",IF(Waiting_status!$G721 &gt;70,"High","Mid"))</f>
        <v>High</v>
      </c>
    </row>
    <row r="722" spans="1:8" x14ac:dyDescent="0.25">
      <c r="A722" s="38">
        <v>42</v>
      </c>
      <c r="B722" s="32" t="str">
        <f t="shared" si="11"/>
        <v>High</v>
      </c>
      <c r="F722" s="28" t="s">
        <v>16</v>
      </c>
      <c r="G722" s="40">
        <v>65.2</v>
      </c>
      <c r="H722" s="41" t="str">
        <f>+IF(Waiting_status!$G722&lt;= 40,"Bajo",IF(Waiting_status!$G722 &gt;70,"High","Mid"))</f>
        <v>Mid</v>
      </c>
    </row>
    <row r="723" spans="1:8" x14ac:dyDescent="0.25">
      <c r="A723" s="31">
        <v>23</v>
      </c>
      <c r="B723" s="32" t="str">
        <f t="shared" si="11"/>
        <v>mid</v>
      </c>
      <c r="F723" s="29" t="s">
        <v>48</v>
      </c>
      <c r="G723" s="42">
        <v>86.6</v>
      </c>
      <c r="H723" s="41" t="str">
        <f>+IF(Waiting_status!$G723&lt;= 40,"Bajo",IF(Waiting_status!$G723 &gt;70,"High","Mid"))</f>
        <v>High</v>
      </c>
    </row>
    <row r="724" spans="1:8" x14ac:dyDescent="0.25">
      <c r="A724" s="38">
        <v>11</v>
      </c>
      <c r="B724" s="32" t="str">
        <f t="shared" si="11"/>
        <v>Low</v>
      </c>
      <c r="F724" s="28" t="s">
        <v>56</v>
      </c>
      <c r="G724" s="40">
        <v>64.099999999999994</v>
      </c>
      <c r="H724" s="41" t="str">
        <f>+IF(Waiting_status!$G724&lt;= 40,"Bajo",IF(Waiting_status!$G724 &gt;70,"High","Mid"))</f>
        <v>Mid</v>
      </c>
    </row>
    <row r="725" spans="1:8" x14ac:dyDescent="0.25">
      <c r="A725" s="31">
        <v>49</v>
      </c>
      <c r="B725" s="32" t="str">
        <f t="shared" si="11"/>
        <v>High</v>
      </c>
      <c r="F725" s="29" t="s">
        <v>16</v>
      </c>
      <c r="G725" s="42">
        <v>78.900000000000006</v>
      </c>
      <c r="H725" s="41" t="str">
        <f>+IF(Waiting_status!$G725&lt;= 40,"Bajo",IF(Waiting_status!$G725 &gt;70,"High","Mid"))</f>
        <v>High</v>
      </c>
    </row>
    <row r="726" spans="1:8" x14ac:dyDescent="0.25">
      <c r="A726" s="38">
        <v>49</v>
      </c>
      <c r="B726" s="32" t="str">
        <f t="shared" si="11"/>
        <v>High</v>
      </c>
      <c r="F726" s="28" t="s">
        <v>28</v>
      </c>
      <c r="G726" s="40">
        <v>83.5</v>
      </c>
      <c r="H726" s="41" t="str">
        <f>+IF(Waiting_status!$G726&lt;= 40,"Bajo",IF(Waiting_status!$G726 &gt;70,"High","Mid"))</f>
        <v>High</v>
      </c>
    </row>
    <row r="727" spans="1:8" x14ac:dyDescent="0.25">
      <c r="A727" s="31">
        <v>35</v>
      </c>
      <c r="B727" s="32" t="str">
        <f t="shared" si="11"/>
        <v>mid</v>
      </c>
      <c r="F727" s="29" t="s">
        <v>41</v>
      </c>
      <c r="G727" s="42">
        <v>80.3</v>
      </c>
      <c r="H727" s="41" t="str">
        <f>+IF(Waiting_status!$G727&lt;= 40,"Bajo",IF(Waiting_status!$G727 &gt;70,"High","Mid"))</f>
        <v>High</v>
      </c>
    </row>
    <row r="728" spans="1:8" x14ac:dyDescent="0.25">
      <c r="A728" s="38">
        <v>22</v>
      </c>
      <c r="B728" s="32" t="str">
        <f t="shared" si="11"/>
        <v>mid</v>
      </c>
      <c r="F728" s="28" t="s">
        <v>48</v>
      </c>
      <c r="G728" s="40">
        <v>79.8</v>
      </c>
      <c r="H728" s="41" t="str">
        <f>+IF(Waiting_status!$G728&lt;= 40,"Bajo",IF(Waiting_status!$G728 &gt;70,"High","Mid"))</f>
        <v>High</v>
      </c>
    </row>
    <row r="729" spans="1:8" x14ac:dyDescent="0.25">
      <c r="A729" s="31">
        <v>49</v>
      </c>
      <c r="B729" s="32" t="str">
        <f t="shared" si="11"/>
        <v>High</v>
      </c>
      <c r="F729" s="29" t="s">
        <v>16</v>
      </c>
      <c r="G729" s="42">
        <v>89.6</v>
      </c>
      <c r="H729" s="41" t="str">
        <f>+IF(Waiting_status!$G729&lt;= 40,"Bajo",IF(Waiting_status!$G729 &gt;70,"High","Mid"))</f>
        <v>High</v>
      </c>
    </row>
    <row r="730" spans="1:8" x14ac:dyDescent="0.25">
      <c r="A730" s="38">
        <v>27</v>
      </c>
      <c r="B730" s="32" t="str">
        <f t="shared" si="11"/>
        <v>mid</v>
      </c>
      <c r="F730" s="28" t="s">
        <v>28</v>
      </c>
      <c r="G730" s="40">
        <v>77.2</v>
      </c>
      <c r="H730" s="41" t="str">
        <f>+IF(Waiting_status!$G730&lt;= 40,"Bajo",IF(Waiting_status!$G730 &gt;70,"High","Mid"))</f>
        <v>High</v>
      </c>
    </row>
    <row r="731" spans="1:8" x14ac:dyDescent="0.25">
      <c r="A731" s="31">
        <v>24</v>
      </c>
      <c r="B731" s="32" t="str">
        <f t="shared" si="11"/>
        <v>mid</v>
      </c>
      <c r="F731" s="29" t="s">
        <v>16</v>
      </c>
      <c r="G731" s="42">
        <v>83.3</v>
      </c>
      <c r="H731" s="41" t="str">
        <f>+IF(Waiting_status!$G731&lt;= 40,"Bajo",IF(Waiting_status!$G731 &gt;70,"High","Mid"))</f>
        <v>High</v>
      </c>
    </row>
    <row r="732" spans="1:8" x14ac:dyDescent="0.25">
      <c r="A732" s="38">
        <v>53</v>
      </c>
      <c r="B732" s="32" t="str">
        <f t="shared" si="11"/>
        <v>High</v>
      </c>
      <c r="F732" s="28" t="s">
        <v>56</v>
      </c>
      <c r="G732" s="40">
        <v>93.6</v>
      </c>
      <c r="H732" s="41" t="str">
        <f>+IF(Waiting_status!$G732&lt;= 40,"Bajo",IF(Waiting_status!$G732 &gt;70,"High","Mid"))</f>
        <v>High</v>
      </c>
    </row>
    <row r="733" spans="1:8" x14ac:dyDescent="0.25">
      <c r="A733" s="31">
        <v>50</v>
      </c>
      <c r="B733" s="32" t="str">
        <f t="shared" si="11"/>
        <v>High</v>
      </c>
      <c r="F733" s="29" t="s">
        <v>31</v>
      </c>
      <c r="G733" s="42">
        <v>87.3</v>
      </c>
      <c r="H733" s="41" t="str">
        <f>+IF(Waiting_status!$G733&lt;= 40,"Bajo",IF(Waiting_status!$G733 &gt;70,"High","Mid"))</f>
        <v>High</v>
      </c>
    </row>
    <row r="734" spans="1:8" x14ac:dyDescent="0.25">
      <c r="A734" s="38">
        <v>31</v>
      </c>
      <c r="B734" s="32" t="str">
        <f t="shared" si="11"/>
        <v>mid</v>
      </c>
      <c r="F734" s="28" t="s">
        <v>22</v>
      </c>
      <c r="G734" s="40">
        <v>79.099999999999994</v>
      </c>
      <c r="H734" s="41" t="str">
        <f>+IF(Waiting_status!$G734&lt;= 40,"Bajo",IF(Waiting_status!$G734 &gt;70,"High","Mid"))</f>
        <v>High</v>
      </c>
    </row>
    <row r="735" spans="1:8" x14ac:dyDescent="0.25">
      <c r="A735" s="31">
        <v>33</v>
      </c>
      <c r="B735" s="32" t="str">
        <f t="shared" si="11"/>
        <v>mid</v>
      </c>
      <c r="F735" s="29" t="s">
        <v>48</v>
      </c>
      <c r="G735" s="42">
        <v>84.4</v>
      </c>
      <c r="H735" s="41" t="str">
        <f>+IF(Waiting_status!$G735&lt;= 40,"Bajo",IF(Waiting_status!$G735 &gt;70,"High","Mid"))</f>
        <v>High</v>
      </c>
    </row>
    <row r="736" spans="1:8" x14ac:dyDescent="0.25">
      <c r="A736" s="38">
        <v>27</v>
      </c>
      <c r="B736" s="32" t="str">
        <f t="shared" si="11"/>
        <v>mid</v>
      </c>
      <c r="F736" s="28" t="s">
        <v>56</v>
      </c>
      <c r="G736" s="40">
        <v>99.9</v>
      </c>
      <c r="H736" s="41" t="str">
        <f>+IF(Waiting_status!$G736&lt;= 40,"Bajo",IF(Waiting_status!$G736 &gt;70,"High","Mid"))</f>
        <v>High</v>
      </c>
    </row>
    <row r="737" spans="1:8" x14ac:dyDescent="0.25">
      <c r="A737" s="31">
        <v>42</v>
      </c>
      <c r="B737" s="32" t="str">
        <f t="shared" si="11"/>
        <v>High</v>
      </c>
      <c r="F737" s="29" t="s">
        <v>48</v>
      </c>
      <c r="G737" s="42">
        <v>98.6</v>
      </c>
      <c r="H737" s="41" t="str">
        <f>+IF(Waiting_status!$G737&lt;= 40,"Bajo",IF(Waiting_status!$G737 &gt;70,"High","Mid"))</f>
        <v>High</v>
      </c>
    </row>
    <row r="738" spans="1:8" x14ac:dyDescent="0.25">
      <c r="A738" s="38">
        <v>51</v>
      </c>
      <c r="B738" s="32" t="str">
        <f t="shared" si="11"/>
        <v>High</v>
      </c>
      <c r="F738" s="28" t="s">
        <v>41</v>
      </c>
      <c r="G738" s="40">
        <v>63.1</v>
      </c>
      <c r="H738" s="41" t="str">
        <f>+IF(Waiting_status!$G738&lt;= 40,"Bajo",IF(Waiting_status!$G738 &gt;70,"High","Mid"))</f>
        <v>Mid</v>
      </c>
    </row>
    <row r="739" spans="1:8" x14ac:dyDescent="0.25">
      <c r="A739" s="31">
        <v>30</v>
      </c>
      <c r="B739" s="32" t="str">
        <f t="shared" si="11"/>
        <v>mid</v>
      </c>
      <c r="F739" s="29" t="s">
        <v>48</v>
      </c>
      <c r="G739" s="42">
        <v>84.8</v>
      </c>
      <c r="H739" s="41" t="str">
        <f>+IF(Waiting_status!$G739&lt;= 40,"Bajo",IF(Waiting_status!$G739 &gt;70,"High","Mid"))</f>
        <v>High</v>
      </c>
    </row>
    <row r="740" spans="1:8" x14ac:dyDescent="0.25">
      <c r="A740" s="38">
        <v>38</v>
      </c>
      <c r="B740" s="32" t="str">
        <f t="shared" si="11"/>
        <v>mid</v>
      </c>
      <c r="F740" s="28" t="s">
        <v>28</v>
      </c>
      <c r="G740" s="40">
        <v>78.900000000000006</v>
      </c>
      <c r="H740" s="41" t="str">
        <f>+IF(Waiting_status!$G740&lt;= 40,"Bajo",IF(Waiting_status!$G740 &gt;70,"High","Mid"))</f>
        <v>High</v>
      </c>
    </row>
    <row r="741" spans="1:8" x14ac:dyDescent="0.25">
      <c r="A741" s="31">
        <v>39</v>
      </c>
      <c r="B741" s="32" t="str">
        <f t="shared" si="11"/>
        <v>mid</v>
      </c>
      <c r="F741" s="29" t="s">
        <v>41</v>
      </c>
      <c r="G741" s="42">
        <v>64.400000000000006</v>
      </c>
      <c r="H741" s="41" t="str">
        <f>+IF(Waiting_status!$G741&lt;= 40,"Bajo",IF(Waiting_status!$G741 &gt;70,"High","Mid"))</f>
        <v>Mid</v>
      </c>
    </row>
    <row r="742" spans="1:8" x14ac:dyDescent="0.25">
      <c r="A742" s="38">
        <v>51</v>
      </c>
      <c r="B742" s="32" t="str">
        <f t="shared" si="11"/>
        <v>High</v>
      </c>
      <c r="F742" s="28" t="s">
        <v>16</v>
      </c>
      <c r="G742" s="40">
        <v>73.7</v>
      </c>
      <c r="H742" s="41" t="str">
        <f>+IF(Waiting_status!$G742&lt;= 40,"Bajo",IF(Waiting_status!$G742 &gt;70,"High","Mid"))</f>
        <v>High</v>
      </c>
    </row>
    <row r="743" spans="1:8" x14ac:dyDescent="0.25">
      <c r="A743" s="31">
        <v>12</v>
      </c>
      <c r="B743" s="32" t="str">
        <f t="shared" si="11"/>
        <v>Low</v>
      </c>
      <c r="F743" s="29" t="s">
        <v>61</v>
      </c>
      <c r="G743" s="42">
        <v>60.3</v>
      </c>
      <c r="H743" s="41" t="str">
        <f>+IF(Waiting_status!$G743&lt;= 40,"Bajo",IF(Waiting_status!$G743 &gt;70,"High","Mid"))</f>
        <v>Mid</v>
      </c>
    </row>
    <row r="744" spans="1:8" x14ac:dyDescent="0.25">
      <c r="A744" s="38">
        <v>49</v>
      </c>
      <c r="B744" s="32" t="str">
        <f t="shared" si="11"/>
        <v>High</v>
      </c>
      <c r="F744" s="28" t="s">
        <v>61</v>
      </c>
      <c r="G744" s="40">
        <v>79.5</v>
      </c>
      <c r="H744" s="41" t="str">
        <f>+IF(Waiting_status!$G744&lt;= 40,"Bajo",IF(Waiting_status!$G744 &gt;70,"High","Mid"))</f>
        <v>High</v>
      </c>
    </row>
    <row r="745" spans="1:8" x14ac:dyDescent="0.25">
      <c r="A745" s="31">
        <v>10</v>
      </c>
      <c r="B745" s="32" t="str">
        <f t="shared" si="11"/>
        <v>Low</v>
      </c>
      <c r="F745" s="29" t="s">
        <v>28</v>
      </c>
      <c r="G745" s="42">
        <v>95.5</v>
      </c>
      <c r="H745" s="41" t="str">
        <f>+IF(Waiting_status!$G745&lt;= 40,"Bajo",IF(Waiting_status!$G745 &gt;70,"High","Mid"))</f>
        <v>High</v>
      </c>
    </row>
    <row r="746" spans="1:8" x14ac:dyDescent="0.25">
      <c r="A746" s="38">
        <v>25</v>
      </c>
      <c r="B746" s="32" t="str">
        <f t="shared" si="11"/>
        <v>mid</v>
      </c>
      <c r="F746" s="28" t="s">
        <v>41</v>
      </c>
      <c r="G746" s="40">
        <v>70.5</v>
      </c>
      <c r="H746" s="41" t="str">
        <f>+IF(Waiting_status!$G746&lt;= 40,"Bajo",IF(Waiting_status!$G746 &gt;70,"High","Mid"))</f>
        <v>High</v>
      </c>
    </row>
    <row r="747" spans="1:8" x14ac:dyDescent="0.25">
      <c r="A747" s="31">
        <v>33</v>
      </c>
      <c r="B747" s="32" t="str">
        <f t="shared" si="11"/>
        <v>mid</v>
      </c>
      <c r="F747" s="29" t="s">
        <v>64</v>
      </c>
      <c r="G747" s="42">
        <v>71.3</v>
      </c>
      <c r="H747" s="41" t="str">
        <f>+IF(Waiting_status!$G747&lt;= 40,"Bajo",IF(Waiting_status!$G747 &gt;70,"High","Mid"))</f>
        <v>High</v>
      </c>
    </row>
    <row r="748" spans="1:8" x14ac:dyDescent="0.25">
      <c r="A748" s="38">
        <v>60</v>
      </c>
      <c r="B748" s="32" t="str">
        <f t="shared" si="11"/>
        <v>High</v>
      </c>
      <c r="F748" s="28" t="s">
        <v>95</v>
      </c>
      <c r="G748" s="40">
        <v>66.8</v>
      </c>
      <c r="H748" s="41" t="str">
        <f>+IF(Waiting_status!$G748&lt;= 40,"Bajo",IF(Waiting_status!$G748 &gt;70,"High","Mid"))</f>
        <v>Mid</v>
      </c>
    </row>
    <row r="749" spans="1:8" x14ac:dyDescent="0.25">
      <c r="A749" s="31">
        <v>38</v>
      </c>
      <c r="B749" s="32" t="str">
        <f t="shared" si="11"/>
        <v>mid</v>
      </c>
      <c r="F749" s="29" t="s">
        <v>56</v>
      </c>
      <c r="G749" s="42">
        <v>89.2</v>
      </c>
      <c r="H749" s="41" t="str">
        <f>+IF(Waiting_status!$G749&lt;= 40,"Bajo",IF(Waiting_status!$G749 &gt;70,"High","Mid"))</f>
        <v>High</v>
      </c>
    </row>
    <row r="750" spans="1:8" x14ac:dyDescent="0.25">
      <c r="A750" s="38">
        <v>21</v>
      </c>
      <c r="B750" s="32" t="str">
        <f t="shared" si="11"/>
        <v>mid</v>
      </c>
      <c r="F750" s="28" t="s">
        <v>56</v>
      </c>
      <c r="G750" s="40">
        <v>71.2</v>
      </c>
      <c r="H750" s="41" t="str">
        <f>+IF(Waiting_status!$G750&lt;= 40,"Bajo",IF(Waiting_status!$G750 &gt;70,"High","Mid"))</f>
        <v>High</v>
      </c>
    </row>
    <row r="751" spans="1:8" x14ac:dyDescent="0.25">
      <c r="A751" s="31">
        <v>31</v>
      </c>
      <c r="B751" s="32" t="str">
        <f t="shared" si="11"/>
        <v>mid</v>
      </c>
      <c r="F751" s="29" t="s">
        <v>95</v>
      </c>
      <c r="G751" s="42">
        <v>91.7</v>
      </c>
      <c r="H751" s="41" t="str">
        <f>+IF(Waiting_status!$G751&lt;= 40,"Bajo",IF(Waiting_status!$G751 &gt;70,"High","Mid"))</f>
        <v>High</v>
      </c>
    </row>
    <row r="752" spans="1:8" x14ac:dyDescent="0.25">
      <c r="A752" s="38">
        <v>43</v>
      </c>
      <c r="B752" s="32" t="str">
        <f t="shared" si="11"/>
        <v>High</v>
      </c>
      <c r="F752" s="28" t="s">
        <v>22</v>
      </c>
      <c r="G752" s="40">
        <v>79.7</v>
      </c>
      <c r="H752" s="41" t="str">
        <f>+IF(Waiting_status!$G752&lt;= 40,"Bajo",IF(Waiting_status!$G752 &gt;70,"High","Mid"))</f>
        <v>High</v>
      </c>
    </row>
    <row r="753" spans="1:8" x14ac:dyDescent="0.25">
      <c r="A753" s="31">
        <v>23</v>
      </c>
      <c r="B753" s="32" t="str">
        <f t="shared" si="11"/>
        <v>mid</v>
      </c>
      <c r="F753" s="29" t="s">
        <v>16</v>
      </c>
      <c r="G753" s="42">
        <v>97.1</v>
      </c>
      <c r="H753" s="41" t="str">
        <f>+IF(Waiting_status!$G753&lt;= 40,"Bajo",IF(Waiting_status!$G753 &gt;70,"High","Mid"))</f>
        <v>High</v>
      </c>
    </row>
    <row r="754" spans="1:8" x14ac:dyDescent="0.25">
      <c r="A754" s="38">
        <v>33</v>
      </c>
      <c r="B754" s="32" t="str">
        <f t="shared" si="11"/>
        <v>mid</v>
      </c>
      <c r="F754" s="28" t="s">
        <v>64</v>
      </c>
      <c r="G754" s="40">
        <v>74.099999999999994</v>
      </c>
      <c r="H754" s="41" t="str">
        <f>+IF(Waiting_status!$G754&lt;= 40,"Bajo",IF(Waiting_status!$G754 &gt;70,"High","Mid"))</f>
        <v>High</v>
      </c>
    </row>
    <row r="755" spans="1:8" x14ac:dyDescent="0.25">
      <c r="A755" s="31">
        <v>53</v>
      </c>
      <c r="B755" s="32" t="str">
        <f t="shared" si="11"/>
        <v>High</v>
      </c>
      <c r="F755" s="29" t="s">
        <v>95</v>
      </c>
      <c r="G755" s="42">
        <v>98.1</v>
      </c>
      <c r="H755" s="41" t="str">
        <f>+IF(Waiting_status!$G755&lt;= 40,"Bajo",IF(Waiting_status!$G755 &gt;70,"High","Mid"))</f>
        <v>High</v>
      </c>
    </row>
    <row r="756" spans="1:8" x14ac:dyDescent="0.25">
      <c r="A756" s="38">
        <v>12</v>
      </c>
      <c r="B756" s="32" t="str">
        <f t="shared" si="11"/>
        <v>Low</v>
      </c>
      <c r="F756" s="28" t="s">
        <v>16</v>
      </c>
      <c r="G756" s="40">
        <v>80.599999999999994</v>
      </c>
      <c r="H756" s="41" t="str">
        <f>+IF(Waiting_status!$G756&lt;= 40,"Bajo",IF(Waiting_status!$G756 &gt;70,"High","Mid"))</f>
        <v>High</v>
      </c>
    </row>
    <row r="757" spans="1:8" x14ac:dyDescent="0.25">
      <c r="A757" s="31">
        <v>59</v>
      </c>
      <c r="B757" s="32" t="str">
        <f t="shared" si="11"/>
        <v>High</v>
      </c>
      <c r="F757" s="29" t="s">
        <v>22</v>
      </c>
      <c r="G757" s="42">
        <v>67.7</v>
      </c>
      <c r="H757" s="41" t="str">
        <f>+IF(Waiting_status!$G757&lt;= 40,"Bajo",IF(Waiting_status!$G757 &gt;70,"High","Mid"))</f>
        <v>Mid</v>
      </c>
    </row>
    <row r="758" spans="1:8" x14ac:dyDescent="0.25">
      <c r="A758" s="38">
        <v>54</v>
      </c>
      <c r="B758" s="32" t="str">
        <f t="shared" si="11"/>
        <v>High</v>
      </c>
      <c r="F758" s="28" t="s">
        <v>56</v>
      </c>
      <c r="G758" s="40">
        <v>88.2</v>
      </c>
      <c r="H758" s="41" t="str">
        <f>+IF(Waiting_status!$G758&lt;= 40,"Bajo",IF(Waiting_status!$G758 &gt;70,"High","Mid"))</f>
        <v>High</v>
      </c>
    </row>
    <row r="759" spans="1:8" x14ac:dyDescent="0.25">
      <c r="A759" s="31">
        <v>53</v>
      </c>
      <c r="B759" s="32" t="str">
        <f t="shared" si="11"/>
        <v>High</v>
      </c>
      <c r="F759" s="29" t="s">
        <v>95</v>
      </c>
      <c r="G759" s="42">
        <v>94.1</v>
      </c>
      <c r="H759" s="41" t="str">
        <f>+IF(Waiting_status!$G759&lt;= 40,"Bajo",IF(Waiting_status!$G759 &gt;70,"High","Mid"))</f>
        <v>High</v>
      </c>
    </row>
    <row r="760" spans="1:8" x14ac:dyDescent="0.25">
      <c r="A760" s="38">
        <v>16</v>
      </c>
      <c r="B760" s="32" t="str">
        <f t="shared" si="11"/>
        <v>Low</v>
      </c>
      <c r="F760" s="28" t="s">
        <v>95</v>
      </c>
      <c r="G760" s="40">
        <v>61.8</v>
      </c>
      <c r="H760" s="41" t="str">
        <f>+IF(Waiting_status!$G760&lt;= 40,"Bajo",IF(Waiting_status!$G760 &gt;70,"High","Mid"))</f>
        <v>Mid</v>
      </c>
    </row>
    <row r="761" spans="1:8" x14ac:dyDescent="0.25">
      <c r="A761" s="31">
        <v>28</v>
      </c>
      <c r="B761" s="32" t="str">
        <f t="shared" si="11"/>
        <v>mid</v>
      </c>
      <c r="F761" s="29" t="s">
        <v>64</v>
      </c>
      <c r="G761" s="42">
        <v>75.5</v>
      </c>
      <c r="H761" s="41" t="str">
        <f>+IF(Waiting_status!$G761&lt;= 40,"Bajo",IF(Waiting_status!$G761 &gt;70,"High","Mid"))</f>
        <v>High</v>
      </c>
    </row>
    <row r="762" spans="1:8" x14ac:dyDescent="0.25">
      <c r="A762" s="38">
        <v>47</v>
      </c>
      <c r="B762" s="32" t="str">
        <f t="shared" si="11"/>
        <v>High</v>
      </c>
      <c r="F762" s="28" t="s">
        <v>22</v>
      </c>
      <c r="G762" s="40">
        <v>92.9</v>
      </c>
      <c r="H762" s="41" t="str">
        <f>+IF(Waiting_status!$G762&lt;= 40,"Bajo",IF(Waiting_status!$G762 &gt;70,"High","Mid"))</f>
        <v>High</v>
      </c>
    </row>
    <row r="763" spans="1:8" x14ac:dyDescent="0.25">
      <c r="A763" s="31">
        <v>25</v>
      </c>
      <c r="B763" s="32" t="str">
        <f t="shared" si="11"/>
        <v>mid</v>
      </c>
      <c r="F763" s="29" t="s">
        <v>22</v>
      </c>
      <c r="G763" s="42">
        <v>74.3</v>
      </c>
      <c r="H763" s="41" t="str">
        <f>+IF(Waiting_status!$G763&lt;= 40,"Bajo",IF(Waiting_status!$G763 &gt;70,"High","Mid"))</f>
        <v>High</v>
      </c>
    </row>
    <row r="764" spans="1:8" x14ac:dyDescent="0.25">
      <c r="A764" s="38">
        <v>12</v>
      </c>
      <c r="B764" s="32" t="str">
        <f t="shared" si="11"/>
        <v>Low</v>
      </c>
      <c r="F764" s="28" t="s">
        <v>41</v>
      </c>
      <c r="G764" s="40">
        <v>81.3</v>
      </c>
      <c r="H764" s="41" t="str">
        <f>+IF(Waiting_status!$G764&lt;= 40,"Bajo",IF(Waiting_status!$G764 &gt;70,"High","Mid"))</f>
        <v>High</v>
      </c>
    </row>
    <row r="765" spans="1:8" x14ac:dyDescent="0.25">
      <c r="A765" s="31">
        <v>11</v>
      </c>
      <c r="B765" s="32" t="str">
        <f t="shared" si="11"/>
        <v>Low</v>
      </c>
      <c r="F765" s="29" t="s">
        <v>31</v>
      </c>
      <c r="G765" s="42">
        <v>73.599999999999994</v>
      </c>
      <c r="H765" s="41" t="str">
        <f>+IF(Waiting_status!$G765&lt;= 40,"Bajo",IF(Waiting_status!$G765 &gt;70,"High","Mid"))</f>
        <v>High</v>
      </c>
    </row>
    <row r="766" spans="1:8" x14ac:dyDescent="0.25">
      <c r="A766" s="38">
        <v>30</v>
      </c>
      <c r="B766" s="32" t="str">
        <f t="shared" si="11"/>
        <v>mid</v>
      </c>
      <c r="F766" s="28" t="s">
        <v>56</v>
      </c>
      <c r="G766" s="40">
        <v>94.6</v>
      </c>
      <c r="H766" s="41" t="str">
        <f>+IF(Waiting_status!$G766&lt;= 40,"Bajo",IF(Waiting_status!$G766 &gt;70,"High","Mid"))</f>
        <v>High</v>
      </c>
    </row>
    <row r="767" spans="1:8" x14ac:dyDescent="0.25">
      <c r="A767" s="31">
        <v>58</v>
      </c>
      <c r="B767" s="32" t="str">
        <f t="shared" si="11"/>
        <v>High</v>
      </c>
      <c r="F767" s="29" t="s">
        <v>95</v>
      </c>
      <c r="G767" s="42">
        <v>89.3</v>
      </c>
      <c r="H767" s="41" t="str">
        <f>+IF(Waiting_status!$G767&lt;= 40,"Bajo",IF(Waiting_status!$G767 &gt;70,"High","Mid"))</f>
        <v>High</v>
      </c>
    </row>
    <row r="768" spans="1:8" x14ac:dyDescent="0.25">
      <c r="A768" s="38">
        <v>17</v>
      </c>
      <c r="B768" s="32" t="str">
        <f t="shared" si="11"/>
        <v>Low</v>
      </c>
      <c r="F768" s="28" t="s">
        <v>28</v>
      </c>
      <c r="G768" s="40">
        <v>96.1</v>
      </c>
      <c r="H768" s="41" t="str">
        <f>+IF(Waiting_status!$G768&lt;= 40,"Bajo",IF(Waiting_status!$G768 &gt;70,"High","Mid"))</f>
        <v>High</v>
      </c>
    </row>
    <row r="769" spans="1:8" x14ac:dyDescent="0.25">
      <c r="A769" s="31">
        <v>17</v>
      </c>
      <c r="B769" s="32" t="str">
        <f t="shared" si="11"/>
        <v>Low</v>
      </c>
      <c r="F769" s="29" t="s">
        <v>28</v>
      </c>
      <c r="G769" s="42">
        <v>65.900000000000006</v>
      </c>
      <c r="H769" s="41" t="str">
        <f>+IF(Waiting_status!$G769&lt;= 40,"Bajo",IF(Waiting_status!$G769 &gt;70,"High","Mid"))</f>
        <v>Mid</v>
      </c>
    </row>
    <row r="770" spans="1:8" x14ac:dyDescent="0.25">
      <c r="A770" s="38">
        <v>47</v>
      </c>
      <c r="B770" s="32" t="str">
        <f t="shared" si="11"/>
        <v>High</v>
      </c>
      <c r="F770" s="28" t="s">
        <v>56</v>
      </c>
      <c r="G770" s="40">
        <v>76</v>
      </c>
      <c r="H770" s="41" t="str">
        <f>+IF(Waiting_status!$G770&lt;= 40,"Bajo",IF(Waiting_status!$G770 &gt;70,"High","Mid"))</f>
        <v>High</v>
      </c>
    </row>
    <row r="771" spans="1:8" x14ac:dyDescent="0.25">
      <c r="A771" s="31">
        <v>16</v>
      </c>
      <c r="B771" s="32" t="str">
        <f t="shared" ref="B771:B834" si="12">+IF(A771&lt;= 20,"Low",IF(A771 &gt; 40,"High","mid"))</f>
        <v>Low</v>
      </c>
      <c r="F771" s="29" t="s">
        <v>41</v>
      </c>
      <c r="G771" s="42">
        <v>72.400000000000006</v>
      </c>
      <c r="H771" s="41" t="str">
        <f>+IF(Waiting_status!$G771&lt;= 40,"Bajo",IF(Waiting_status!$G771 &gt;70,"High","Mid"))</f>
        <v>High</v>
      </c>
    </row>
    <row r="772" spans="1:8" x14ac:dyDescent="0.25">
      <c r="A772" s="38">
        <v>36</v>
      </c>
      <c r="B772" s="32" t="str">
        <f t="shared" si="12"/>
        <v>mid</v>
      </c>
      <c r="F772" s="28" t="s">
        <v>95</v>
      </c>
      <c r="G772" s="40">
        <v>68.2</v>
      </c>
      <c r="H772" s="41" t="str">
        <f>+IF(Waiting_status!$G772&lt;= 40,"Bajo",IF(Waiting_status!$G772 &gt;70,"High","Mid"))</f>
        <v>Mid</v>
      </c>
    </row>
    <row r="773" spans="1:8" x14ac:dyDescent="0.25">
      <c r="A773" s="31">
        <v>56</v>
      </c>
      <c r="B773" s="32" t="str">
        <f t="shared" si="12"/>
        <v>High</v>
      </c>
      <c r="F773" s="29" t="s">
        <v>31</v>
      </c>
      <c r="G773" s="42">
        <v>73.8</v>
      </c>
      <c r="H773" s="41" t="str">
        <f>+IF(Waiting_status!$G773&lt;= 40,"Bajo",IF(Waiting_status!$G773 &gt;70,"High","Mid"))</f>
        <v>High</v>
      </c>
    </row>
    <row r="774" spans="1:8" x14ac:dyDescent="0.25">
      <c r="A774" s="38">
        <v>34</v>
      </c>
      <c r="B774" s="32" t="str">
        <f t="shared" si="12"/>
        <v>mid</v>
      </c>
      <c r="F774" s="28" t="s">
        <v>41</v>
      </c>
      <c r="G774" s="40">
        <v>79.8</v>
      </c>
      <c r="H774" s="41" t="str">
        <f>+IF(Waiting_status!$G774&lt;= 40,"Bajo",IF(Waiting_status!$G774 &gt;70,"High","Mid"))</f>
        <v>High</v>
      </c>
    </row>
    <row r="775" spans="1:8" x14ac:dyDescent="0.25">
      <c r="A775" s="31">
        <v>32</v>
      </c>
      <c r="B775" s="32" t="str">
        <f t="shared" si="12"/>
        <v>mid</v>
      </c>
      <c r="F775" s="29" t="s">
        <v>64</v>
      </c>
      <c r="G775" s="42">
        <v>77.599999999999994</v>
      </c>
      <c r="H775" s="41" t="str">
        <f>+IF(Waiting_status!$G775&lt;= 40,"Bajo",IF(Waiting_status!$G775 &gt;70,"High","Mid"))</f>
        <v>High</v>
      </c>
    </row>
    <row r="776" spans="1:8" x14ac:dyDescent="0.25">
      <c r="A776" s="38">
        <v>11</v>
      </c>
      <c r="B776" s="32" t="str">
        <f t="shared" si="12"/>
        <v>Low</v>
      </c>
      <c r="F776" s="28" t="s">
        <v>64</v>
      </c>
      <c r="G776" s="40">
        <v>68.900000000000006</v>
      </c>
      <c r="H776" s="41" t="str">
        <f>+IF(Waiting_status!$G776&lt;= 40,"Bajo",IF(Waiting_status!$G776 &gt;70,"High","Mid"))</f>
        <v>Mid</v>
      </c>
    </row>
    <row r="777" spans="1:8" x14ac:dyDescent="0.25">
      <c r="A777" s="31">
        <v>58</v>
      </c>
      <c r="B777" s="32" t="str">
        <f t="shared" si="12"/>
        <v>High</v>
      </c>
      <c r="F777" s="29" t="s">
        <v>95</v>
      </c>
      <c r="G777" s="42">
        <v>99.3</v>
      </c>
      <c r="H777" s="41" t="str">
        <f>+IF(Waiting_status!$G777&lt;= 40,"Bajo",IF(Waiting_status!$G777 &gt;70,"High","Mid"))</f>
        <v>High</v>
      </c>
    </row>
    <row r="778" spans="1:8" x14ac:dyDescent="0.25">
      <c r="A778" s="38">
        <v>24</v>
      </c>
      <c r="B778" s="32" t="str">
        <f t="shared" si="12"/>
        <v>mid</v>
      </c>
      <c r="F778" s="28" t="s">
        <v>64</v>
      </c>
      <c r="G778" s="40">
        <v>87.2</v>
      </c>
      <c r="H778" s="41" t="str">
        <f>+IF(Waiting_status!$G778&lt;= 40,"Bajo",IF(Waiting_status!$G778 &gt;70,"High","Mid"))</f>
        <v>High</v>
      </c>
    </row>
    <row r="779" spans="1:8" x14ac:dyDescent="0.25">
      <c r="A779" s="31">
        <v>56</v>
      </c>
      <c r="B779" s="32" t="str">
        <f t="shared" si="12"/>
        <v>High</v>
      </c>
      <c r="F779" s="29" t="s">
        <v>64</v>
      </c>
      <c r="G779" s="42">
        <v>86.9</v>
      </c>
      <c r="H779" s="41" t="str">
        <f>+IF(Waiting_status!$G779&lt;= 40,"Bajo",IF(Waiting_status!$G779 &gt;70,"High","Mid"))</f>
        <v>High</v>
      </c>
    </row>
    <row r="780" spans="1:8" x14ac:dyDescent="0.25">
      <c r="A780" s="38">
        <v>53</v>
      </c>
      <c r="B780" s="32" t="str">
        <f t="shared" si="12"/>
        <v>High</v>
      </c>
      <c r="F780" s="28" t="s">
        <v>16</v>
      </c>
      <c r="G780" s="40">
        <v>95.4</v>
      </c>
      <c r="H780" s="41" t="str">
        <f>+IF(Waiting_status!$G780&lt;= 40,"Bajo",IF(Waiting_status!$G780 &gt;70,"High","Mid"))</f>
        <v>High</v>
      </c>
    </row>
    <row r="781" spans="1:8" x14ac:dyDescent="0.25">
      <c r="A781" s="31">
        <v>51</v>
      </c>
      <c r="B781" s="32" t="str">
        <f t="shared" si="12"/>
        <v>High</v>
      </c>
      <c r="F781" s="29" t="s">
        <v>64</v>
      </c>
      <c r="G781" s="42">
        <v>69.099999999999994</v>
      </c>
      <c r="H781" s="41" t="str">
        <f>+IF(Waiting_status!$G781&lt;= 40,"Bajo",IF(Waiting_status!$G781 &gt;70,"High","Mid"))</f>
        <v>Mid</v>
      </c>
    </row>
    <row r="782" spans="1:8" x14ac:dyDescent="0.25">
      <c r="A782" s="38">
        <v>20</v>
      </c>
      <c r="B782" s="32" t="str">
        <f t="shared" si="12"/>
        <v>Low</v>
      </c>
      <c r="F782" s="28" t="s">
        <v>64</v>
      </c>
      <c r="G782" s="40">
        <v>60.3</v>
      </c>
      <c r="H782" s="41" t="str">
        <f>+IF(Waiting_status!$G782&lt;= 40,"Bajo",IF(Waiting_status!$G782 &gt;70,"High","Mid"))</f>
        <v>Mid</v>
      </c>
    </row>
    <row r="783" spans="1:8" x14ac:dyDescent="0.25">
      <c r="A783" s="31">
        <v>12</v>
      </c>
      <c r="B783" s="32" t="str">
        <f t="shared" si="12"/>
        <v>Low</v>
      </c>
      <c r="F783" s="29" t="s">
        <v>56</v>
      </c>
      <c r="G783" s="42">
        <v>87.5</v>
      </c>
      <c r="H783" s="41" t="str">
        <f>+IF(Waiting_status!$G783&lt;= 40,"Bajo",IF(Waiting_status!$G783 &gt;70,"High","Mid"))</f>
        <v>High</v>
      </c>
    </row>
    <row r="784" spans="1:8" x14ac:dyDescent="0.25">
      <c r="A784" s="38">
        <v>32</v>
      </c>
      <c r="B784" s="32" t="str">
        <f t="shared" si="12"/>
        <v>mid</v>
      </c>
      <c r="F784" s="28" t="s">
        <v>64</v>
      </c>
      <c r="G784" s="40">
        <v>69.8</v>
      </c>
      <c r="H784" s="41" t="str">
        <f>+IF(Waiting_status!$G784&lt;= 40,"Bajo",IF(Waiting_status!$G784 &gt;70,"High","Mid"))</f>
        <v>Mid</v>
      </c>
    </row>
    <row r="785" spans="1:8" x14ac:dyDescent="0.25">
      <c r="A785" s="31">
        <v>45</v>
      </c>
      <c r="B785" s="32" t="str">
        <f t="shared" si="12"/>
        <v>High</v>
      </c>
      <c r="F785" s="29" t="s">
        <v>56</v>
      </c>
      <c r="G785" s="42">
        <v>85.9</v>
      </c>
      <c r="H785" s="41" t="str">
        <f>+IF(Waiting_status!$G785&lt;= 40,"Bajo",IF(Waiting_status!$G785 &gt;70,"High","Mid"))</f>
        <v>High</v>
      </c>
    </row>
    <row r="786" spans="1:8" x14ac:dyDescent="0.25">
      <c r="A786" s="38">
        <v>39</v>
      </c>
      <c r="B786" s="32" t="str">
        <f t="shared" si="12"/>
        <v>mid</v>
      </c>
      <c r="F786" s="28" t="s">
        <v>28</v>
      </c>
      <c r="G786" s="40">
        <v>78.5</v>
      </c>
      <c r="H786" s="41" t="str">
        <f>+IF(Waiting_status!$G786&lt;= 40,"Bajo",IF(Waiting_status!$G786 &gt;70,"High","Mid"))</f>
        <v>High</v>
      </c>
    </row>
    <row r="787" spans="1:8" x14ac:dyDescent="0.25">
      <c r="A787" s="31">
        <v>57</v>
      </c>
      <c r="B787" s="32" t="str">
        <f t="shared" si="12"/>
        <v>High</v>
      </c>
      <c r="F787" s="29" t="s">
        <v>28</v>
      </c>
      <c r="G787" s="42">
        <v>60.6</v>
      </c>
      <c r="H787" s="41" t="str">
        <f>+IF(Waiting_status!$G787&lt;= 40,"Bajo",IF(Waiting_status!$G787 &gt;70,"High","Mid"))</f>
        <v>Mid</v>
      </c>
    </row>
    <row r="788" spans="1:8" x14ac:dyDescent="0.25">
      <c r="A788" s="38">
        <v>53</v>
      </c>
      <c r="B788" s="32" t="str">
        <f t="shared" si="12"/>
        <v>High</v>
      </c>
      <c r="F788" s="28" t="s">
        <v>16</v>
      </c>
      <c r="G788" s="40">
        <v>91.3</v>
      </c>
      <c r="H788" s="41" t="str">
        <f>+IF(Waiting_status!$G788&lt;= 40,"Bajo",IF(Waiting_status!$G788 &gt;70,"High","Mid"))</f>
        <v>High</v>
      </c>
    </row>
    <row r="789" spans="1:8" x14ac:dyDescent="0.25">
      <c r="A789" s="31">
        <v>29</v>
      </c>
      <c r="B789" s="32" t="str">
        <f t="shared" si="12"/>
        <v>mid</v>
      </c>
      <c r="F789" s="29" t="s">
        <v>48</v>
      </c>
      <c r="G789" s="42">
        <v>89.1</v>
      </c>
      <c r="H789" s="41" t="str">
        <f>+IF(Waiting_status!$G789&lt;= 40,"Bajo",IF(Waiting_status!$G789 &gt;70,"High","Mid"))</f>
        <v>High</v>
      </c>
    </row>
    <row r="790" spans="1:8" x14ac:dyDescent="0.25">
      <c r="A790" s="38">
        <v>25</v>
      </c>
      <c r="B790" s="32" t="str">
        <f t="shared" si="12"/>
        <v>mid</v>
      </c>
      <c r="F790" s="28" t="s">
        <v>95</v>
      </c>
      <c r="G790" s="40">
        <v>75.2</v>
      </c>
      <c r="H790" s="41" t="str">
        <f>+IF(Waiting_status!$G790&lt;= 40,"Bajo",IF(Waiting_status!$G790 &gt;70,"High","Mid"))</f>
        <v>High</v>
      </c>
    </row>
    <row r="791" spans="1:8" x14ac:dyDescent="0.25">
      <c r="A791" s="31">
        <v>52</v>
      </c>
      <c r="B791" s="32" t="str">
        <f t="shared" si="12"/>
        <v>High</v>
      </c>
      <c r="F791" s="29" t="s">
        <v>31</v>
      </c>
      <c r="G791" s="42">
        <v>72.900000000000006</v>
      </c>
      <c r="H791" s="41" t="str">
        <f>+IF(Waiting_status!$G791&lt;= 40,"Bajo",IF(Waiting_status!$G791 &gt;70,"High","Mid"))</f>
        <v>High</v>
      </c>
    </row>
    <row r="792" spans="1:8" x14ac:dyDescent="0.25">
      <c r="A792" s="38">
        <v>47</v>
      </c>
      <c r="B792" s="32" t="str">
        <f t="shared" si="12"/>
        <v>High</v>
      </c>
      <c r="F792" s="28" t="s">
        <v>16</v>
      </c>
      <c r="G792" s="40">
        <v>64.599999999999994</v>
      </c>
      <c r="H792" s="41" t="str">
        <f>+IF(Waiting_status!$G792&lt;= 40,"Bajo",IF(Waiting_status!$G792 &gt;70,"High","Mid"))</f>
        <v>Mid</v>
      </c>
    </row>
    <row r="793" spans="1:8" x14ac:dyDescent="0.25">
      <c r="A793" s="31">
        <v>32</v>
      </c>
      <c r="B793" s="32" t="str">
        <f t="shared" si="12"/>
        <v>mid</v>
      </c>
      <c r="F793" s="29" t="s">
        <v>22</v>
      </c>
      <c r="G793" s="42">
        <v>90.9</v>
      </c>
      <c r="H793" s="41" t="str">
        <f>+IF(Waiting_status!$G793&lt;= 40,"Bajo",IF(Waiting_status!$G793 &gt;70,"High","Mid"))</f>
        <v>High</v>
      </c>
    </row>
    <row r="794" spans="1:8" x14ac:dyDescent="0.25">
      <c r="A794" s="38">
        <v>46</v>
      </c>
      <c r="B794" s="32" t="str">
        <f t="shared" si="12"/>
        <v>High</v>
      </c>
      <c r="F794" s="28" t="s">
        <v>61</v>
      </c>
      <c r="G794" s="40">
        <v>60.5</v>
      </c>
      <c r="H794" s="41" t="str">
        <f>+IF(Waiting_status!$G794&lt;= 40,"Bajo",IF(Waiting_status!$G794 &gt;70,"High","Mid"))</f>
        <v>Mid</v>
      </c>
    </row>
    <row r="795" spans="1:8" x14ac:dyDescent="0.25">
      <c r="A795" s="31">
        <v>52</v>
      </c>
      <c r="B795" s="32" t="str">
        <f t="shared" si="12"/>
        <v>High</v>
      </c>
      <c r="F795" s="29" t="s">
        <v>61</v>
      </c>
      <c r="G795" s="42">
        <v>82.5</v>
      </c>
      <c r="H795" s="41" t="str">
        <f>+IF(Waiting_status!$G795&lt;= 40,"Bajo",IF(Waiting_status!$G795 &gt;70,"High","Mid"))</f>
        <v>High</v>
      </c>
    </row>
    <row r="796" spans="1:8" x14ac:dyDescent="0.25">
      <c r="A796" s="38">
        <v>19</v>
      </c>
      <c r="B796" s="32" t="str">
        <f t="shared" si="12"/>
        <v>Low</v>
      </c>
      <c r="F796" s="28" t="s">
        <v>56</v>
      </c>
      <c r="G796" s="40">
        <v>66.3</v>
      </c>
      <c r="H796" s="41" t="str">
        <f>+IF(Waiting_status!$G796&lt;= 40,"Bajo",IF(Waiting_status!$G796 &gt;70,"High","Mid"))</f>
        <v>Mid</v>
      </c>
    </row>
    <row r="797" spans="1:8" x14ac:dyDescent="0.25">
      <c r="A797" s="31">
        <v>20</v>
      </c>
      <c r="B797" s="32" t="str">
        <f t="shared" si="12"/>
        <v>Low</v>
      </c>
      <c r="F797" s="29" t="s">
        <v>31</v>
      </c>
      <c r="G797" s="42">
        <v>95.5</v>
      </c>
      <c r="H797" s="41" t="str">
        <f>+IF(Waiting_status!$G797&lt;= 40,"Bajo",IF(Waiting_status!$G797 &gt;70,"High","Mid"))</f>
        <v>High</v>
      </c>
    </row>
    <row r="798" spans="1:8" x14ac:dyDescent="0.25">
      <c r="A798" s="38">
        <v>35</v>
      </c>
      <c r="B798" s="32" t="str">
        <f t="shared" si="12"/>
        <v>mid</v>
      </c>
      <c r="F798" s="28" t="s">
        <v>41</v>
      </c>
      <c r="G798" s="40">
        <v>94.3</v>
      </c>
      <c r="H798" s="41" t="str">
        <f>+IF(Waiting_status!$G798&lt;= 40,"Bajo",IF(Waiting_status!$G798 &gt;70,"High","Mid"))</f>
        <v>High</v>
      </c>
    </row>
    <row r="799" spans="1:8" x14ac:dyDescent="0.25">
      <c r="A799" s="31">
        <v>38</v>
      </c>
      <c r="B799" s="32" t="str">
        <f t="shared" si="12"/>
        <v>mid</v>
      </c>
      <c r="F799" s="29" t="s">
        <v>22</v>
      </c>
      <c r="G799" s="42">
        <v>83.1</v>
      </c>
      <c r="H799" s="41" t="str">
        <f>+IF(Waiting_status!$G799&lt;= 40,"Bajo",IF(Waiting_status!$G799 &gt;70,"High","Mid"))</f>
        <v>High</v>
      </c>
    </row>
    <row r="800" spans="1:8" x14ac:dyDescent="0.25">
      <c r="A800" s="38">
        <v>24</v>
      </c>
      <c r="B800" s="32" t="str">
        <f t="shared" si="12"/>
        <v>mid</v>
      </c>
      <c r="F800" s="28" t="s">
        <v>22</v>
      </c>
      <c r="G800" s="40">
        <v>96.5</v>
      </c>
      <c r="H800" s="41" t="str">
        <f>+IF(Waiting_status!$G800&lt;= 40,"Bajo",IF(Waiting_status!$G800 &gt;70,"High","Mid"))</f>
        <v>High</v>
      </c>
    </row>
    <row r="801" spans="1:8" x14ac:dyDescent="0.25">
      <c r="A801" s="31">
        <v>44</v>
      </c>
      <c r="B801" s="32" t="str">
        <f t="shared" si="12"/>
        <v>High</v>
      </c>
      <c r="F801" s="29" t="s">
        <v>41</v>
      </c>
      <c r="G801" s="42">
        <v>66.599999999999994</v>
      </c>
      <c r="H801" s="41" t="str">
        <f>+IF(Waiting_status!$G801&lt;= 40,"Bajo",IF(Waiting_status!$G801 &gt;70,"High","Mid"))</f>
        <v>Mid</v>
      </c>
    </row>
    <row r="802" spans="1:8" x14ac:dyDescent="0.25">
      <c r="A802" s="38">
        <v>16</v>
      </c>
      <c r="B802" s="32" t="str">
        <f t="shared" si="12"/>
        <v>Low</v>
      </c>
      <c r="F802" s="28" t="s">
        <v>64</v>
      </c>
      <c r="G802" s="40">
        <v>86.8</v>
      </c>
      <c r="H802" s="41" t="str">
        <f>+IF(Waiting_status!$G802&lt;= 40,"Bajo",IF(Waiting_status!$G802 &gt;70,"High","Mid"))</f>
        <v>High</v>
      </c>
    </row>
    <row r="803" spans="1:8" x14ac:dyDescent="0.25">
      <c r="A803" s="31">
        <v>30</v>
      </c>
      <c r="B803" s="32" t="str">
        <f t="shared" si="12"/>
        <v>mid</v>
      </c>
      <c r="F803" s="29" t="s">
        <v>16</v>
      </c>
      <c r="G803" s="42">
        <v>84.3</v>
      </c>
      <c r="H803" s="41" t="str">
        <f>+IF(Waiting_status!$G803&lt;= 40,"Bajo",IF(Waiting_status!$G803 &gt;70,"High","Mid"))</f>
        <v>High</v>
      </c>
    </row>
    <row r="804" spans="1:8" x14ac:dyDescent="0.25">
      <c r="A804" s="38">
        <v>13</v>
      </c>
      <c r="B804" s="32" t="str">
        <f t="shared" si="12"/>
        <v>Low</v>
      </c>
      <c r="F804" s="28" t="s">
        <v>28</v>
      </c>
      <c r="G804" s="40">
        <v>65.099999999999994</v>
      </c>
      <c r="H804" s="41" t="str">
        <f>+IF(Waiting_status!$G804&lt;= 40,"Bajo",IF(Waiting_status!$G804 &gt;70,"High","Mid"))</f>
        <v>Mid</v>
      </c>
    </row>
    <row r="805" spans="1:8" x14ac:dyDescent="0.25">
      <c r="A805" s="31">
        <v>13</v>
      </c>
      <c r="B805" s="32" t="str">
        <f t="shared" si="12"/>
        <v>Low</v>
      </c>
      <c r="F805" s="29" t="s">
        <v>41</v>
      </c>
      <c r="G805" s="42">
        <v>67.5</v>
      </c>
      <c r="H805" s="41" t="str">
        <f>+IF(Waiting_status!$G805&lt;= 40,"Bajo",IF(Waiting_status!$G805 &gt;70,"High","Mid"))</f>
        <v>Mid</v>
      </c>
    </row>
    <row r="806" spans="1:8" x14ac:dyDescent="0.25">
      <c r="A806" s="38">
        <v>25</v>
      </c>
      <c r="B806" s="32" t="str">
        <f t="shared" si="12"/>
        <v>mid</v>
      </c>
      <c r="F806" s="28" t="s">
        <v>48</v>
      </c>
      <c r="G806" s="40">
        <v>71.400000000000006</v>
      </c>
      <c r="H806" s="41" t="str">
        <f>+IF(Waiting_status!$G806&lt;= 40,"Bajo",IF(Waiting_status!$G806 &gt;70,"High","Mid"))</f>
        <v>High</v>
      </c>
    </row>
    <row r="807" spans="1:8" x14ac:dyDescent="0.25">
      <c r="A807" s="31">
        <v>20</v>
      </c>
      <c r="B807" s="32" t="str">
        <f t="shared" si="12"/>
        <v>Low</v>
      </c>
      <c r="F807" s="29" t="s">
        <v>64</v>
      </c>
      <c r="G807" s="42">
        <v>61.7</v>
      </c>
      <c r="H807" s="41" t="str">
        <f>+IF(Waiting_status!$G807&lt;= 40,"Bajo",IF(Waiting_status!$G807 &gt;70,"High","Mid"))</f>
        <v>Mid</v>
      </c>
    </row>
    <row r="808" spans="1:8" x14ac:dyDescent="0.25">
      <c r="A808" s="38">
        <v>48</v>
      </c>
      <c r="B808" s="32" t="str">
        <f t="shared" si="12"/>
        <v>High</v>
      </c>
      <c r="F808" s="28" t="s">
        <v>64</v>
      </c>
      <c r="G808" s="40">
        <v>76</v>
      </c>
      <c r="H808" s="41" t="str">
        <f>+IF(Waiting_status!$G808&lt;= 40,"Bajo",IF(Waiting_status!$G808 &gt;70,"High","Mid"))</f>
        <v>High</v>
      </c>
    </row>
    <row r="809" spans="1:8" x14ac:dyDescent="0.25">
      <c r="A809" s="31">
        <v>11</v>
      </c>
      <c r="B809" s="32" t="str">
        <f t="shared" si="12"/>
        <v>Low</v>
      </c>
      <c r="F809" s="29" t="s">
        <v>28</v>
      </c>
      <c r="G809" s="42">
        <v>76.5</v>
      </c>
      <c r="H809" s="41" t="str">
        <f>+IF(Waiting_status!$G809&lt;= 40,"Bajo",IF(Waiting_status!$G809 &gt;70,"High","Mid"))</f>
        <v>High</v>
      </c>
    </row>
    <row r="810" spans="1:8" x14ac:dyDescent="0.25">
      <c r="A810" s="38">
        <v>17</v>
      </c>
      <c r="B810" s="32" t="str">
        <f t="shared" si="12"/>
        <v>Low</v>
      </c>
      <c r="F810" s="28" t="s">
        <v>28</v>
      </c>
      <c r="G810" s="40">
        <v>94.9</v>
      </c>
      <c r="H810" s="41" t="str">
        <f>+IF(Waiting_status!$G810&lt;= 40,"Bajo",IF(Waiting_status!$G810 &gt;70,"High","Mid"))</f>
        <v>High</v>
      </c>
    </row>
    <row r="811" spans="1:8" x14ac:dyDescent="0.25">
      <c r="A811" s="31">
        <v>46</v>
      </c>
      <c r="B811" s="32" t="str">
        <f t="shared" si="12"/>
        <v>High</v>
      </c>
      <c r="F811" s="29" t="s">
        <v>22</v>
      </c>
      <c r="G811" s="42">
        <v>70.7</v>
      </c>
      <c r="H811" s="41" t="str">
        <f>+IF(Waiting_status!$G811&lt;= 40,"Bajo",IF(Waiting_status!$G811 &gt;70,"High","Mid"))</f>
        <v>High</v>
      </c>
    </row>
    <row r="812" spans="1:8" x14ac:dyDescent="0.25">
      <c r="A812" s="38">
        <v>10</v>
      </c>
      <c r="B812" s="32" t="str">
        <f t="shared" si="12"/>
        <v>Low</v>
      </c>
      <c r="F812" s="28" t="s">
        <v>56</v>
      </c>
      <c r="G812" s="40">
        <v>77.3</v>
      </c>
      <c r="H812" s="41" t="str">
        <f>+IF(Waiting_status!$G812&lt;= 40,"Bajo",IF(Waiting_status!$G812 &gt;70,"High","Mid"))</f>
        <v>High</v>
      </c>
    </row>
    <row r="813" spans="1:8" x14ac:dyDescent="0.25">
      <c r="A813" s="31">
        <v>52</v>
      </c>
      <c r="B813" s="32" t="str">
        <f t="shared" si="12"/>
        <v>High</v>
      </c>
      <c r="F813" s="29" t="s">
        <v>31</v>
      </c>
      <c r="G813" s="42">
        <v>88</v>
      </c>
      <c r="H813" s="41" t="str">
        <f>+IF(Waiting_status!$G813&lt;= 40,"Bajo",IF(Waiting_status!$G813 &gt;70,"High","Mid"))</f>
        <v>High</v>
      </c>
    </row>
    <row r="814" spans="1:8" x14ac:dyDescent="0.25">
      <c r="A814" s="38">
        <v>19</v>
      </c>
      <c r="B814" s="32" t="str">
        <f t="shared" si="12"/>
        <v>Low</v>
      </c>
      <c r="F814" s="28" t="s">
        <v>48</v>
      </c>
      <c r="G814" s="40">
        <v>83.5</v>
      </c>
      <c r="H814" s="41" t="str">
        <f>+IF(Waiting_status!$G814&lt;= 40,"Bajo",IF(Waiting_status!$G814 &gt;70,"High","Mid"))</f>
        <v>High</v>
      </c>
    </row>
    <row r="815" spans="1:8" x14ac:dyDescent="0.25">
      <c r="A815" s="31">
        <v>51</v>
      </c>
      <c r="B815" s="32" t="str">
        <f t="shared" si="12"/>
        <v>High</v>
      </c>
      <c r="F815" s="29" t="s">
        <v>56</v>
      </c>
      <c r="G815" s="42">
        <v>86.3</v>
      </c>
      <c r="H815" s="41" t="str">
        <f>+IF(Waiting_status!$G815&lt;= 40,"Bajo",IF(Waiting_status!$G815 &gt;70,"High","Mid"))</f>
        <v>High</v>
      </c>
    </row>
    <row r="816" spans="1:8" x14ac:dyDescent="0.25">
      <c r="A816" s="38">
        <v>50</v>
      </c>
      <c r="B816" s="32" t="str">
        <f t="shared" si="12"/>
        <v>High</v>
      </c>
      <c r="F816" s="28" t="s">
        <v>28</v>
      </c>
      <c r="G816" s="40">
        <v>80.099999999999994</v>
      </c>
      <c r="H816" s="41" t="str">
        <f>+IF(Waiting_status!$G816&lt;= 40,"Bajo",IF(Waiting_status!$G816 &gt;70,"High","Mid"))</f>
        <v>High</v>
      </c>
    </row>
    <row r="817" spans="1:8" x14ac:dyDescent="0.25">
      <c r="A817" s="31">
        <v>17</v>
      </c>
      <c r="B817" s="32" t="str">
        <f t="shared" si="12"/>
        <v>Low</v>
      </c>
      <c r="F817" s="29" t="s">
        <v>31</v>
      </c>
      <c r="G817" s="42">
        <v>63.4</v>
      </c>
      <c r="H817" s="41" t="str">
        <f>+IF(Waiting_status!$G817&lt;= 40,"Bajo",IF(Waiting_status!$G817 &gt;70,"High","Mid"))</f>
        <v>Mid</v>
      </c>
    </row>
    <row r="818" spans="1:8" x14ac:dyDescent="0.25">
      <c r="A818" s="38">
        <v>39</v>
      </c>
      <c r="B818" s="32" t="str">
        <f t="shared" si="12"/>
        <v>mid</v>
      </c>
      <c r="F818" s="28" t="s">
        <v>28</v>
      </c>
      <c r="G818" s="40">
        <v>82.7</v>
      </c>
      <c r="H818" s="41" t="str">
        <f>+IF(Waiting_status!$G818&lt;= 40,"Bajo",IF(Waiting_status!$G818 &gt;70,"High","Mid"))</f>
        <v>High</v>
      </c>
    </row>
    <row r="819" spans="1:8" x14ac:dyDescent="0.25">
      <c r="A819" s="31">
        <v>54</v>
      </c>
      <c r="B819" s="32" t="str">
        <f t="shared" si="12"/>
        <v>High</v>
      </c>
      <c r="F819" s="29" t="s">
        <v>61</v>
      </c>
      <c r="G819" s="42">
        <v>89.8</v>
      </c>
      <c r="H819" s="41" t="str">
        <f>+IF(Waiting_status!$G819&lt;= 40,"Bajo",IF(Waiting_status!$G819 &gt;70,"High","Mid"))</f>
        <v>High</v>
      </c>
    </row>
    <row r="820" spans="1:8" x14ac:dyDescent="0.25">
      <c r="A820" s="38">
        <v>42</v>
      </c>
      <c r="B820" s="32" t="str">
        <f t="shared" si="12"/>
        <v>High</v>
      </c>
      <c r="F820" s="28" t="s">
        <v>95</v>
      </c>
      <c r="G820" s="40">
        <v>77.7</v>
      </c>
      <c r="H820" s="41" t="str">
        <f>+IF(Waiting_status!$G820&lt;= 40,"Bajo",IF(Waiting_status!$G820 &gt;70,"High","Mid"))</f>
        <v>High</v>
      </c>
    </row>
    <row r="821" spans="1:8" x14ac:dyDescent="0.25">
      <c r="A821" s="31">
        <v>54</v>
      </c>
      <c r="B821" s="32" t="str">
        <f t="shared" si="12"/>
        <v>High</v>
      </c>
      <c r="F821" s="29" t="s">
        <v>22</v>
      </c>
      <c r="G821" s="42">
        <v>71.900000000000006</v>
      </c>
      <c r="H821" s="41" t="str">
        <f>+IF(Waiting_status!$G821&lt;= 40,"Bajo",IF(Waiting_status!$G821 &gt;70,"High","Mid"))</f>
        <v>High</v>
      </c>
    </row>
    <row r="822" spans="1:8" x14ac:dyDescent="0.25">
      <c r="A822" s="38">
        <v>43</v>
      </c>
      <c r="B822" s="32" t="str">
        <f t="shared" si="12"/>
        <v>High</v>
      </c>
      <c r="F822" s="28" t="s">
        <v>56</v>
      </c>
      <c r="G822" s="40">
        <v>60.7</v>
      </c>
      <c r="H822" s="41" t="str">
        <f>+IF(Waiting_status!$G822&lt;= 40,"Bajo",IF(Waiting_status!$G822 &gt;70,"High","Mid"))</f>
        <v>Mid</v>
      </c>
    </row>
    <row r="823" spans="1:8" x14ac:dyDescent="0.25">
      <c r="A823" s="31">
        <v>28</v>
      </c>
      <c r="B823" s="32" t="str">
        <f t="shared" si="12"/>
        <v>mid</v>
      </c>
      <c r="F823" s="29" t="s">
        <v>16</v>
      </c>
      <c r="G823" s="42">
        <v>63.8</v>
      </c>
      <c r="H823" s="41" t="str">
        <f>+IF(Waiting_status!$G823&lt;= 40,"Bajo",IF(Waiting_status!$G823 &gt;70,"High","Mid"))</f>
        <v>Mid</v>
      </c>
    </row>
    <row r="824" spans="1:8" x14ac:dyDescent="0.25">
      <c r="A824" s="38">
        <v>41</v>
      </c>
      <c r="B824" s="32" t="str">
        <f t="shared" si="12"/>
        <v>High</v>
      </c>
      <c r="F824" s="28" t="s">
        <v>56</v>
      </c>
      <c r="G824" s="40">
        <v>67.099999999999994</v>
      </c>
      <c r="H824" s="41" t="str">
        <f>+IF(Waiting_status!$G824&lt;= 40,"Bajo",IF(Waiting_status!$G824 &gt;70,"High","Mid"))</f>
        <v>Mid</v>
      </c>
    </row>
    <row r="825" spans="1:8" x14ac:dyDescent="0.25">
      <c r="A825" s="31">
        <v>15</v>
      </c>
      <c r="B825" s="32" t="str">
        <f t="shared" si="12"/>
        <v>Low</v>
      </c>
      <c r="F825" s="29" t="s">
        <v>56</v>
      </c>
      <c r="G825" s="42">
        <v>75</v>
      </c>
      <c r="H825" s="41" t="str">
        <f>+IF(Waiting_status!$G825&lt;= 40,"Bajo",IF(Waiting_status!$G825 &gt;70,"High","Mid"))</f>
        <v>High</v>
      </c>
    </row>
    <row r="826" spans="1:8" x14ac:dyDescent="0.25">
      <c r="A826" s="38">
        <v>55</v>
      </c>
      <c r="B826" s="32" t="str">
        <f t="shared" si="12"/>
        <v>High</v>
      </c>
      <c r="F826" s="28" t="s">
        <v>61</v>
      </c>
      <c r="G826" s="40">
        <v>79.5</v>
      </c>
      <c r="H826" s="41" t="str">
        <f>+IF(Waiting_status!$G826&lt;= 40,"Bajo",IF(Waiting_status!$G826 &gt;70,"High","Mid"))</f>
        <v>High</v>
      </c>
    </row>
    <row r="827" spans="1:8" x14ac:dyDescent="0.25">
      <c r="A827" s="31">
        <v>37</v>
      </c>
      <c r="B827" s="32" t="str">
        <f t="shared" si="12"/>
        <v>mid</v>
      </c>
      <c r="F827" s="29" t="s">
        <v>64</v>
      </c>
      <c r="G827" s="42">
        <v>69.900000000000006</v>
      </c>
      <c r="H827" s="41" t="str">
        <f>+IF(Waiting_status!$G827&lt;= 40,"Bajo",IF(Waiting_status!$G827 &gt;70,"High","Mid"))</f>
        <v>Mid</v>
      </c>
    </row>
    <row r="828" spans="1:8" x14ac:dyDescent="0.25">
      <c r="A828" s="38">
        <v>43</v>
      </c>
      <c r="B828" s="32" t="str">
        <f t="shared" si="12"/>
        <v>High</v>
      </c>
      <c r="F828" s="28" t="s">
        <v>64</v>
      </c>
      <c r="G828" s="40">
        <v>86.4</v>
      </c>
      <c r="H828" s="41" t="str">
        <f>+IF(Waiting_status!$G828&lt;= 40,"Bajo",IF(Waiting_status!$G828 &gt;70,"High","Mid"))</f>
        <v>High</v>
      </c>
    </row>
    <row r="829" spans="1:8" x14ac:dyDescent="0.25">
      <c r="A829" s="31">
        <v>19</v>
      </c>
      <c r="B829" s="32" t="str">
        <f t="shared" si="12"/>
        <v>Low</v>
      </c>
      <c r="F829" s="29" t="s">
        <v>56</v>
      </c>
      <c r="G829" s="42">
        <v>97.3</v>
      </c>
      <c r="H829" s="41" t="str">
        <f>+IF(Waiting_status!$G829&lt;= 40,"Bajo",IF(Waiting_status!$G829 &gt;70,"High","Mid"))</f>
        <v>High</v>
      </c>
    </row>
    <row r="830" spans="1:8" x14ac:dyDescent="0.25">
      <c r="A830" s="38">
        <v>41</v>
      </c>
      <c r="B830" s="32" t="str">
        <f t="shared" si="12"/>
        <v>High</v>
      </c>
      <c r="F830" s="28" t="s">
        <v>16</v>
      </c>
      <c r="G830" s="40">
        <v>99.3</v>
      </c>
      <c r="H830" s="41" t="str">
        <f>+IF(Waiting_status!$G830&lt;= 40,"Bajo",IF(Waiting_status!$G830 &gt;70,"High","Mid"))</f>
        <v>High</v>
      </c>
    </row>
    <row r="831" spans="1:8" x14ac:dyDescent="0.25">
      <c r="A831" s="31">
        <v>39</v>
      </c>
      <c r="B831" s="32" t="str">
        <f t="shared" si="12"/>
        <v>mid</v>
      </c>
      <c r="F831" s="29" t="s">
        <v>48</v>
      </c>
      <c r="G831" s="42">
        <v>71.5</v>
      </c>
      <c r="H831" s="41" t="str">
        <f>+IF(Waiting_status!$G831&lt;= 40,"Bajo",IF(Waiting_status!$G831 &gt;70,"High","Mid"))</f>
        <v>High</v>
      </c>
    </row>
    <row r="832" spans="1:8" x14ac:dyDescent="0.25">
      <c r="A832" s="38">
        <v>24</v>
      </c>
      <c r="B832" s="32" t="str">
        <f t="shared" si="12"/>
        <v>mid</v>
      </c>
      <c r="F832" s="28" t="s">
        <v>64</v>
      </c>
      <c r="G832" s="40">
        <v>64.400000000000006</v>
      </c>
      <c r="H832" s="41" t="str">
        <f>+IF(Waiting_status!$G832&lt;= 40,"Bajo",IF(Waiting_status!$G832 &gt;70,"High","Mid"))</f>
        <v>Mid</v>
      </c>
    </row>
    <row r="833" spans="1:8" x14ac:dyDescent="0.25">
      <c r="A833" s="31">
        <v>13</v>
      </c>
      <c r="B833" s="32" t="str">
        <f t="shared" si="12"/>
        <v>Low</v>
      </c>
      <c r="F833" s="29" t="s">
        <v>48</v>
      </c>
      <c r="G833" s="42">
        <v>78.7</v>
      </c>
      <c r="H833" s="41" t="str">
        <f>+IF(Waiting_status!$G833&lt;= 40,"Bajo",IF(Waiting_status!$G833 &gt;70,"High","Mid"))</f>
        <v>High</v>
      </c>
    </row>
    <row r="834" spans="1:8" x14ac:dyDescent="0.25">
      <c r="A834" s="38">
        <v>22</v>
      </c>
      <c r="B834" s="32" t="str">
        <f t="shared" si="12"/>
        <v>mid</v>
      </c>
      <c r="F834" s="28" t="s">
        <v>95</v>
      </c>
      <c r="G834" s="40">
        <v>89.3</v>
      </c>
      <c r="H834" s="41" t="str">
        <f>+IF(Waiting_status!$G834&lt;= 40,"Bajo",IF(Waiting_status!$G834 &gt;70,"High","Mid"))</f>
        <v>High</v>
      </c>
    </row>
    <row r="835" spans="1:8" x14ac:dyDescent="0.25">
      <c r="A835" s="31">
        <v>28</v>
      </c>
      <c r="B835" s="32" t="str">
        <f t="shared" ref="B835:B898" si="13">+IF(A835&lt;= 20,"Low",IF(A835 &gt; 40,"High","mid"))</f>
        <v>mid</v>
      </c>
      <c r="F835" s="29" t="s">
        <v>28</v>
      </c>
      <c r="G835" s="42">
        <v>74.3</v>
      </c>
      <c r="H835" s="41" t="str">
        <f>+IF(Waiting_status!$G835&lt;= 40,"Bajo",IF(Waiting_status!$G835 &gt;70,"High","Mid"))</f>
        <v>High</v>
      </c>
    </row>
    <row r="836" spans="1:8" x14ac:dyDescent="0.25">
      <c r="A836" s="38">
        <v>23</v>
      </c>
      <c r="B836" s="32" t="str">
        <f t="shared" si="13"/>
        <v>mid</v>
      </c>
      <c r="F836" s="28" t="s">
        <v>56</v>
      </c>
      <c r="G836" s="40">
        <v>80.599999999999994</v>
      </c>
      <c r="H836" s="41" t="str">
        <f>+IF(Waiting_status!$G836&lt;= 40,"Bajo",IF(Waiting_status!$G836 &gt;70,"High","Mid"))</f>
        <v>High</v>
      </c>
    </row>
    <row r="837" spans="1:8" x14ac:dyDescent="0.25">
      <c r="A837" s="31">
        <v>45</v>
      </c>
      <c r="B837" s="32" t="str">
        <f t="shared" si="13"/>
        <v>High</v>
      </c>
      <c r="F837" s="29" t="s">
        <v>56</v>
      </c>
      <c r="G837" s="42">
        <v>70.2</v>
      </c>
      <c r="H837" s="41" t="str">
        <f>+IF(Waiting_status!$G837&lt;= 40,"Bajo",IF(Waiting_status!$G837 &gt;70,"High","Mid"))</f>
        <v>High</v>
      </c>
    </row>
    <row r="838" spans="1:8" x14ac:dyDescent="0.25">
      <c r="A838" s="38">
        <v>31</v>
      </c>
      <c r="B838" s="32" t="str">
        <f t="shared" si="13"/>
        <v>mid</v>
      </c>
      <c r="F838" s="28" t="s">
        <v>28</v>
      </c>
      <c r="G838" s="40">
        <v>89</v>
      </c>
      <c r="H838" s="41" t="str">
        <f>+IF(Waiting_status!$G838&lt;= 40,"Bajo",IF(Waiting_status!$G838 &gt;70,"High","Mid"))</f>
        <v>High</v>
      </c>
    </row>
    <row r="839" spans="1:8" x14ac:dyDescent="0.25">
      <c r="A839" s="31">
        <v>27</v>
      </c>
      <c r="B839" s="32" t="str">
        <f t="shared" si="13"/>
        <v>mid</v>
      </c>
      <c r="F839" s="29" t="s">
        <v>16</v>
      </c>
      <c r="G839" s="42">
        <v>87.6</v>
      </c>
      <c r="H839" s="41" t="str">
        <f>+IF(Waiting_status!$G839&lt;= 40,"Bajo",IF(Waiting_status!$G839 &gt;70,"High","Mid"))</f>
        <v>High</v>
      </c>
    </row>
    <row r="840" spans="1:8" x14ac:dyDescent="0.25">
      <c r="A840" s="38">
        <v>34</v>
      </c>
      <c r="B840" s="32" t="str">
        <f t="shared" si="13"/>
        <v>mid</v>
      </c>
      <c r="F840" s="28" t="s">
        <v>95</v>
      </c>
      <c r="G840" s="40">
        <v>98.2</v>
      </c>
      <c r="H840" s="41" t="str">
        <f>+IF(Waiting_status!$G840&lt;= 40,"Bajo",IF(Waiting_status!$G840 &gt;70,"High","Mid"))</f>
        <v>High</v>
      </c>
    </row>
    <row r="841" spans="1:8" x14ac:dyDescent="0.25">
      <c r="A841" s="31">
        <v>45</v>
      </c>
      <c r="B841" s="32" t="str">
        <f t="shared" si="13"/>
        <v>High</v>
      </c>
      <c r="F841" s="29" t="s">
        <v>31</v>
      </c>
      <c r="G841" s="42">
        <v>66.8</v>
      </c>
      <c r="H841" s="41" t="str">
        <f>+IF(Waiting_status!$G841&lt;= 40,"Bajo",IF(Waiting_status!$G841 &gt;70,"High","Mid"))</f>
        <v>Mid</v>
      </c>
    </row>
    <row r="842" spans="1:8" x14ac:dyDescent="0.25">
      <c r="A842" s="38">
        <v>38</v>
      </c>
      <c r="B842" s="32" t="str">
        <f t="shared" si="13"/>
        <v>mid</v>
      </c>
      <c r="F842" s="28" t="s">
        <v>41</v>
      </c>
      <c r="G842" s="40">
        <v>64</v>
      </c>
      <c r="H842" s="41" t="str">
        <f>+IF(Waiting_status!$G842&lt;= 40,"Bajo",IF(Waiting_status!$G842 &gt;70,"High","Mid"))</f>
        <v>Mid</v>
      </c>
    </row>
    <row r="843" spans="1:8" x14ac:dyDescent="0.25">
      <c r="A843" s="31">
        <v>32</v>
      </c>
      <c r="B843" s="32" t="str">
        <f t="shared" si="13"/>
        <v>mid</v>
      </c>
      <c r="F843" s="29" t="s">
        <v>22</v>
      </c>
      <c r="G843" s="42">
        <v>94.9</v>
      </c>
      <c r="H843" s="41" t="str">
        <f>+IF(Waiting_status!$G843&lt;= 40,"Bajo",IF(Waiting_status!$G843 &gt;70,"High","Mid"))</f>
        <v>High</v>
      </c>
    </row>
    <row r="844" spans="1:8" x14ac:dyDescent="0.25">
      <c r="A844" s="38">
        <v>18</v>
      </c>
      <c r="B844" s="32" t="str">
        <f t="shared" si="13"/>
        <v>Low</v>
      </c>
      <c r="F844" s="28" t="s">
        <v>95</v>
      </c>
      <c r="G844" s="40">
        <v>67</v>
      </c>
      <c r="H844" s="41" t="str">
        <f>+IF(Waiting_status!$G844&lt;= 40,"Bajo",IF(Waiting_status!$G844 &gt;70,"High","Mid"))</f>
        <v>Mid</v>
      </c>
    </row>
    <row r="845" spans="1:8" x14ac:dyDescent="0.25">
      <c r="A845" s="31">
        <v>35</v>
      </c>
      <c r="B845" s="32" t="str">
        <f t="shared" si="13"/>
        <v>mid</v>
      </c>
      <c r="F845" s="29" t="s">
        <v>22</v>
      </c>
      <c r="G845" s="42">
        <v>72.3</v>
      </c>
      <c r="H845" s="41" t="str">
        <f>+IF(Waiting_status!$G845&lt;= 40,"Bajo",IF(Waiting_status!$G845 &gt;70,"High","Mid"))</f>
        <v>High</v>
      </c>
    </row>
    <row r="846" spans="1:8" x14ac:dyDescent="0.25">
      <c r="A846" s="38">
        <v>34</v>
      </c>
      <c r="B846" s="32" t="str">
        <f t="shared" si="13"/>
        <v>mid</v>
      </c>
      <c r="F846" s="28" t="s">
        <v>28</v>
      </c>
      <c r="G846" s="40">
        <v>79.400000000000006</v>
      </c>
      <c r="H846" s="41" t="str">
        <f>+IF(Waiting_status!$G846&lt;= 40,"Bajo",IF(Waiting_status!$G846 &gt;70,"High","Mid"))</f>
        <v>High</v>
      </c>
    </row>
    <row r="847" spans="1:8" x14ac:dyDescent="0.25">
      <c r="A847" s="31">
        <v>26</v>
      </c>
      <c r="B847" s="32" t="str">
        <f t="shared" si="13"/>
        <v>mid</v>
      </c>
      <c r="F847" s="29" t="s">
        <v>64</v>
      </c>
      <c r="G847" s="42">
        <v>64.599999999999994</v>
      </c>
      <c r="H847" s="41" t="str">
        <f>+IF(Waiting_status!$G847&lt;= 40,"Bajo",IF(Waiting_status!$G847 &gt;70,"High","Mid"))</f>
        <v>Mid</v>
      </c>
    </row>
    <row r="848" spans="1:8" x14ac:dyDescent="0.25">
      <c r="A848" s="38">
        <v>19</v>
      </c>
      <c r="B848" s="32" t="str">
        <f t="shared" si="13"/>
        <v>Low</v>
      </c>
      <c r="F848" s="28" t="s">
        <v>95</v>
      </c>
      <c r="G848" s="40">
        <v>71.599999999999994</v>
      </c>
      <c r="H848" s="41" t="str">
        <f>+IF(Waiting_status!$G848&lt;= 40,"Bajo",IF(Waiting_status!$G848 &gt;70,"High","Mid"))</f>
        <v>High</v>
      </c>
    </row>
    <row r="849" spans="1:8" x14ac:dyDescent="0.25">
      <c r="A849" s="31">
        <v>29</v>
      </c>
      <c r="B849" s="32" t="str">
        <f t="shared" si="13"/>
        <v>mid</v>
      </c>
      <c r="F849" s="29" t="s">
        <v>48</v>
      </c>
      <c r="G849" s="42">
        <v>95.1</v>
      </c>
      <c r="H849" s="41" t="str">
        <f>+IF(Waiting_status!$G849&lt;= 40,"Bajo",IF(Waiting_status!$G849 &gt;70,"High","Mid"))</f>
        <v>High</v>
      </c>
    </row>
    <row r="850" spans="1:8" x14ac:dyDescent="0.25">
      <c r="A850" s="38">
        <v>55</v>
      </c>
      <c r="B850" s="32" t="str">
        <f t="shared" si="13"/>
        <v>High</v>
      </c>
      <c r="F850" s="28" t="s">
        <v>22</v>
      </c>
      <c r="G850" s="40">
        <v>68.400000000000006</v>
      </c>
      <c r="H850" s="41" t="str">
        <f>+IF(Waiting_status!$G850&lt;= 40,"Bajo",IF(Waiting_status!$G850 &gt;70,"High","Mid"))</f>
        <v>Mid</v>
      </c>
    </row>
    <row r="851" spans="1:8" x14ac:dyDescent="0.25">
      <c r="A851" s="31">
        <v>60</v>
      </c>
      <c r="B851" s="32" t="str">
        <f t="shared" si="13"/>
        <v>High</v>
      </c>
      <c r="F851" s="29" t="s">
        <v>31</v>
      </c>
      <c r="G851" s="42">
        <v>61</v>
      </c>
      <c r="H851" s="41" t="str">
        <f>+IF(Waiting_status!$G851&lt;= 40,"Bajo",IF(Waiting_status!$G851 &gt;70,"High","Mid"))</f>
        <v>Mid</v>
      </c>
    </row>
    <row r="852" spans="1:8" x14ac:dyDescent="0.25">
      <c r="A852" s="38">
        <v>38</v>
      </c>
      <c r="B852" s="32" t="str">
        <f t="shared" si="13"/>
        <v>mid</v>
      </c>
      <c r="F852" s="28" t="s">
        <v>95</v>
      </c>
      <c r="G852" s="40">
        <v>73.7</v>
      </c>
      <c r="H852" s="41" t="str">
        <f>+IF(Waiting_status!$G852&lt;= 40,"Bajo",IF(Waiting_status!$G852 &gt;70,"High","Mid"))</f>
        <v>High</v>
      </c>
    </row>
    <row r="853" spans="1:8" x14ac:dyDescent="0.25">
      <c r="A853" s="31">
        <v>24</v>
      </c>
      <c r="B853" s="32" t="str">
        <f t="shared" si="13"/>
        <v>mid</v>
      </c>
      <c r="F853" s="29" t="s">
        <v>95</v>
      </c>
      <c r="G853" s="42">
        <v>72.8</v>
      </c>
      <c r="H853" s="41" t="str">
        <f>+IF(Waiting_status!$G853&lt;= 40,"Bajo",IF(Waiting_status!$G853 &gt;70,"High","Mid"))</f>
        <v>High</v>
      </c>
    </row>
    <row r="854" spans="1:8" x14ac:dyDescent="0.25">
      <c r="A854" s="38">
        <v>52</v>
      </c>
      <c r="B854" s="32" t="str">
        <f t="shared" si="13"/>
        <v>High</v>
      </c>
      <c r="F854" s="28" t="s">
        <v>28</v>
      </c>
      <c r="G854" s="40">
        <v>70.099999999999994</v>
      </c>
      <c r="H854" s="41" t="str">
        <f>+IF(Waiting_status!$G854&lt;= 40,"Bajo",IF(Waiting_status!$G854 &gt;70,"High","Mid"))</f>
        <v>High</v>
      </c>
    </row>
    <row r="855" spans="1:8" x14ac:dyDescent="0.25">
      <c r="A855" s="31">
        <v>50</v>
      </c>
      <c r="B855" s="32" t="str">
        <f t="shared" si="13"/>
        <v>High</v>
      </c>
      <c r="F855" s="29" t="s">
        <v>28</v>
      </c>
      <c r="G855" s="42">
        <v>68.099999999999994</v>
      </c>
      <c r="H855" s="41" t="str">
        <f>+IF(Waiting_status!$G855&lt;= 40,"Bajo",IF(Waiting_status!$G855 &gt;70,"High","Mid"))</f>
        <v>Mid</v>
      </c>
    </row>
    <row r="856" spans="1:8" x14ac:dyDescent="0.25">
      <c r="A856" s="38">
        <v>18</v>
      </c>
      <c r="B856" s="32" t="str">
        <f t="shared" si="13"/>
        <v>Low</v>
      </c>
      <c r="F856" s="28" t="s">
        <v>28</v>
      </c>
      <c r="G856" s="40">
        <v>97.3</v>
      </c>
      <c r="H856" s="41" t="str">
        <f>+IF(Waiting_status!$G856&lt;= 40,"Bajo",IF(Waiting_status!$G856 &gt;70,"High","Mid"))</f>
        <v>High</v>
      </c>
    </row>
    <row r="857" spans="1:8" x14ac:dyDescent="0.25">
      <c r="A857" s="31">
        <v>29</v>
      </c>
      <c r="B857" s="32" t="str">
        <f t="shared" si="13"/>
        <v>mid</v>
      </c>
      <c r="F857" s="29" t="s">
        <v>61</v>
      </c>
      <c r="G857" s="42">
        <v>68.099999999999994</v>
      </c>
      <c r="H857" s="41" t="str">
        <f>+IF(Waiting_status!$G857&lt;= 40,"Bajo",IF(Waiting_status!$G857 &gt;70,"High","Mid"))</f>
        <v>Mid</v>
      </c>
    </row>
    <row r="858" spans="1:8" x14ac:dyDescent="0.25">
      <c r="A858" s="38">
        <v>29</v>
      </c>
      <c r="B858" s="32" t="str">
        <f t="shared" si="13"/>
        <v>mid</v>
      </c>
      <c r="F858" s="28" t="s">
        <v>22</v>
      </c>
      <c r="G858" s="40">
        <v>64.099999999999994</v>
      </c>
      <c r="H858" s="41" t="str">
        <f>+IF(Waiting_status!$G858&lt;= 40,"Bajo",IF(Waiting_status!$G858 &gt;70,"High","Mid"))</f>
        <v>Mid</v>
      </c>
    </row>
    <row r="859" spans="1:8" x14ac:dyDescent="0.25">
      <c r="A859" s="31">
        <v>45</v>
      </c>
      <c r="B859" s="32" t="str">
        <f t="shared" si="13"/>
        <v>High</v>
      </c>
      <c r="F859" s="29" t="s">
        <v>28</v>
      </c>
      <c r="G859" s="42">
        <v>96.1</v>
      </c>
      <c r="H859" s="41" t="str">
        <f>+IF(Waiting_status!$G859&lt;= 40,"Bajo",IF(Waiting_status!$G859 &gt;70,"High","Mid"))</f>
        <v>High</v>
      </c>
    </row>
    <row r="860" spans="1:8" x14ac:dyDescent="0.25">
      <c r="A860" s="38">
        <v>52</v>
      </c>
      <c r="B860" s="32" t="str">
        <f t="shared" si="13"/>
        <v>High</v>
      </c>
      <c r="F860" s="28" t="s">
        <v>41</v>
      </c>
      <c r="G860" s="40">
        <v>93.1</v>
      </c>
      <c r="H860" s="41" t="str">
        <f>+IF(Waiting_status!$G860&lt;= 40,"Bajo",IF(Waiting_status!$G860 &gt;70,"High","Mid"))</f>
        <v>High</v>
      </c>
    </row>
    <row r="861" spans="1:8" x14ac:dyDescent="0.25">
      <c r="A861" s="31">
        <v>23</v>
      </c>
      <c r="B861" s="32" t="str">
        <f t="shared" si="13"/>
        <v>mid</v>
      </c>
      <c r="F861" s="29" t="s">
        <v>22</v>
      </c>
      <c r="G861" s="42">
        <v>74.7</v>
      </c>
      <c r="H861" s="41" t="str">
        <f>+IF(Waiting_status!$G861&lt;= 40,"Bajo",IF(Waiting_status!$G861 &gt;70,"High","Mid"))</f>
        <v>High</v>
      </c>
    </row>
    <row r="862" spans="1:8" x14ac:dyDescent="0.25">
      <c r="A862" s="38">
        <v>27</v>
      </c>
      <c r="B862" s="32" t="str">
        <f t="shared" si="13"/>
        <v>mid</v>
      </c>
      <c r="F862" s="28" t="s">
        <v>16</v>
      </c>
      <c r="G862" s="40">
        <v>87.8</v>
      </c>
      <c r="H862" s="41" t="str">
        <f>+IF(Waiting_status!$G862&lt;= 40,"Bajo",IF(Waiting_status!$G862 &gt;70,"High","Mid"))</f>
        <v>High</v>
      </c>
    </row>
    <row r="863" spans="1:8" x14ac:dyDescent="0.25">
      <c r="A863" s="31">
        <v>58</v>
      </c>
      <c r="B863" s="32" t="str">
        <f t="shared" si="13"/>
        <v>High</v>
      </c>
      <c r="F863" s="29" t="s">
        <v>41</v>
      </c>
      <c r="G863" s="42">
        <v>81.400000000000006</v>
      </c>
      <c r="H863" s="41" t="str">
        <f>+IF(Waiting_status!$G863&lt;= 40,"Bajo",IF(Waiting_status!$G863 &gt;70,"High","Mid"))</f>
        <v>High</v>
      </c>
    </row>
    <row r="864" spans="1:8" x14ac:dyDescent="0.25">
      <c r="A864" s="38">
        <v>34</v>
      </c>
      <c r="B864" s="32" t="str">
        <f t="shared" si="13"/>
        <v>mid</v>
      </c>
      <c r="F864" s="28" t="s">
        <v>28</v>
      </c>
      <c r="G864" s="40">
        <v>87.9</v>
      </c>
      <c r="H864" s="41" t="str">
        <f>+IF(Waiting_status!$G864&lt;= 40,"Bajo",IF(Waiting_status!$G864 &gt;70,"High","Mid"))</f>
        <v>High</v>
      </c>
    </row>
    <row r="865" spans="1:8" x14ac:dyDescent="0.25">
      <c r="A865" s="31">
        <v>60</v>
      </c>
      <c r="B865" s="32" t="str">
        <f t="shared" si="13"/>
        <v>High</v>
      </c>
      <c r="F865" s="29" t="s">
        <v>48</v>
      </c>
      <c r="G865" s="42">
        <v>62.4</v>
      </c>
      <c r="H865" s="41" t="str">
        <f>+IF(Waiting_status!$G865&lt;= 40,"Bajo",IF(Waiting_status!$G865 &gt;70,"High","Mid"))</f>
        <v>Mid</v>
      </c>
    </row>
    <row r="866" spans="1:8" x14ac:dyDescent="0.25">
      <c r="A866" s="38">
        <v>18</v>
      </c>
      <c r="B866" s="32" t="str">
        <f t="shared" si="13"/>
        <v>Low</v>
      </c>
      <c r="F866" s="28" t="s">
        <v>56</v>
      </c>
      <c r="G866" s="40">
        <v>95.8</v>
      </c>
      <c r="H866" s="41" t="str">
        <f>+IF(Waiting_status!$G866&lt;= 40,"Bajo",IF(Waiting_status!$G866 &gt;70,"High","Mid"))</f>
        <v>High</v>
      </c>
    </row>
    <row r="867" spans="1:8" x14ac:dyDescent="0.25">
      <c r="A867" s="31">
        <v>35</v>
      </c>
      <c r="B867" s="32" t="str">
        <f t="shared" si="13"/>
        <v>mid</v>
      </c>
      <c r="F867" s="29" t="s">
        <v>22</v>
      </c>
      <c r="G867" s="42">
        <v>63.9</v>
      </c>
      <c r="H867" s="41" t="str">
        <f>+IF(Waiting_status!$G867&lt;= 40,"Bajo",IF(Waiting_status!$G867 &gt;70,"High","Mid"))</f>
        <v>Mid</v>
      </c>
    </row>
    <row r="868" spans="1:8" x14ac:dyDescent="0.25">
      <c r="A868" s="38">
        <v>48</v>
      </c>
      <c r="B868" s="32" t="str">
        <f t="shared" si="13"/>
        <v>High</v>
      </c>
      <c r="F868" s="28" t="s">
        <v>61</v>
      </c>
      <c r="G868" s="40">
        <v>75.3</v>
      </c>
      <c r="H868" s="41" t="str">
        <f>+IF(Waiting_status!$G868&lt;= 40,"Bajo",IF(Waiting_status!$G868 &gt;70,"High","Mid"))</f>
        <v>High</v>
      </c>
    </row>
    <row r="869" spans="1:8" x14ac:dyDescent="0.25">
      <c r="A869" s="31">
        <v>24</v>
      </c>
      <c r="B869" s="32" t="str">
        <f t="shared" si="13"/>
        <v>mid</v>
      </c>
      <c r="F869" s="29" t="s">
        <v>28</v>
      </c>
      <c r="G869" s="42">
        <v>72.5</v>
      </c>
      <c r="H869" s="41" t="str">
        <f>+IF(Waiting_status!$G869&lt;= 40,"Bajo",IF(Waiting_status!$G869 &gt;70,"High","Mid"))</f>
        <v>High</v>
      </c>
    </row>
    <row r="870" spans="1:8" x14ac:dyDescent="0.25">
      <c r="A870" s="38">
        <v>39</v>
      </c>
      <c r="B870" s="32" t="str">
        <f t="shared" si="13"/>
        <v>mid</v>
      </c>
      <c r="F870" s="28" t="s">
        <v>48</v>
      </c>
      <c r="G870" s="40">
        <v>97.8</v>
      </c>
      <c r="H870" s="41" t="str">
        <f>+IF(Waiting_status!$G870&lt;= 40,"Bajo",IF(Waiting_status!$G870 &gt;70,"High","Mid"))</f>
        <v>High</v>
      </c>
    </row>
    <row r="871" spans="1:8" x14ac:dyDescent="0.25">
      <c r="A871" s="31">
        <v>30</v>
      </c>
      <c r="B871" s="32" t="str">
        <f t="shared" si="13"/>
        <v>mid</v>
      </c>
      <c r="F871" s="29" t="s">
        <v>22</v>
      </c>
      <c r="G871" s="42">
        <v>90.5</v>
      </c>
      <c r="H871" s="41" t="str">
        <f>+IF(Waiting_status!$G871&lt;= 40,"Bajo",IF(Waiting_status!$G871 &gt;70,"High","Mid"))</f>
        <v>High</v>
      </c>
    </row>
    <row r="872" spans="1:8" x14ac:dyDescent="0.25">
      <c r="A872" s="38">
        <v>39</v>
      </c>
      <c r="B872" s="32" t="str">
        <f t="shared" si="13"/>
        <v>mid</v>
      </c>
      <c r="F872" s="28" t="s">
        <v>48</v>
      </c>
      <c r="G872" s="40">
        <v>88</v>
      </c>
      <c r="H872" s="41" t="str">
        <f>+IF(Waiting_status!$G872&lt;= 40,"Bajo",IF(Waiting_status!$G872 &gt;70,"High","Mid"))</f>
        <v>High</v>
      </c>
    </row>
    <row r="873" spans="1:8" x14ac:dyDescent="0.25">
      <c r="A873" s="31">
        <v>13</v>
      </c>
      <c r="B873" s="32" t="str">
        <f t="shared" si="13"/>
        <v>Low</v>
      </c>
      <c r="F873" s="29" t="s">
        <v>16</v>
      </c>
      <c r="G873" s="42">
        <v>87.3</v>
      </c>
      <c r="H873" s="41" t="str">
        <f>+IF(Waiting_status!$G873&lt;= 40,"Bajo",IF(Waiting_status!$G873 &gt;70,"High","Mid"))</f>
        <v>High</v>
      </c>
    </row>
    <row r="874" spans="1:8" x14ac:dyDescent="0.25">
      <c r="A874" s="38">
        <v>51</v>
      </c>
      <c r="B874" s="32" t="str">
        <f t="shared" si="13"/>
        <v>High</v>
      </c>
      <c r="F874" s="28" t="s">
        <v>16</v>
      </c>
      <c r="G874" s="40">
        <v>75.5</v>
      </c>
      <c r="H874" s="41" t="str">
        <f>+IF(Waiting_status!$G874&lt;= 40,"Bajo",IF(Waiting_status!$G874 &gt;70,"High","Mid"))</f>
        <v>High</v>
      </c>
    </row>
    <row r="875" spans="1:8" x14ac:dyDescent="0.25">
      <c r="A875" s="31">
        <v>60</v>
      </c>
      <c r="B875" s="32" t="str">
        <f t="shared" si="13"/>
        <v>High</v>
      </c>
      <c r="F875" s="29" t="s">
        <v>31</v>
      </c>
      <c r="G875" s="42">
        <v>77.2</v>
      </c>
      <c r="H875" s="41" t="str">
        <f>+IF(Waiting_status!$G875&lt;= 40,"Bajo",IF(Waiting_status!$G875 &gt;70,"High","Mid"))</f>
        <v>High</v>
      </c>
    </row>
    <row r="876" spans="1:8" x14ac:dyDescent="0.25">
      <c r="A876" s="38">
        <v>44</v>
      </c>
      <c r="B876" s="32" t="str">
        <f t="shared" si="13"/>
        <v>High</v>
      </c>
      <c r="F876" s="28" t="s">
        <v>61</v>
      </c>
      <c r="G876" s="40">
        <v>91.8</v>
      </c>
      <c r="H876" s="41" t="str">
        <f>+IF(Waiting_status!$G876&lt;= 40,"Bajo",IF(Waiting_status!$G876 &gt;70,"High","Mid"))</f>
        <v>High</v>
      </c>
    </row>
    <row r="877" spans="1:8" x14ac:dyDescent="0.25">
      <c r="A877" s="31">
        <v>55</v>
      </c>
      <c r="B877" s="32" t="str">
        <f t="shared" si="13"/>
        <v>High</v>
      </c>
      <c r="F877" s="29" t="s">
        <v>95</v>
      </c>
      <c r="G877" s="42">
        <v>96.6</v>
      </c>
      <c r="H877" s="41" t="str">
        <f>+IF(Waiting_status!$G877&lt;= 40,"Bajo",IF(Waiting_status!$G877 &gt;70,"High","Mid"))</f>
        <v>High</v>
      </c>
    </row>
    <row r="878" spans="1:8" x14ac:dyDescent="0.25">
      <c r="A878" s="38">
        <v>50</v>
      </c>
      <c r="B878" s="32" t="str">
        <f t="shared" si="13"/>
        <v>High</v>
      </c>
      <c r="F878" s="28" t="s">
        <v>16</v>
      </c>
      <c r="G878" s="40">
        <v>95.8</v>
      </c>
      <c r="H878" s="41" t="str">
        <f>+IF(Waiting_status!$G878&lt;= 40,"Bajo",IF(Waiting_status!$G878 &gt;70,"High","Mid"))</f>
        <v>High</v>
      </c>
    </row>
    <row r="879" spans="1:8" x14ac:dyDescent="0.25">
      <c r="A879" s="31">
        <v>34</v>
      </c>
      <c r="B879" s="32" t="str">
        <f t="shared" si="13"/>
        <v>mid</v>
      </c>
      <c r="F879" s="29" t="s">
        <v>95</v>
      </c>
      <c r="G879" s="42">
        <v>72.2</v>
      </c>
      <c r="H879" s="41" t="str">
        <f>+IF(Waiting_status!$G879&lt;= 40,"Bajo",IF(Waiting_status!$G879 &gt;70,"High","Mid"))</f>
        <v>High</v>
      </c>
    </row>
    <row r="880" spans="1:8" x14ac:dyDescent="0.25">
      <c r="A880" s="38">
        <v>22</v>
      </c>
      <c r="B880" s="32" t="str">
        <f t="shared" si="13"/>
        <v>mid</v>
      </c>
      <c r="F880" s="28" t="s">
        <v>28</v>
      </c>
      <c r="G880" s="40">
        <v>89.3</v>
      </c>
      <c r="H880" s="41" t="str">
        <f>+IF(Waiting_status!$G880&lt;= 40,"Bajo",IF(Waiting_status!$G880 &gt;70,"High","Mid"))</f>
        <v>High</v>
      </c>
    </row>
    <row r="881" spans="1:8" x14ac:dyDescent="0.25">
      <c r="A881" s="31">
        <v>55</v>
      </c>
      <c r="B881" s="32" t="str">
        <f t="shared" si="13"/>
        <v>High</v>
      </c>
      <c r="F881" s="29" t="s">
        <v>64</v>
      </c>
      <c r="G881" s="42">
        <v>83.2</v>
      </c>
      <c r="H881" s="41" t="str">
        <f>+IF(Waiting_status!$G881&lt;= 40,"Bajo",IF(Waiting_status!$G881 &gt;70,"High","Mid"))</f>
        <v>High</v>
      </c>
    </row>
    <row r="882" spans="1:8" x14ac:dyDescent="0.25">
      <c r="A882" s="38">
        <v>54</v>
      </c>
      <c r="B882" s="32" t="str">
        <f t="shared" si="13"/>
        <v>High</v>
      </c>
      <c r="F882" s="28" t="s">
        <v>64</v>
      </c>
      <c r="G882" s="40">
        <v>97.3</v>
      </c>
      <c r="H882" s="41" t="str">
        <f>+IF(Waiting_status!$G882&lt;= 40,"Bajo",IF(Waiting_status!$G882 &gt;70,"High","Mid"))</f>
        <v>High</v>
      </c>
    </row>
    <row r="883" spans="1:8" x14ac:dyDescent="0.25">
      <c r="A883" s="31">
        <v>36</v>
      </c>
      <c r="B883" s="32" t="str">
        <f t="shared" si="13"/>
        <v>mid</v>
      </c>
      <c r="F883" s="29" t="s">
        <v>41</v>
      </c>
      <c r="G883" s="42">
        <v>82.9</v>
      </c>
      <c r="H883" s="41" t="str">
        <f>+IF(Waiting_status!$G883&lt;= 40,"Bajo",IF(Waiting_status!$G883 &gt;70,"High","Mid"))</f>
        <v>High</v>
      </c>
    </row>
    <row r="884" spans="1:8" x14ac:dyDescent="0.25">
      <c r="A884" s="38">
        <v>45</v>
      </c>
      <c r="B884" s="32" t="str">
        <f t="shared" si="13"/>
        <v>High</v>
      </c>
      <c r="F884" s="28" t="s">
        <v>16</v>
      </c>
      <c r="G884" s="40">
        <v>94.3</v>
      </c>
      <c r="H884" s="41" t="str">
        <f>+IF(Waiting_status!$G884&lt;= 40,"Bajo",IF(Waiting_status!$G884 &gt;70,"High","Mid"))</f>
        <v>High</v>
      </c>
    </row>
    <row r="885" spans="1:8" x14ac:dyDescent="0.25">
      <c r="A885" s="31">
        <v>19</v>
      </c>
      <c r="B885" s="32" t="str">
        <f t="shared" si="13"/>
        <v>Low</v>
      </c>
      <c r="F885" s="29" t="s">
        <v>22</v>
      </c>
      <c r="G885" s="42">
        <v>74</v>
      </c>
      <c r="H885" s="41" t="str">
        <f>+IF(Waiting_status!$G885&lt;= 40,"Bajo",IF(Waiting_status!$G885 &gt;70,"High","Mid"))</f>
        <v>High</v>
      </c>
    </row>
    <row r="886" spans="1:8" x14ac:dyDescent="0.25">
      <c r="A886" s="38">
        <v>26</v>
      </c>
      <c r="B886" s="32" t="str">
        <f t="shared" si="13"/>
        <v>mid</v>
      </c>
      <c r="F886" s="28" t="s">
        <v>41</v>
      </c>
      <c r="G886" s="40">
        <v>77.099999999999994</v>
      </c>
      <c r="H886" s="41" t="str">
        <f>+IF(Waiting_status!$G886&lt;= 40,"Bajo",IF(Waiting_status!$G886 &gt;70,"High","Mid"))</f>
        <v>High</v>
      </c>
    </row>
    <row r="887" spans="1:8" x14ac:dyDescent="0.25">
      <c r="A887" s="31">
        <v>45</v>
      </c>
      <c r="B887" s="32" t="str">
        <f t="shared" si="13"/>
        <v>High</v>
      </c>
      <c r="F887" s="29" t="s">
        <v>16</v>
      </c>
      <c r="G887" s="42">
        <v>76.7</v>
      </c>
      <c r="H887" s="41" t="str">
        <f>+IF(Waiting_status!$G887&lt;= 40,"Bajo",IF(Waiting_status!$G887 &gt;70,"High","Mid"))</f>
        <v>High</v>
      </c>
    </row>
    <row r="888" spans="1:8" x14ac:dyDescent="0.25">
      <c r="A888" s="38">
        <v>27</v>
      </c>
      <c r="B888" s="32" t="str">
        <f t="shared" si="13"/>
        <v>mid</v>
      </c>
      <c r="F888" s="28" t="s">
        <v>64</v>
      </c>
      <c r="G888" s="40">
        <v>77</v>
      </c>
      <c r="H888" s="41" t="str">
        <f>+IF(Waiting_status!$G888&lt;= 40,"Bajo",IF(Waiting_status!$G888 &gt;70,"High","Mid"))</f>
        <v>High</v>
      </c>
    </row>
    <row r="889" spans="1:8" x14ac:dyDescent="0.25">
      <c r="A889" s="31">
        <v>50</v>
      </c>
      <c r="B889" s="32" t="str">
        <f t="shared" si="13"/>
        <v>High</v>
      </c>
      <c r="F889" s="29" t="s">
        <v>16</v>
      </c>
      <c r="G889" s="42">
        <v>88.3</v>
      </c>
      <c r="H889" s="41" t="str">
        <f>+IF(Waiting_status!$G889&lt;= 40,"Bajo",IF(Waiting_status!$G889 &gt;70,"High","Mid"))</f>
        <v>High</v>
      </c>
    </row>
    <row r="890" spans="1:8" x14ac:dyDescent="0.25">
      <c r="A890" s="38">
        <v>18</v>
      </c>
      <c r="B890" s="32" t="str">
        <f t="shared" si="13"/>
        <v>Low</v>
      </c>
      <c r="F890" s="28" t="s">
        <v>31</v>
      </c>
      <c r="G890" s="40">
        <v>71.2</v>
      </c>
      <c r="H890" s="41" t="str">
        <f>+IF(Waiting_status!$G890&lt;= 40,"Bajo",IF(Waiting_status!$G890 &gt;70,"High","Mid"))</f>
        <v>High</v>
      </c>
    </row>
    <row r="891" spans="1:8" x14ac:dyDescent="0.25">
      <c r="A891" s="31">
        <v>14</v>
      </c>
      <c r="B891" s="32" t="str">
        <f t="shared" si="13"/>
        <v>Low</v>
      </c>
      <c r="F891" s="29" t="s">
        <v>95</v>
      </c>
      <c r="G891" s="42">
        <v>72.900000000000006</v>
      </c>
      <c r="H891" s="41" t="str">
        <f>+IF(Waiting_status!$G891&lt;= 40,"Bajo",IF(Waiting_status!$G891 &gt;70,"High","Mid"))</f>
        <v>High</v>
      </c>
    </row>
    <row r="892" spans="1:8" x14ac:dyDescent="0.25">
      <c r="A892" s="38">
        <v>50</v>
      </c>
      <c r="B892" s="32" t="str">
        <f t="shared" si="13"/>
        <v>High</v>
      </c>
      <c r="F892" s="28" t="s">
        <v>22</v>
      </c>
      <c r="G892" s="40">
        <v>83.4</v>
      </c>
      <c r="H892" s="41" t="str">
        <f>+IF(Waiting_status!$G892&lt;= 40,"Bajo",IF(Waiting_status!$G892 &gt;70,"High","Mid"))</f>
        <v>High</v>
      </c>
    </row>
    <row r="893" spans="1:8" x14ac:dyDescent="0.25">
      <c r="A893" s="31">
        <v>23</v>
      </c>
      <c r="B893" s="32" t="str">
        <f t="shared" si="13"/>
        <v>mid</v>
      </c>
      <c r="F893" s="29" t="s">
        <v>56</v>
      </c>
      <c r="G893" s="42">
        <v>71.7</v>
      </c>
      <c r="H893" s="41" t="str">
        <f>+IF(Waiting_status!$G893&lt;= 40,"Bajo",IF(Waiting_status!$G893 &gt;70,"High","Mid"))</f>
        <v>High</v>
      </c>
    </row>
    <row r="894" spans="1:8" x14ac:dyDescent="0.25">
      <c r="A894" s="38">
        <v>35</v>
      </c>
      <c r="B894" s="32" t="str">
        <f t="shared" si="13"/>
        <v>mid</v>
      </c>
      <c r="F894" s="28" t="s">
        <v>31</v>
      </c>
      <c r="G894" s="40">
        <v>70.8</v>
      </c>
      <c r="H894" s="41" t="str">
        <f>+IF(Waiting_status!$G894&lt;= 40,"Bajo",IF(Waiting_status!$G894 &gt;70,"High","Mid"))</f>
        <v>High</v>
      </c>
    </row>
    <row r="895" spans="1:8" x14ac:dyDescent="0.25">
      <c r="A895" s="31">
        <v>60</v>
      </c>
      <c r="B895" s="32" t="str">
        <f t="shared" si="13"/>
        <v>High</v>
      </c>
      <c r="F895" s="29" t="s">
        <v>16</v>
      </c>
      <c r="G895" s="42">
        <v>87.6</v>
      </c>
      <c r="H895" s="41" t="str">
        <f>+IF(Waiting_status!$G895&lt;= 40,"Bajo",IF(Waiting_status!$G895 &gt;70,"High","Mid"))</f>
        <v>High</v>
      </c>
    </row>
    <row r="896" spans="1:8" x14ac:dyDescent="0.25">
      <c r="A896" s="38">
        <v>11</v>
      </c>
      <c r="B896" s="32" t="str">
        <f t="shared" si="13"/>
        <v>Low</v>
      </c>
      <c r="F896" s="28" t="s">
        <v>41</v>
      </c>
      <c r="G896" s="40">
        <v>84.9</v>
      </c>
      <c r="H896" s="41" t="str">
        <f>+IF(Waiting_status!$G896&lt;= 40,"Bajo",IF(Waiting_status!$G896 &gt;70,"High","Mid"))</f>
        <v>High</v>
      </c>
    </row>
    <row r="897" spans="1:8" x14ac:dyDescent="0.25">
      <c r="A897" s="31">
        <v>50</v>
      </c>
      <c r="B897" s="32" t="str">
        <f t="shared" si="13"/>
        <v>High</v>
      </c>
      <c r="F897" s="29" t="s">
        <v>41</v>
      </c>
      <c r="G897" s="42">
        <v>87.6</v>
      </c>
      <c r="H897" s="41" t="str">
        <f>+IF(Waiting_status!$G897&lt;= 40,"Bajo",IF(Waiting_status!$G897 &gt;70,"High","Mid"))</f>
        <v>High</v>
      </c>
    </row>
    <row r="898" spans="1:8" x14ac:dyDescent="0.25">
      <c r="A898" s="38">
        <v>50</v>
      </c>
      <c r="B898" s="32" t="str">
        <f t="shared" si="13"/>
        <v>High</v>
      </c>
      <c r="F898" s="28" t="s">
        <v>22</v>
      </c>
      <c r="G898" s="40">
        <v>99.3</v>
      </c>
      <c r="H898" s="41" t="str">
        <f>+IF(Waiting_status!$G898&lt;= 40,"Bajo",IF(Waiting_status!$G898 &gt;70,"High","Mid"))</f>
        <v>High</v>
      </c>
    </row>
    <row r="899" spans="1:8" x14ac:dyDescent="0.25">
      <c r="A899" s="31">
        <v>14</v>
      </c>
      <c r="B899" s="32" t="str">
        <f t="shared" ref="B899:B962" si="14">+IF(A899&lt;= 20,"Low",IF(A899 &gt; 40,"High","mid"))</f>
        <v>Low</v>
      </c>
      <c r="F899" s="29" t="s">
        <v>61</v>
      </c>
      <c r="G899" s="42">
        <v>91.9</v>
      </c>
      <c r="H899" s="41" t="str">
        <f>+IF(Waiting_status!$G899&lt;= 40,"Bajo",IF(Waiting_status!$G899 &gt;70,"High","Mid"))</f>
        <v>High</v>
      </c>
    </row>
    <row r="900" spans="1:8" x14ac:dyDescent="0.25">
      <c r="A900" s="38">
        <v>12</v>
      </c>
      <c r="B900" s="32" t="str">
        <f t="shared" si="14"/>
        <v>Low</v>
      </c>
      <c r="F900" s="28" t="s">
        <v>95</v>
      </c>
      <c r="G900" s="40">
        <v>77.400000000000006</v>
      </c>
      <c r="H900" s="41" t="str">
        <f>+IF(Waiting_status!$G900&lt;= 40,"Bajo",IF(Waiting_status!$G900 &gt;70,"High","Mid"))</f>
        <v>High</v>
      </c>
    </row>
    <row r="901" spans="1:8" x14ac:dyDescent="0.25">
      <c r="A901" s="31">
        <v>48</v>
      </c>
      <c r="B901" s="32" t="str">
        <f t="shared" si="14"/>
        <v>High</v>
      </c>
      <c r="F901" s="29" t="s">
        <v>16</v>
      </c>
      <c r="G901" s="42">
        <v>95.5</v>
      </c>
      <c r="H901" s="41" t="str">
        <f>+IF(Waiting_status!$G901&lt;= 40,"Bajo",IF(Waiting_status!$G901 &gt;70,"High","Mid"))</f>
        <v>High</v>
      </c>
    </row>
    <row r="902" spans="1:8" x14ac:dyDescent="0.25">
      <c r="A902" s="38">
        <v>18</v>
      </c>
      <c r="B902" s="32" t="str">
        <f t="shared" si="14"/>
        <v>Low</v>
      </c>
      <c r="F902" s="28" t="s">
        <v>28</v>
      </c>
      <c r="G902" s="40">
        <v>73.7</v>
      </c>
      <c r="H902" s="41" t="str">
        <f>+IF(Waiting_status!$G902&lt;= 40,"Bajo",IF(Waiting_status!$G902 &gt;70,"High","Mid"))</f>
        <v>High</v>
      </c>
    </row>
    <row r="903" spans="1:8" x14ac:dyDescent="0.25">
      <c r="A903" s="31">
        <v>51</v>
      </c>
      <c r="B903" s="32" t="str">
        <f t="shared" si="14"/>
        <v>High</v>
      </c>
      <c r="F903" s="29" t="s">
        <v>95</v>
      </c>
      <c r="G903" s="42">
        <v>87.8</v>
      </c>
      <c r="H903" s="41" t="str">
        <f>+IF(Waiting_status!$G903&lt;= 40,"Bajo",IF(Waiting_status!$G903 &gt;70,"High","Mid"))</f>
        <v>High</v>
      </c>
    </row>
    <row r="904" spans="1:8" x14ac:dyDescent="0.25">
      <c r="A904" s="38">
        <v>57</v>
      </c>
      <c r="B904" s="32" t="str">
        <f t="shared" si="14"/>
        <v>High</v>
      </c>
      <c r="F904" s="28" t="s">
        <v>64</v>
      </c>
      <c r="G904" s="40">
        <v>90</v>
      </c>
      <c r="H904" s="41" t="str">
        <f>+IF(Waiting_status!$G904&lt;= 40,"Bajo",IF(Waiting_status!$G904 &gt;70,"High","Mid"))</f>
        <v>High</v>
      </c>
    </row>
    <row r="905" spans="1:8" x14ac:dyDescent="0.25">
      <c r="A905" s="31">
        <v>41</v>
      </c>
      <c r="B905" s="32" t="str">
        <f t="shared" si="14"/>
        <v>High</v>
      </c>
      <c r="F905" s="29" t="s">
        <v>61</v>
      </c>
      <c r="G905" s="42">
        <v>69.5</v>
      </c>
      <c r="H905" s="41" t="str">
        <f>+IF(Waiting_status!$G905&lt;= 40,"Bajo",IF(Waiting_status!$G905 &gt;70,"High","Mid"))</f>
        <v>Mid</v>
      </c>
    </row>
    <row r="906" spans="1:8" x14ac:dyDescent="0.25">
      <c r="A906" s="38">
        <v>44</v>
      </c>
      <c r="B906" s="32" t="str">
        <f t="shared" si="14"/>
        <v>High</v>
      </c>
      <c r="F906" s="28" t="s">
        <v>61</v>
      </c>
      <c r="G906" s="40">
        <v>74.599999999999994</v>
      </c>
      <c r="H906" s="41" t="str">
        <f>+IF(Waiting_status!$G906&lt;= 40,"Bajo",IF(Waiting_status!$G906 &gt;70,"High","Mid"))</f>
        <v>High</v>
      </c>
    </row>
    <row r="907" spans="1:8" x14ac:dyDescent="0.25">
      <c r="A907" s="31">
        <v>11</v>
      </c>
      <c r="B907" s="32" t="str">
        <f t="shared" si="14"/>
        <v>Low</v>
      </c>
      <c r="F907" s="29" t="s">
        <v>95</v>
      </c>
      <c r="G907" s="42">
        <v>81.099999999999994</v>
      </c>
      <c r="H907" s="41" t="str">
        <f>+IF(Waiting_status!$G907&lt;= 40,"Bajo",IF(Waiting_status!$G907 &gt;70,"High","Mid"))</f>
        <v>High</v>
      </c>
    </row>
    <row r="908" spans="1:8" x14ac:dyDescent="0.25">
      <c r="A908" s="38">
        <v>50</v>
      </c>
      <c r="B908" s="32" t="str">
        <f t="shared" si="14"/>
        <v>High</v>
      </c>
      <c r="F908" s="28" t="s">
        <v>28</v>
      </c>
      <c r="G908" s="40">
        <v>71.7</v>
      </c>
      <c r="H908" s="41" t="str">
        <f>+IF(Waiting_status!$G908&lt;= 40,"Bajo",IF(Waiting_status!$G908 &gt;70,"High","Mid"))</f>
        <v>High</v>
      </c>
    </row>
    <row r="909" spans="1:8" x14ac:dyDescent="0.25">
      <c r="A909" s="31">
        <v>30</v>
      </c>
      <c r="B909" s="32" t="str">
        <f t="shared" si="14"/>
        <v>mid</v>
      </c>
      <c r="F909" s="29" t="s">
        <v>16</v>
      </c>
      <c r="G909" s="42">
        <v>93.9</v>
      </c>
      <c r="H909" s="41" t="str">
        <f>+IF(Waiting_status!$G909&lt;= 40,"Bajo",IF(Waiting_status!$G909 &gt;70,"High","Mid"))</f>
        <v>High</v>
      </c>
    </row>
    <row r="910" spans="1:8" x14ac:dyDescent="0.25">
      <c r="A910" s="38">
        <v>30</v>
      </c>
      <c r="B910" s="32" t="str">
        <f t="shared" si="14"/>
        <v>mid</v>
      </c>
      <c r="F910" s="28" t="s">
        <v>56</v>
      </c>
      <c r="G910" s="40">
        <v>68.2</v>
      </c>
      <c r="H910" s="41" t="str">
        <f>+IF(Waiting_status!$G910&lt;= 40,"Bajo",IF(Waiting_status!$G910 &gt;70,"High","Mid"))</f>
        <v>Mid</v>
      </c>
    </row>
    <row r="911" spans="1:8" x14ac:dyDescent="0.25">
      <c r="A911" s="31">
        <v>38</v>
      </c>
      <c r="B911" s="32" t="str">
        <f t="shared" si="14"/>
        <v>mid</v>
      </c>
      <c r="F911" s="29" t="s">
        <v>48</v>
      </c>
      <c r="G911" s="42">
        <v>93.6</v>
      </c>
      <c r="H911" s="41" t="str">
        <f>+IF(Waiting_status!$G911&lt;= 40,"Bajo",IF(Waiting_status!$G911 &gt;70,"High","Mid"))</f>
        <v>High</v>
      </c>
    </row>
    <row r="912" spans="1:8" x14ac:dyDescent="0.25">
      <c r="A912" s="38">
        <v>10</v>
      </c>
      <c r="B912" s="32" t="str">
        <f t="shared" si="14"/>
        <v>Low</v>
      </c>
      <c r="F912" s="28" t="s">
        <v>48</v>
      </c>
      <c r="G912" s="40">
        <v>98.5</v>
      </c>
      <c r="H912" s="41" t="str">
        <f>+IF(Waiting_status!$G912&lt;= 40,"Bajo",IF(Waiting_status!$G912 &gt;70,"High","Mid"))</f>
        <v>High</v>
      </c>
    </row>
    <row r="913" spans="1:8" x14ac:dyDescent="0.25">
      <c r="A913" s="31">
        <v>42</v>
      </c>
      <c r="B913" s="32" t="str">
        <f t="shared" si="14"/>
        <v>High</v>
      </c>
      <c r="F913" s="29" t="s">
        <v>56</v>
      </c>
      <c r="G913" s="42">
        <v>93.2</v>
      </c>
      <c r="H913" s="41" t="str">
        <f>+IF(Waiting_status!$G913&lt;= 40,"Bajo",IF(Waiting_status!$G913 &gt;70,"High","Mid"))</f>
        <v>High</v>
      </c>
    </row>
    <row r="914" spans="1:8" x14ac:dyDescent="0.25">
      <c r="A914" s="38">
        <v>37</v>
      </c>
      <c r="B914" s="32" t="str">
        <f t="shared" si="14"/>
        <v>mid</v>
      </c>
      <c r="F914" s="28" t="s">
        <v>95</v>
      </c>
      <c r="G914" s="40">
        <v>66.8</v>
      </c>
      <c r="H914" s="41" t="str">
        <f>+IF(Waiting_status!$G914&lt;= 40,"Bajo",IF(Waiting_status!$G914 &gt;70,"High","Mid"))</f>
        <v>Mid</v>
      </c>
    </row>
    <row r="915" spans="1:8" x14ac:dyDescent="0.25">
      <c r="A915" s="31">
        <v>30</v>
      </c>
      <c r="B915" s="32" t="str">
        <f t="shared" si="14"/>
        <v>mid</v>
      </c>
      <c r="F915" s="29" t="s">
        <v>64</v>
      </c>
      <c r="G915" s="42">
        <v>86.8</v>
      </c>
      <c r="H915" s="41" t="str">
        <f>+IF(Waiting_status!$G915&lt;= 40,"Bajo",IF(Waiting_status!$G915 &gt;70,"High","Mid"))</f>
        <v>High</v>
      </c>
    </row>
    <row r="916" spans="1:8" x14ac:dyDescent="0.25">
      <c r="A916" s="38">
        <v>25</v>
      </c>
      <c r="B916" s="32" t="str">
        <f t="shared" si="14"/>
        <v>mid</v>
      </c>
      <c r="F916" s="28" t="s">
        <v>28</v>
      </c>
      <c r="G916" s="40">
        <v>61.9</v>
      </c>
      <c r="H916" s="41" t="str">
        <f>+IF(Waiting_status!$G916&lt;= 40,"Bajo",IF(Waiting_status!$G916 &gt;70,"High","Mid"))</f>
        <v>Mid</v>
      </c>
    </row>
    <row r="917" spans="1:8" x14ac:dyDescent="0.25">
      <c r="A917" s="31">
        <v>37</v>
      </c>
      <c r="B917" s="32" t="str">
        <f t="shared" si="14"/>
        <v>mid</v>
      </c>
      <c r="F917" s="29" t="s">
        <v>41</v>
      </c>
      <c r="G917" s="42">
        <v>77.099999999999994</v>
      </c>
      <c r="H917" s="41" t="str">
        <f>+IF(Waiting_status!$G917&lt;= 40,"Bajo",IF(Waiting_status!$G917 &gt;70,"High","Mid"))</f>
        <v>High</v>
      </c>
    </row>
    <row r="918" spans="1:8" x14ac:dyDescent="0.25">
      <c r="A918" s="38">
        <v>52</v>
      </c>
      <c r="B918" s="32" t="str">
        <f t="shared" si="14"/>
        <v>High</v>
      </c>
      <c r="F918" s="28" t="s">
        <v>61</v>
      </c>
      <c r="G918" s="40">
        <v>89.8</v>
      </c>
      <c r="H918" s="41" t="str">
        <f>+IF(Waiting_status!$G918&lt;= 40,"Bajo",IF(Waiting_status!$G918 &gt;70,"High","Mid"))</f>
        <v>High</v>
      </c>
    </row>
    <row r="919" spans="1:8" x14ac:dyDescent="0.25">
      <c r="A919" s="31">
        <v>25</v>
      </c>
      <c r="B919" s="32" t="str">
        <f t="shared" si="14"/>
        <v>mid</v>
      </c>
      <c r="F919" s="29" t="s">
        <v>48</v>
      </c>
      <c r="G919" s="42">
        <v>96.8</v>
      </c>
      <c r="H919" s="41" t="str">
        <f>+IF(Waiting_status!$G919&lt;= 40,"Bajo",IF(Waiting_status!$G919 &gt;70,"High","Mid"))</f>
        <v>High</v>
      </c>
    </row>
    <row r="920" spans="1:8" x14ac:dyDescent="0.25">
      <c r="A920" s="38">
        <v>14</v>
      </c>
      <c r="B920" s="32" t="str">
        <f t="shared" si="14"/>
        <v>Low</v>
      </c>
      <c r="F920" s="28" t="s">
        <v>28</v>
      </c>
      <c r="G920" s="40">
        <v>86.9</v>
      </c>
      <c r="H920" s="41" t="str">
        <f>+IF(Waiting_status!$G920&lt;= 40,"Bajo",IF(Waiting_status!$G920 &gt;70,"High","Mid"))</f>
        <v>High</v>
      </c>
    </row>
    <row r="921" spans="1:8" x14ac:dyDescent="0.25">
      <c r="A921" s="31">
        <v>57</v>
      </c>
      <c r="B921" s="32" t="str">
        <f t="shared" si="14"/>
        <v>High</v>
      </c>
      <c r="F921" s="29" t="s">
        <v>64</v>
      </c>
      <c r="G921" s="42">
        <v>98.6</v>
      </c>
      <c r="H921" s="41" t="str">
        <f>+IF(Waiting_status!$G921&lt;= 40,"Bajo",IF(Waiting_status!$G921 &gt;70,"High","Mid"))</f>
        <v>High</v>
      </c>
    </row>
    <row r="922" spans="1:8" x14ac:dyDescent="0.25">
      <c r="A922" s="38">
        <v>21</v>
      </c>
      <c r="B922" s="32" t="str">
        <f t="shared" si="14"/>
        <v>mid</v>
      </c>
      <c r="F922" s="28" t="s">
        <v>31</v>
      </c>
      <c r="G922" s="40">
        <v>96.9</v>
      </c>
      <c r="H922" s="41" t="str">
        <f>+IF(Waiting_status!$G922&lt;= 40,"Bajo",IF(Waiting_status!$G922 &gt;70,"High","Mid"))</f>
        <v>High</v>
      </c>
    </row>
    <row r="923" spans="1:8" x14ac:dyDescent="0.25">
      <c r="A923" s="31">
        <v>49</v>
      </c>
      <c r="B923" s="32" t="str">
        <f t="shared" si="14"/>
        <v>High</v>
      </c>
      <c r="F923" s="29" t="s">
        <v>95</v>
      </c>
      <c r="G923" s="42">
        <v>82.4</v>
      </c>
      <c r="H923" s="41" t="str">
        <f>+IF(Waiting_status!$G923&lt;= 40,"Bajo",IF(Waiting_status!$G923 &gt;70,"High","Mid"))</f>
        <v>High</v>
      </c>
    </row>
    <row r="924" spans="1:8" x14ac:dyDescent="0.25">
      <c r="A924" s="38">
        <v>13</v>
      </c>
      <c r="B924" s="32" t="str">
        <f t="shared" si="14"/>
        <v>Low</v>
      </c>
      <c r="F924" s="28" t="s">
        <v>95</v>
      </c>
      <c r="G924" s="40">
        <v>73.8</v>
      </c>
      <c r="H924" s="41" t="str">
        <f>+IF(Waiting_status!$G924&lt;= 40,"Bajo",IF(Waiting_status!$G924 &gt;70,"High","Mid"))</f>
        <v>High</v>
      </c>
    </row>
    <row r="925" spans="1:8" x14ac:dyDescent="0.25">
      <c r="A925" s="31">
        <v>56</v>
      </c>
      <c r="B925" s="32" t="str">
        <f t="shared" si="14"/>
        <v>High</v>
      </c>
      <c r="F925" s="29" t="s">
        <v>56</v>
      </c>
      <c r="G925" s="42">
        <v>73.400000000000006</v>
      </c>
      <c r="H925" s="41" t="str">
        <f>+IF(Waiting_status!$G925&lt;= 40,"Bajo",IF(Waiting_status!$G925 &gt;70,"High","Mid"))</f>
        <v>High</v>
      </c>
    </row>
    <row r="926" spans="1:8" x14ac:dyDescent="0.25">
      <c r="A926" s="38">
        <v>52</v>
      </c>
      <c r="B926" s="32" t="str">
        <f t="shared" si="14"/>
        <v>High</v>
      </c>
      <c r="F926" s="28" t="s">
        <v>95</v>
      </c>
      <c r="G926" s="40">
        <v>82.6</v>
      </c>
      <c r="H926" s="41" t="str">
        <f>+IF(Waiting_status!$G926&lt;= 40,"Bajo",IF(Waiting_status!$G926 &gt;70,"High","Mid"))</f>
        <v>High</v>
      </c>
    </row>
    <row r="927" spans="1:8" x14ac:dyDescent="0.25">
      <c r="A927" s="31">
        <v>36</v>
      </c>
      <c r="B927" s="32" t="str">
        <f t="shared" si="14"/>
        <v>mid</v>
      </c>
      <c r="F927" s="29" t="s">
        <v>16</v>
      </c>
      <c r="G927" s="42">
        <v>86.3</v>
      </c>
      <c r="H927" s="41" t="str">
        <f>+IF(Waiting_status!$G927&lt;= 40,"Bajo",IF(Waiting_status!$G927 &gt;70,"High","Mid"))</f>
        <v>High</v>
      </c>
    </row>
    <row r="928" spans="1:8" x14ac:dyDescent="0.25">
      <c r="A928" s="38">
        <v>54</v>
      </c>
      <c r="B928" s="32" t="str">
        <f t="shared" si="14"/>
        <v>High</v>
      </c>
      <c r="F928" s="28" t="s">
        <v>16</v>
      </c>
      <c r="G928" s="40">
        <v>61</v>
      </c>
      <c r="H928" s="41" t="str">
        <f>+IF(Waiting_status!$G928&lt;= 40,"Bajo",IF(Waiting_status!$G928 &gt;70,"High","Mid"))</f>
        <v>Mid</v>
      </c>
    </row>
    <row r="929" spans="1:8" x14ac:dyDescent="0.25">
      <c r="A929" s="31">
        <v>28</v>
      </c>
      <c r="B929" s="32" t="str">
        <f t="shared" si="14"/>
        <v>mid</v>
      </c>
      <c r="F929" s="29" t="s">
        <v>31</v>
      </c>
      <c r="G929" s="42">
        <v>75.900000000000006</v>
      </c>
      <c r="H929" s="41" t="str">
        <f>+IF(Waiting_status!$G929&lt;= 40,"Bajo",IF(Waiting_status!$G929 &gt;70,"High","Mid"))</f>
        <v>High</v>
      </c>
    </row>
    <row r="930" spans="1:8" x14ac:dyDescent="0.25">
      <c r="A930" s="38">
        <v>13</v>
      </c>
      <c r="B930" s="32" t="str">
        <f t="shared" si="14"/>
        <v>Low</v>
      </c>
      <c r="F930" s="28" t="s">
        <v>95</v>
      </c>
      <c r="G930" s="40">
        <v>77.900000000000006</v>
      </c>
      <c r="H930" s="41" t="str">
        <f>+IF(Waiting_status!$G930&lt;= 40,"Bajo",IF(Waiting_status!$G930 &gt;70,"High","Mid"))</f>
        <v>High</v>
      </c>
    </row>
    <row r="931" spans="1:8" x14ac:dyDescent="0.25">
      <c r="A931" s="31">
        <v>33</v>
      </c>
      <c r="B931" s="32" t="str">
        <f t="shared" si="14"/>
        <v>mid</v>
      </c>
      <c r="F931" s="29" t="s">
        <v>95</v>
      </c>
      <c r="G931" s="42">
        <v>63.3</v>
      </c>
      <c r="H931" s="41" t="str">
        <f>+IF(Waiting_status!$G931&lt;= 40,"Bajo",IF(Waiting_status!$G931 &gt;70,"High","Mid"))</f>
        <v>Mid</v>
      </c>
    </row>
    <row r="932" spans="1:8" x14ac:dyDescent="0.25">
      <c r="A932" s="38">
        <v>35</v>
      </c>
      <c r="B932" s="32" t="str">
        <f t="shared" si="14"/>
        <v>mid</v>
      </c>
      <c r="F932" s="28" t="s">
        <v>28</v>
      </c>
      <c r="G932" s="40">
        <v>61.8</v>
      </c>
      <c r="H932" s="41" t="str">
        <f>+IF(Waiting_status!$G932&lt;= 40,"Bajo",IF(Waiting_status!$G932 &gt;70,"High","Mid"))</f>
        <v>Mid</v>
      </c>
    </row>
    <row r="933" spans="1:8" x14ac:dyDescent="0.25">
      <c r="A933" s="31">
        <v>22</v>
      </c>
      <c r="B933" s="32" t="str">
        <f t="shared" si="14"/>
        <v>mid</v>
      </c>
      <c r="F933" s="29" t="s">
        <v>48</v>
      </c>
      <c r="G933" s="42">
        <v>86.1</v>
      </c>
      <c r="H933" s="41" t="str">
        <f>+IF(Waiting_status!$G933&lt;= 40,"Bajo",IF(Waiting_status!$G933 &gt;70,"High","Mid"))</f>
        <v>High</v>
      </c>
    </row>
    <row r="934" spans="1:8" x14ac:dyDescent="0.25">
      <c r="A934" s="38">
        <v>23</v>
      </c>
      <c r="B934" s="32" t="str">
        <f t="shared" si="14"/>
        <v>mid</v>
      </c>
      <c r="F934" s="28" t="s">
        <v>64</v>
      </c>
      <c r="G934" s="40">
        <v>67.400000000000006</v>
      </c>
      <c r="H934" s="41" t="str">
        <f>+IF(Waiting_status!$G934&lt;= 40,"Bajo",IF(Waiting_status!$G934 &gt;70,"High","Mid"))</f>
        <v>Mid</v>
      </c>
    </row>
    <row r="935" spans="1:8" x14ac:dyDescent="0.25">
      <c r="A935" s="31">
        <v>31</v>
      </c>
      <c r="B935" s="32" t="str">
        <f t="shared" si="14"/>
        <v>mid</v>
      </c>
      <c r="F935" s="29" t="s">
        <v>61</v>
      </c>
      <c r="G935" s="42">
        <v>60.6</v>
      </c>
      <c r="H935" s="41" t="str">
        <f>+IF(Waiting_status!$G935&lt;= 40,"Bajo",IF(Waiting_status!$G935 &gt;70,"High","Mid"))</f>
        <v>Mid</v>
      </c>
    </row>
    <row r="936" spans="1:8" x14ac:dyDescent="0.25">
      <c r="A936" s="38">
        <v>45</v>
      </c>
      <c r="B936" s="32" t="str">
        <f t="shared" si="14"/>
        <v>High</v>
      </c>
      <c r="F936" s="28" t="s">
        <v>41</v>
      </c>
      <c r="G936" s="40">
        <v>75.8</v>
      </c>
      <c r="H936" s="41" t="str">
        <f>+IF(Waiting_status!$G936&lt;= 40,"Bajo",IF(Waiting_status!$G936 &gt;70,"High","Mid"))</f>
        <v>High</v>
      </c>
    </row>
    <row r="937" spans="1:8" x14ac:dyDescent="0.25">
      <c r="A937" s="31">
        <v>31</v>
      </c>
      <c r="B937" s="32" t="str">
        <f t="shared" si="14"/>
        <v>mid</v>
      </c>
      <c r="F937" s="29" t="s">
        <v>56</v>
      </c>
      <c r="G937" s="42">
        <v>85.4</v>
      </c>
      <c r="H937" s="41" t="str">
        <f>+IF(Waiting_status!$G937&lt;= 40,"Bajo",IF(Waiting_status!$G937 &gt;70,"High","Mid"))</f>
        <v>High</v>
      </c>
    </row>
    <row r="938" spans="1:8" x14ac:dyDescent="0.25">
      <c r="A938" s="38">
        <v>14</v>
      </c>
      <c r="B938" s="32" t="str">
        <f t="shared" si="14"/>
        <v>Low</v>
      </c>
      <c r="F938" s="28" t="s">
        <v>56</v>
      </c>
      <c r="G938" s="40">
        <v>84</v>
      </c>
      <c r="H938" s="41" t="str">
        <f>+IF(Waiting_status!$G938&lt;= 40,"Bajo",IF(Waiting_status!$G938 &gt;70,"High","Mid"))</f>
        <v>High</v>
      </c>
    </row>
    <row r="939" spans="1:8" x14ac:dyDescent="0.25">
      <c r="A939" s="31">
        <v>18</v>
      </c>
      <c r="B939" s="32" t="str">
        <f t="shared" si="14"/>
        <v>Low</v>
      </c>
      <c r="F939" s="29" t="s">
        <v>56</v>
      </c>
      <c r="G939" s="42">
        <v>70.5</v>
      </c>
      <c r="H939" s="41" t="str">
        <f>+IF(Waiting_status!$G939&lt;= 40,"Bajo",IF(Waiting_status!$G939 &gt;70,"High","Mid"))</f>
        <v>High</v>
      </c>
    </row>
    <row r="940" spans="1:8" x14ac:dyDescent="0.25">
      <c r="A940" s="38">
        <v>33</v>
      </c>
      <c r="B940" s="32" t="str">
        <f t="shared" si="14"/>
        <v>mid</v>
      </c>
      <c r="F940" s="28" t="s">
        <v>48</v>
      </c>
      <c r="G940" s="40">
        <v>90</v>
      </c>
      <c r="H940" s="41" t="str">
        <f>+IF(Waiting_status!$G940&lt;= 40,"Bajo",IF(Waiting_status!$G940 &gt;70,"High","Mid"))</f>
        <v>High</v>
      </c>
    </row>
    <row r="941" spans="1:8" x14ac:dyDescent="0.25">
      <c r="A941" s="31">
        <v>39</v>
      </c>
      <c r="B941" s="32" t="str">
        <f t="shared" si="14"/>
        <v>mid</v>
      </c>
      <c r="F941" s="29" t="s">
        <v>16</v>
      </c>
      <c r="G941" s="42">
        <v>77.099999999999994</v>
      </c>
      <c r="H941" s="41" t="str">
        <f>+IF(Waiting_status!$G941&lt;= 40,"Bajo",IF(Waiting_status!$G941 &gt;70,"High","Mid"))</f>
        <v>High</v>
      </c>
    </row>
    <row r="942" spans="1:8" x14ac:dyDescent="0.25">
      <c r="A942" s="38">
        <v>58</v>
      </c>
      <c r="B942" s="32" t="str">
        <f t="shared" si="14"/>
        <v>High</v>
      </c>
      <c r="F942" s="28" t="s">
        <v>48</v>
      </c>
      <c r="G942" s="40">
        <v>96.9</v>
      </c>
      <c r="H942" s="41" t="str">
        <f>+IF(Waiting_status!$G942&lt;= 40,"Bajo",IF(Waiting_status!$G942 &gt;70,"High","Mid"))</f>
        <v>High</v>
      </c>
    </row>
    <row r="943" spans="1:8" x14ac:dyDescent="0.25">
      <c r="A943" s="31">
        <v>51</v>
      </c>
      <c r="B943" s="32" t="str">
        <f t="shared" si="14"/>
        <v>High</v>
      </c>
      <c r="F943" s="29" t="s">
        <v>31</v>
      </c>
      <c r="G943" s="42">
        <v>96.9</v>
      </c>
      <c r="H943" s="41" t="str">
        <f>+IF(Waiting_status!$G943&lt;= 40,"Bajo",IF(Waiting_status!$G943 &gt;70,"High","Mid"))</f>
        <v>High</v>
      </c>
    </row>
    <row r="944" spans="1:8" x14ac:dyDescent="0.25">
      <c r="A944" s="38">
        <v>52</v>
      </c>
      <c r="B944" s="32" t="str">
        <f t="shared" si="14"/>
        <v>High</v>
      </c>
      <c r="F944" s="28" t="s">
        <v>28</v>
      </c>
      <c r="G944" s="40">
        <v>84.7</v>
      </c>
      <c r="H944" s="41" t="str">
        <f>+IF(Waiting_status!$G944&lt;= 40,"Bajo",IF(Waiting_status!$G944 &gt;70,"High","Mid"))</f>
        <v>High</v>
      </c>
    </row>
    <row r="945" spans="1:8" x14ac:dyDescent="0.25">
      <c r="A945" s="31">
        <v>38</v>
      </c>
      <c r="B945" s="32" t="str">
        <f t="shared" si="14"/>
        <v>mid</v>
      </c>
      <c r="F945" s="29" t="s">
        <v>95</v>
      </c>
      <c r="G945" s="42">
        <v>91.5</v>
      </c>
      <c r="H945" s="41" t="str">
        <f>+IF(Waiting_status!$G945&lt;= 40,"Bajo",IF(Waiting_status!$G945 &gt;70,"High","Mid"))</f>
        <v>High</v>
      </c>
    </row>
    <row r="946" spans="1:8" x14ac:dyDescent="0.25">
      <c r="A946" s="38">
        <v>46</v>
      </c>
      <c r="B946" s="32" t="str">
        <f t="shared" si="14"/>
        <v>High</v>
      </c>
      <c r="F946" s="28" t="s">
        <v>28</v>
      </c>
      <c r="G946" s="40">
        <v>90.6</v>
      </c>
      <c r="H946" s="41" t="str">
        <f>+IF(Waiting_status!$G946&lt;= 40,"Bajo",IF(Waiting_status!$G946 &gt;70,"High","Mid"))</f>
        <v>High</v>
      </c>
    </row>
    <row r="947" spans="1:8" x14ac:dyDescent="0.25">
      <c r="A947" s="31">
        <v>43</v>
      </c>
      <c r="B947" s="32" t="str">
        <f t="shared" si="14"/>
        <v>High</v>
      </c>
      <c r="F947" s="29" t="s">
        <v>16</v>
      </c>
      <c r="G947" s="42">
        <v>72.7</v>
      </c>
      <c r="H947" s="41" t="str">
        <f>+IF(Waiting_status!$G947&lt;= 40,"Bajo",IF(Waiting_status!$G947 &gt;70,"High","Mid"))</f>
        <v>High</v>
      </c>
    </row>
    <row r="948" spans="1:8" x14ac:dyDescent="0.25">
      <c r="A948" s="38">
        <v>46</v>
      </c>
      <c r="B948" s="32" t="str">
        <f t="shared" si="14"/>
        <v>High</v>
      </c>
      <c r="F948" s="28" t="s">
        <v>64</v>
      </c>
      <c r="G948" s="40">
        <v>64.599999999999994</v>
      </c>
      <c r="H948" s="41" t="str">
        <f>+IF(Waiting_status!$G948&lt;= 40,"Bajo",IF(Waiting_status!$G948 &gt;70,"High","Mid"))</f>
        <v>Mid</v>
      </c>
    </row>
    <row r="949" spans="1:8" x14ac:dyDescent="0.25">
      <c r="A949" s="31">
        <v>57</v>
      </c>
      <c r="B949" s="32" t="str">
        <f t="shared" si="14"/>
        <v>High</v>
      </c>
      <c r="F949" s="29" t="s">
        <v>28</v>
      </c>
      <c r="G949" s="42">
        <v>77.900000000000006</v>
      </c>
      <c r="H949" s="41" t="str">
        <f>+IF(Waiting_status!$G949&lt;= 40,"Bajo",IF(Waiting_status!$G949 &gt;70,"High","Mid"))</f>
        <v>High</v>
      </c>
    </row>
    <row r="950" spans="1:8" x14ac:dyDescent="0.25">
      <c r="A950" s="38">
        <v>49</v>
      </c>
      <c r="B950" s="32" t="str">
        <f t="shared" si="14"/>
        <v>High</v>
      </c>
      <c r="F950" s="28" t="s">
        <v>48</v>
      </c>
      <c r="G950" s="40">
        <v>67.3</v>
      </c>
      <c r="H950" s="41" t="str">
        <f>+IF(Waiting_status!$G950&lt;= 40,"Bajo",IF(Waiting_status!$G950 &gt;70,"High","Mid"))</f>
        <v>Mid</v>
      </c>
    </row>
    <row r="951" spans="1:8" x14ac:dyDescent="0.25">
      <c r="A951" s="31">
        <v>20</v>
      </c>
      <c r="B951" s="32" t="str">
        <f t="shared" si="14"/>
        <v>Low</v>
      </c>
      <c r="F951" s="29" t="s">
        <v>22</v>
      </c>
      <c r="G951" s="42">
        <v>60.1</v>
      </c>
      <c r="H951" s="41" t="str">
        <f>+IF(Waiting_status!$G951&lt;= 40,"Bajo",IF(Waiting_status!$G951 &gt;70,"High","Mid"))</f>
        <v>Mid</v>
      </c>
    </row>
    <row r="952" spans="1:8" x14ac:dyDescent="0.25">
      <c r="A952" s="38">
        <v>40</v>
      </c>
      <c r="B952" s="32" t="str">
        <f t="shared" si="14"/>
        <v>mid</v>
      </c>
      <c r="F952" s="28" t="s">
        <v>56</v>
      </c>
      <c r="G952" s="40">
        <v>61.5</v>
      </c>
      <c r="H952" s="41" t="str">
        <f>+IF(Waiting_status!$G952&lt;= 40,"Bajo",IF(Waiting_status!$G952 &gt;70,"High","Mid"))</f>
        <v>Mid</v>
      </c>
    </row>
    <row r="953" spans="1:8" x14ac:dyDescent="0.25">
      <c r="A953" s="31">
        <v>52</v>
      </c>
      <c r="B953" s="32" t="str">
        <f t="shared" si="14"/>
        <v>High</v>
      </c>
      <c r="F953" s="29" t="s">
        <v>41</v>
      </c>
      <c r="G953" s="42">
        <v>79.599999999999994</v>
      </c>
      <c r="H953" s="41" t="str">
        <f>+IF(Waiting_status!$G953&lt;= 40,"Bajo",IF(Waiting_status!$G953 &gt;70,"High","Mid"))</f>
        <v>High</v>
      </c>
    </row>
    <row r="954" spans="1:8" x14ac:dyDescent="0.25">
      <c r="A954" s="38">
        <v>13</v>
      </c>
      <c r="B954" s="32" t="str">
        <f t="shared" si="14"/>
        <v>Low</v>
      </c>
      <c r="F954" s="28" t="s">
        <v>56</v>
      </c>
      <c r="G954" s="40">
        <v>73.900000000000006</v>
      </c>
      <c r="H954" s="41" t="str">
        <f>+IF(Waiting_status!$G954&lt;= 40,"Bajo",IF(Waiting_status!$G954 &gt;70,"High","Mid"))</f>
        <v>High</v>
      </c>
    </row>
    <row r="955" spans="1:8" x14ac:dyDescent="0.25">
      <c r="A955" s="31">
        <v>28</v>
      </c>
      <c r="B955" s="32" t="str">
        <f t="shared" si="14"/>
        <v>mid</v>
      </c>
      <c r="F955" s="29" t="s">
        <v>16</v>
      </c>
      <c r="G955" s="42">
        <v>80.7</v>
      </c>
      <c r="H955" s="41" t="str">
        <f>+IF(Waiting_status!$G955&lt;= 40,"Bajo",IF(Waiting_status!$G955 &gt;70,"High","Mid"))</f>
        <v>High</v>
      </c>
    </row>
    <row r="956" spans="1:8" x14ac:dyDescent="0.25">
      <c r="A956" s="38">
        <v>39</v>
      </c>
      <c r="B956" s="32" t="str">
        <f t="shared" si="14"/>
        <v>mid</v>
      </c>
      <c r="F956" s="28" t="s">
        <v>16</v>
      </c>
      <c r="G956" s="40">
        <v>74.8</v>
      </c>
      <c r="H956" s="41" t="str">
        <f>+IF(Waiting_status!$G956&lt;= 40,"Bajo",IF(Waiting_status!$G956 &gt;70,"High","Mid"))</f>
        <v>High</v>
      </c>
    </row>
    <row r="957" spans="1:8" x14ac:dyDescent="0.25">
      <c r="A957" s="31">
        <v>20</v>
      </c>
      <c r="B957" s="32" t="str">
        <f t="shared" si="14"/>
        <v>Low</v>
      </c>
      <c r="F957" s="29" t="s">
        <v>56</v>
      </c>
      <c r="G957" s="42">
        <v>61.1</v>
      </c>
      <c r="H957" s="41" t="str">
        <f>+IF(Waiting_status!$G957&lt;= 40,"Bajo",IF(Waiting_status!$G957 &gt;70,"High","Mid"))</f>
        <v>Mid</v>
      </c>
    </row>
    <row r="958" spans="1:8" x14ac:dyDescent="0.25">
      <c r="A958" s="38">
        <v>49</v>
      </c>
      <c r="B958" s="32" t="str">
        <f t="shared" si="14"/>
        <v>High</v>
      </c>
      <c r="F958" s="28" t="s">
        <v>31</v>
      </c>
      <c r="G958" s="40">
        <v>99.1</v>
      </c>
      <c r="H958" s="41" t="str">
        <f>+IF(Waiting_status!$G958&lt;= 40,"Bajo",IF(Waiting_status!$G958 &gt;70,"High","Mid"))</f>
        <v>High</v>
      </c>
    </row>
    <row r="959" spans="1:8" x14ac:dyDescent="0.25">
      <c r="A959" s="31">
        <v>60</v>
      </c>
      <c r="B959" s="32" t="str">
        <f t="shared" si="14"/>
        <v>High</v>
      </c>
      <c r="F959" s="29" t="s">
        <v>16</v>
      </c>
      <c r="G959" s="42">
        <v>64.099999999999994</v>
      </c>
      <c r="H959" s="41" t="str">
        <f>+IF(Waiting_status!$G959&lt;= 40,"Bajo",IF(Waiting_status!$G959 &gt;70,"High","Mid"))</f>
        <v>Mid</v>
      </c>
    </row>
    <row r="960" spans="1:8" x14ac:dyDescent="0.25">
      <c r="A960" s="38">
        <v>26</v>
      </c>
      <c r="B960" s="32" t="str">
        <f t="shared" si="14"/>
        <v>mid</v>
      </c>
      <c r="F960" s="28" t="s">
        <v>16</v>
      </c>
      <c r="G960" s="40">
        <v>66.900000000000006</v>
      </c>
      <c r="H960" s="41" t="str">
        <f>+IF(Waiting_status!$G960&lt;= 40,"Bajo",IF(Waiting_status!$G960 &gt;70,"High","Mid"))</f>
        <v>Mid</v>
      </c>
    </row>
    <row r="961" spans="1:8" x14ac:dyDescent="0.25">
      <c r="A961" s="31">
        <v>21</v>
      </c>
      <c r="B961" s="32" t="str">
        <f t="shared" si="14"/>
        <v>mid</v>
      </c>
      <c r="F961" s="29" t="s">
        <v>28</v>
      </c>
      <c r="G961" s="42">
        <v>68.099999999999994</v>
      </c>
      <c r="H961" s="41" t="str">
        <f>+IF(Waiting_status!$G961&lt;= 40,"Bajo",IF(Waiting_status!$G961 &gt;70,"High","Mid"))</f>
        <v>Mid</v>
      </c>
    </row>
    <row r="962" spans="1:8" x14ac:dyDescent="0.25">
      <c r="A962" s="38">
        <v>34</v>
      </c>
      <c r="B962" s="32" t="str">
        <f t="shared" si="14"/>
        <v>mid</v>
      </c>
      <c r="F962" s="28" t="s">
        <v>22</v>
      </c>
      <c r="G962" s="40">
        <v>85.3</v>
      </c>
      <c r="H962" s="41" t="str">
        <f>+IF(Waiting_status!$G962&lt;= 40,"Bajo",IF(Waiting_status!$G962 &gt;70,"High","Mid"))</f>
        <v>High</v>
      </c>
    </row>
    <row r="963" spans="1:8" x14ac:dyDescent="0.25">
      <c r="A963" s="31">
        <v>38</v>
      </c>
      <c r="B963" s="32" t="str">
        <f t="shared" ref="B963:B1001" si="15">+IF(A963&lt;= 20,"Low",IF(A963 &gt; 40,"High","mid"))</f>
        <v>mid</v>
      </c>
      <c r="F963" s="29" t="s">
        <v>61</v>
      </c>
      <c r="G963" s="42">
        <v>69</v>
      </c>
      <c r="H963" s="41" t="str">
        <f>+IF(Waiting_status!$G963&lt;= 40,"Bajo",IF(Waiting_status!$G963 &gt;70,"High","Mid"))</f>
        <v>Mid</v>
      </c>
    </row>
    <row r="964" spans="1:8" x14ac:dyDescent="0.25">
      <c r="A964" s="38">
        <v>58</v>
      </c>
      <c r="B964" s="32" t="str">
        <f t="shared" si="15"/>
        <v>High</v>
      </c>
      <c r="F964" s="28" t="s">
        <v>61</v>
      </c>
      <c r="G964" s="40">
        <v>82.7</v>
      </c>
      <c r="H964" s="41" t="str">
        <f>+IF(Waiting_status!$G964&lt;= 40,"Bajo",IF(Waiting_status!$G964 &gt;70,"High","Mid"))</f>
        <v>High</v>
      </c>
    </row>
    <row r="965" spans="1:8" x14ac:dyDescent="0.25">
      <c r="A965" s="31">
        <v>55</v>
      </c>
      <c r="B965" s="32" t="str">
        <f t="shared" si="15"/>
        <v>High</v>
      </c>
      <c r="F965" s="29" t="s">
        <v>48</v>
      </c>
      <c r="G965" s="42">
        <v>86.7</v>
      </c>
      <c r="H965" s="41" t="str">
        <f>+IF(Waiting_status!$G965&lt;= 40,"Bajo",IF(Waiting_status!$G965 &gt;70,"High","Mid"))</f>
        <v>High</v>
      </c>
    </row>
    <row r="966" spans="1:8" x14ac:dyDescent="0.25">
      <c r="A966" s="38">
        <v>18</v>
      </c>
      <c r="B966" s="32" t="str">
        <f t="shared" si="15"/>
        <v>Low</v>
      </c>
      <c r="F966" s="28" t="s">
        <v>64</v>
      </c>
      <c r="G966" s="40">
        <v>71</v>
      </c>
      <c r="H966" s="41" t="str">
        <f>+IF(Waiting_status!$G966&lt;= 40,"Bajo",IF(Waiting_status!$G966 &gt;70,"High","Mid"))</f>
        <v>High</v>
      </c>
    </row>
    <row r="967" spans="1:8" x14ac:dyDescent="0.25">
      <c r="A967" s="31">
        <v>14</v>
      </c>
      <c r="B967" s="32" t="str">
        <f t="shared" si="15"/>
        <v>Low</v>
      </c>
      <c r="F967" s="29" t="s">
        <v>28</v>
      </c>
      <c r="G967" s="42">
        <v>96.2</v>
      </c>
      <c r="H967" s="41" t="str">
        <f>+IF(Waiting_status!$G967&lt;= 40,"Bajo",IF(Waiting_status!$G967 &gt;70,"High","Mid"))</f>
        <v>High</v>
      </c>
    </row>
    <row r="968" spans="1:8" x14ac:dyDescent="0.25">
      <c r="A968" s="38">
        <v>41</v>
      </c>
      <c r="B968" s="32" t="str">
        <f t="shared" si="15"/>
        <v>High</v>
      </c>
      <c r="F968" s="28" t="s">
        <v>56</v>
      </c>
      <c r="G968" s="40">
        <v>87.1</v>
      </c>
      <c r="H968" s="41" t="str">
        <f>+IF(Waiting_status!$G968&lt;= 40,"Bajo",IF(Waiting_status!$G968 &gt;70,"High","Mid"))</f>
        <v>High</v>
      </c>
    </row>
    <row r="969" spans="1:8" x14ac:dyDescent="0.25">
      <c r="A969" s="31">
        <v>26</v>
      </c>
      <c r="B969" s="32" t="str">
        <f t="shared" si="15"/>
        <v>mid</v>
      </c>
      <c r="F969" s="29" t="s">
        <v>22</v>
      </c>
      <c r="G969" s="42">
        <v>60.7</v>
      </c>
      <c r="H969" s="41" t="str">
        <f>+IF(Waiting_status!$G969&lt;= 40,"Bajo",IF(Waiting_status!$G969 &gt;70,"High","Mid"))</f>
        <v>Mid</v>
      </c>
    </row>
    <row r="970" spans="1:8" x14ac:dyDescent="0.25">
      <c r="A970" s="38">
        <v>17</v>
      </c>
      <c r="B970" s="32" t="str">
        <f t="shared" si="15"/>
        <v>Low</v>
      </c>
      <c r="F970" s="28" t="s">
        <v>31</v>
      </c>
      <c r="G970" s="40">
        <v>70.8</v>
      </c>
      <c r="H970" s="41" t="str">
        <f>+IF(Waiting_status!$G970&lt;= 40,"Bajo",IF(Waiting_status!$G970 &gt;70,"High","Mid"))</f>
        <v>High</v>
      </c>
    </row>
    <row r="971" spans="1:8" x14ac:dyDescent="0.25">
      <c r="A971" s="31">
        <v>34</v>
      </c>
      <c r="B971" s="32" t="str">
        <f t="shared" si="15"/>
        <v>mid</v>
      </c>
      <c r="F971" s="29" t="s">
        <v>48</v>
      </c>
      <c r="G971" s="42">
        <v>89.5</v>
      </c>
      <c r="H971" s="41" t="str">
        <f>+IF(Waiting_status!$G971&lt;= 40,"Bajo",IF(Waiting_status!$G971 &gt;70,"High","Mid"))</f>
        <v>High</v>
      </c>
    </row>
    <row r="972" spans="1:8" x14ac:dyDescent="0.25">
      <c r="A972" s="38">
        <v>51</v>
      </c>
      <c r="B972" s="32" t="str">
        <f t="shared" si="15"/>
        <v>High</v>
      </c>
      <c r="F972" s="28" t="s">
        <v>64</v>
      </c>
      <c r="G972" s="40">
        <v>96.2</v>
      </c>
      <c r="H972" s="41" t="str">
        <f>+IF(Waiting_status!$G972&lt;= 40,"Bajo",IF(Waiting_status!$G972 &gt;70,"High","Mid"))</f>
        <v>High</v>
      </c>
    </row>
    <row r="973" spans="1:8" x14ac:dyDescent="0.25">
      <c r="A973" s="31">
        <v>60</v>
      </c>
      <c r="B973" s="32" t="str">
        <f t="shared" si="15"/>
        <v>High</v>
      </c>
      <c r="F973" s="29" t="s">
        <v>61</v>
      </c>
      <c r="G973" s="42">
        <v>87.9</v>
      </c>
      <c r="H973" s="41" t="str">
        <f>+IF(Waiting_status!$G973&lt;= 40,"Bajo",IF(Waiting_status!$G973 &gt;70,"High","Mid"))</f>
        <v>High</v>
      </c>
    </row>
    <row r="974" spans="1:8" x14ac:dyDescent="0.25">
      <c r="A974" s="38">
        <v>47</v>
      </c>
      <c r="B974" s="32" t="str">
        <f t="shared" si="15"/>
        <v>High</v>
      </c>
      <c r="F974" s="28" t="s">
        <v>28</v>
      </c>
      <c r="G974" s="40">
        <v>88.7</v>
      </c>
      <c r="H974" s="41" t="str">
        <f>+IF(Waiting_status!$G974&lt;= 40,"Bajo",IF(Waiting_status!$G974 &gt;70,"High","Mid"))</f>
        <v>High</v>
      </c>
    </row>
    <row r="975" spans="1:8" x14ac:dyDescent="0.25">
      <c r="A975" s="31">
        <v>37</v>
      </c>
      <c r="B975" s="32" t="str">
        <f t="shared" si="15"/>
        <v>mid</v>
      </c>
      <c r="F975" s="29" t="s">
        <v>64</v>
      </c>
      <c r="G975" s="42">
        <v>71.7</v>
      </c>
      <c r="H975" s="41" t="str">
        <f>+IF(Waiting_status!$G975&lt;= 40,"Bajo",IF(Waiting_status!$G975 &gt;70,"High","Mid"))</f>
        <v>High</v>
      </c>
    </row>
    <row r="976" spans="1:8" x14ac:dyDescent="0.25">
      <c r="A976" s="38">
        <v>54</v>
      </c>
      <c r="B976" s="32" t="str">
        <f t="shared" si="15"/>
        <v>High</v>
      </c>
      <c r="F976" s="28" t="s">
        <v>64</v>
      </c>
      <c r="G976" s="40">
        <v>62.3</v>
      </c>
      <c r="H976" s="41" t="str">
        <f>+IF(Waiting_status!$G976&lt;= 40,"Bajo",IF(Waiting_status!$G976 &gt;70,"High","Mid"))</f>
        <v>Mid</v>
      </c>
    </row>
    <row r="977" spans="1:8" x14ac:dyDescent="0.25">
      <c r="A977" s="31">
        <v>15</v>
      </c>
      <c r="B977" s="32" t="str">
        <f t="shared" si="15"/>
        <v>Low</v>
      </c>
      <c r="F977" s="29" t="s">
        <v>41</v>
      </c>
      <c r="G977" s="42">
        <v>68.400000000000006</v>
      </c>
      <c r="H977" s="41" t="str">
        <f>+IF(Waiting_status!$G977&lt;= 40,"Bajo",IF(Waiting_status!$G977 &gt;70,"High","Mid"))</f>
        <v>Mid</v>
      </c>
    </row>
    <row r="978" spans="1:8" x14ac:dyDescent="0.25">
      <c r="A978" s="38">
        <v>35</v>
      </c>
      <c r="B978" s="32" t="str">
        <f t="shared" si="15"/>
        <v>mid</v>
      </c>
      <c r="F978" s="28" t="s">
        <v>16</v>
      </c>
      <c r="G978" s="40">
        <v>99.2</v>
      </c>
      <c r="H978" s="41" t="str">
        <f>+IF(Waiting_status!$G978&lt;= 40,"Bajo",IF(Waiting_status!$G978 &gt;70,"High","Mid"))</f>
        <v>High</v>
      </c>
    </row>
    <row r="979" spans="1:8" x14ac:dyDescent="0.25">
      <c r="A979" s="31">
        <v>21</v>
      </c>
      <c r="B979" s="32" t="str">
        <f t="shared" si="15"/>
        <v>mid</v>
      </c>
      <c r="F979" s="29" t="s">
        <v>16</v>
      </c>
      <c r="G979" s="42">
        <v>67.5</v>
      </c>
      <c r="H979" s="41" t="str">
        <f>+IF(Waiting_status!$G979&lt;= 40,"Bajo",IF(Waiting_status!$G979 &gt;70,"High","Mid"))</f>
        <v>Mid</v>
      </c>
    </row>
    <row r="980" spans="1:8" x14ac:dyDescent="0.25">
      <c r="A980" s="38">
        <v>10</v>
      </c>
      <c r="B980" s="32" t="str">
        <f t="shared" si="15"/>
        <v>Low</v>
      </c>
      <c r="F980" s="28" t="s">
        <v>16</v>
      </c>
      <c r="G980" s="40">
        <v>79.2</v>
      </c>
      <c r="H980" s="41" t="str">
        <f>+IF(Waiting_status!$G980&lt;= 40,"Bajo",IF(Waiting_status!$G980 &gt;70,"High","Mid"))</f>
        <v>High</v>
      </c>
    </row>
    <row r="981" spans="1:8" x14ac:dyDescent="0.25">
      <c r="A981" s="31">
        <v>13</v>
      </c>
      <c r="B981" s="32" t="str">
        <f t="shared" si="15"/>
        <v>Low</v>
      </c>
      <c r="F981" s="29" t="s">
        <v>48</v>
      </c>
      <c r="G981" s="42">
        <v>83.7</v>
      </c>
      <c r="H981" s="41" t="str">
        <f>+IF(Waiting_status!$G981&lt;= 40,"Bajo",IF(Waiting_status!$G981 &gt;70,"High","Mid"))</f>
        <v>High</v>
      </c>
    </row>
    <row r="982" spans="1:8" x14ac:dyDescent="0.25">
      <c r="A982" s="38">
        <v>43</v>
      </c>
      <c r="B982" s="32" t="str">
        <f t="shared" si="15"/>
        <v>High</v>
      </c>
      <c r="F982" s="28" t="s">
        <v>41</v>
      </c>
      <c r="G982" s="40">
        <v>91.6</v>
      </c>
      <c r="H982" s="41" t="str">
        <f>+IF(Waiting_status!$G982&lt;= 40,"Bajo",IF(Waiting_status!$G982 &gt;70,"High","Mid"))</f>
        <v>High</v>
      </c>
    </row>
    <row r="983" spans="1:8" x14ac:dyDescent="0.25">
      <c r="A983" s="31">
        <v>13</v>
      </c>
      <c r="B983" s="32" t="str">
        <f t="shared" si="15"/>
        <v>Low</v>
      </c>
      <c r="F983" s="29" t="s">
        <v>28</v>
      </c>
      <c r="G983" s="42">
        <v>88.3</v>
      </c>
      <c r="H983" s="41" t="str">
        <f>+IF(Waiting_status!$G983&lt;= 40,"Bajo",IF(Waiting_status!$G983 &gt;70,"High","Mid"))</f>
        <v>High</v>
      </c>
    </row>
    <row r="984" spans="1:8" x14ac:dyDescent="0.25">
      <c r="A984" s="38">
        <v>30</v>
      </c>
      <c r="B984" s="32" t="str">
        <f t="shared" si="15"/>
        <v>mid</v>
      </c>
      <c r="F984" s="28" t="s">
        <v>31</v>
      </c>
      <c r="G984" s="40">
        <v>67.3</v>
      </c>
      <c r="H984" s="41" t="str">
        <f>+IF(Waiting_status!$G984&lt;= 40,"Bajo",IF(Waiting_status!$G984 &gt;70,"High","Mid"))</f>
        <v>Mid</v>
      </c>
    </row>
    <row r="985" spans="1:8" x14ac:dyDescent="0.25">
      <c r="A985" s="31">
        <v>57</v>
      </c>
      <c r="B985" s="32" t="str">
        <f t="shared" si="15"/>
        <v>High</v>
      </c>
      <c r="F985" s="29" t="s">
        <v>31</v>
      </c>
      <c r="G985" s="42">
        <v>65.5</v>
      </c>
      <c r="H985" s="41" t="str">
        <f>+IF(Waiting_status!$G985&lt;= 40,"Bajo",IF(Waiting_status!$G985 &gt;70,"High","Mid"))</f>
        <v>Mid</v>
      </c>
    </row>
    <row r="986" spans="1:8" x14ac:dyDescent="0.25">
      <c r="A986" s="38">
        <v>24</v>
      </c>
      <c r="B986" s="32" t="str">
        <f t="shared" si="15"/>
        <v>mid</v>
      </c>
      <c r="F986" s="28" t="s">
        <v>56</v>
      </c>
      <c r="G986" s="40">
        <v>84.2</v>
      </c>
      <c r="H986" s="41" t="str">
        <f>+IF(Waiting_status!$G986&lt;= 40,"Bajo",IF(Waiting_status!$G986 &gt;70,"High","Mid"))</f>
        <v>High</v>
      </c>
    </row>
    <row r="987" spans="1:8" x14ac:dyDescent="0.25">
      <c r="A987" s="31">
        <v>55</v>
      </c>
      <c r="B987" s="32" t="str">
        <f t="shared" si="15"/>
        <v>High</v>
      </c>
      <c r="F987" s="29" t="s">
        <v>41</v>
      </c>
      <c r="G987" s="42">
        <v>95.9</v>
      </c>
      <c r="H987" s="41" t="str">
        <f>+IF(Waiting_status!$G987&lt;= 40,"Bajo",IF(Waiting_status!$G987 &gt;70,"High","Mid"))</f>
        <v>High</v>
      </c>
    </row>
    <row r="988" spans="1:8" x14ac:dyDescent="0.25">
      <c r="A988" s="38">
        <v>51</v>
      </c>
      <c r="B988" s="32" t="str">
        <f t="shared" si="15"/>
        <v>High</v>
      </c>
      <c r="F988" s="28" t="s">
        <v>56</v>
      </c>
      <c r="G988" s="40">
        <v>61.1</v>
      </c>
      <c r="H988" s="41" t="str">
        <f>+IF(Waiting_status!$G988&lt;= 40,"Bajo",IF(Waiting_status!$G988 &gt;70,"High","Mid"))</f>
        <v>Mid</v>
      </c>
    </row>
    <row r="989" spans="1:8" x14ac:dyDescent="0.25">
      <c r="A989" s="31">
        <v>50</v>
      </c>
      <c r="B989" s="32" t="str">
        <f t="shared" si="15"/>
        <v>High</v>
      </c>
      <c r="F989" s="29" t="s">
        <v>22</v>
      </c>
      <c r="G989" s="42">
        <v>71.900000000000006</v>
      </c>
      <c r="H989" s="41" t="str">
        <f>+IF(Waiting_status!$G989&lt;= 40,"Bajo",IF(Waiting_status!$G989 &gt;70,"High","Mid"))</f>
        <v>High</v>
      </c>
    </row>
    <row r="990" spans="1:8" x14ac:dyDescent="0.25">
      <c r="A990" s="38">
        <v>47</v>
      </c>
      <c r="B990" s="32" t="str">
        <f t="shared" si="15"/>
        <v>High</v>
      </c>
      <c r="F990" s="28" t="s">
        <v>16</v>
      </c>
      <c r="G990" s="40">
        <v>99.7</v>
      </c>
      <c r="H990" s="41" t="str">
        <f>+IF(Waiting_status!$G990&lt;= 40,"Bajo",IF(Waiting_status!$G990 &gt;70,"High","Mid"))</f>
        <v>High</v>
      </c>
    </row>
    <row r="991" spans="1:8" x14ac:dyDescent="0.25">
      <c r="A991" s="31">
        <v>40</v>
      </c>
      <c r="B991" s="32" t="str">
        <f t="shared" si="15"/>
        <v>mid</v>
      </c>
      <c r="F991" s="29" t="s">
        <v>41</v>
      </c>
      <c r="G991" s="42">
        <v>90.7</v>
      </c>
      <c r="H991" s="41" t="str">
        <f>+IF(Waiting_status!$G991&lt;= 40,"Bajo",IF(Waiting_status!$G991 &gt;70,"High","Mid"))</f>
        <v>High</v>
      </c>
    </row>
    <row r="992" spans="1:8" x14ac:dyDescent="0.25">
      <c r="A992" s="38">
        <v>20</v>
      </c>
      <c r="B992" s="32" t="str">
        <f t="shared" si="15"/>
        <v>Low</v>
      </c>
      <c r="F992" s="28" t="s">
        <v>16</v>
      </c>
      <c r="G992" s="40">
        <v>63.8</v>
      </c>
      <c r="H992" s="41" t="str">
        <f>+IF(Waiting_status!$G992&lt;= 40,"Bajo",IF(Waiting_status!$G992 &gt;70,"High","Mid"))</f>
        <v>Mid</v>
      </c>
    </row>
    <row r="993" spans="1:8" x14ac:dyDescent="0.25">
      <c r="A993" s="31">
        <v>20</v>
      </c>
      <c r="B993" s="32" t="str">
        <f t="shared" si="15"/>
        <v>Low</v>
      </c>
      <c r="F993" s="29" t="s">
        <v>22</v>
      </c>
      <c r="G993" s="42">
        <v>95</v>
      </c>
      <c r="H993" s="41" t="str">
        <f>+IF(Waiting_status!$G993&lt;= 40,"Bajo",IF(Waiting_status!$G993 &gt;70,"High","Mid"))</f>
        <v>High</v>
      </c>
    </row>
    <row r="994" spans="1:8" x14ac:dyDescent="0.25">
      <c r="A994" s="38">
        <v>24</v>
      </c>
      <c r="B994" s="32" t="str">
        <f t="shared" si="15"/>
        <v>mid</v>
      </c>
      <c r="F994" s="28" t="s">
        <v>16</v>
      </c>
      <c r="G994" s="40">
        <v>90.8</v>
      </c>
      <c r="H994" s="41" t="str">
        <f>+IF(Waiting_status!$G994&lt;= 40,"Bajo",IF(Waiting_status!$G994 &gt;70,"High","Mid"))</f>
        <v>High</v>
      </c>
    </row>
    <row r="995" spans="1:8" x14ac:dyDescent="0.25">
      <c r="A995" s="31">
        <v>31</v>
      </c>
      <c r="B995" s="32" t="str">
        <f t="shared" si="15"/>
        <v>mid</v>
      </c>
      <c r="F995" s="29" t="s">
        <v>41</v>
      </c>
      <c r="G995" s="42">
        <v>95.6</v>
      </c>
      <c r="H995" s="41" t="str">
        <f>+IF(Waiting_status!$G995&lt;= 40,"Bajo",IF(Waiting_status!$G995 &gt;70,"High","Mid"))</f>
        <v>High</v>
      </c>
    </row>
    <row r="996" spans="1:8" x14ac:dyDescent="0.25">
      <c r="A996" s="38">
        <v>32</v>
      </c>
      <c r="B996" s="32" t="str">
        <f t="shared" si="15"/>
        <v>mid</v>
      </c>
      <c r="F996" s="28" t="s">
        <v>95</v>
      </c>
      <c r="G996" s="40">
        <v>64</v>
      </c>
      <c r="H996" s="41" t="str">
        <f>+IF(Waiting_status!$G996&lt;= 40,"Bajo",IF(Waiting_status!$G996 &gt;70,"High","Mid"))</f>
        <v>Mid</v>
      </c>
    </row>
    <row r="997" spans="1:8" x14ac:dyDescent="0.25">
      <c r="A997" s="31">
        <v>32</v>
      </c>
      <c r="B997" s="32" t="str">
        <f t="shared" si="15"/>
        <v>mid</v>
      </c>
      <c r="F997" s="29" t="s">
        <v>22</v>
      </c>
      <c r="G997" s="42">
        <v>79.2</v>
      </c>
      <c r="H997" s="41" t="str">
        <f>+IF(Waiting_status!$G997&lt;= 40,"Bajo",IF(Waiting_status!$G997 &gt;70,"High","Mid"))</f>
        <v>High</v>
      </c>
    </row>
    <row r="998" spans="1:8" x14ac:dyDescent="0.25">
      <c r="A998" s="38">
        <v>56</v>
      </c>
      <c r="B998" s="32" t="str">
        <f t="shared" si="15"/>
        <v>High</v>
      </c>
      <c r="F998" s="28" t="s">
        <v>64</v>
      </c>
      <c r="G998" s="40">
        <v>83.7</v>
      </c>
      <c r="H998" s="41" t="str">
        <f>+IF(Waiting_status!$G998&lt;= 40,"Bajo",IF(Waiting_status!$G998 &gt;70,"High","Mid"))</f>
        <v>High</v>
      </c>
    </row>
    <row r="999" spans="1:8" x14ac:dyDescent="0.25">
      <c r="A999" s="31">
        <v>35</v>
      </c>
      <c r="B999" s="32" t="str">
        <f t="shared" si="15"/>
        <v>mid</v>
      </c>
      <c r="F999" s="29" t="s">
        <v>48</v>
      </c>
      <c r="G999" s="42">
        <v>74.8</v>
      </c>
      <c r="H999" s="41" t="str">
        <f>+IF(Waiting_status!$G999&lt;= 40,"Bajo",IF(Waiting_status!$G999 &gt;70,"High","Mid"))</f>
        <v>High</v>
      </c>
    </row>
    <row r="1000" spans="1:8" x14ac:dyDescent="0.25">
      <c r="A1000" s="38">
        <v>10</v>
      </c>
      <c r="B1000" s="32" t="str">
        <f t="shared" si="15"/>
        <v>Low</v>
      </c>
      <c r="F1000" s="28" t="s">
        <v>48</v>
      </c>
      <c r="G1000" s="40">
        <v>88.6</v>
      </c>
      <c r="H1000" s="41" t="str">
        <f>+IF(Waiting_status!$G1000&lt;= 40,"Bajo",IF(Waiting_status!$G1000 &gt;70,"High","Mid"))</f>
        <v>High</v>
      </c>
    </row>
    <row r="1001" spans="1:8" x14ac:dyDescent="0.25">
      <c r="A1001" s="39">
        <v>55</v>
      </c>
      <c r="B1001" s="32" t="str">
        <f t="shared" si="15"/>
        <v>High</v>
      </c>
      <c r="F1001" s="30" t="s">
        <v>56</v>
      </c>
      <c r="G1001" s="43">
        <v>81.3</v>
      </c>
      <c r="H1001" s="44" t="str">
        <f>+IF(Waiting_status!$G1001&lt;= 40,"Bajo",IF(Waiting_status!$G1001 &gt;70,"High","Mid"))</f>
        <v>High</v>
      </c>
    </row>
  </sheetData>
  <conditionalFormatting sqref="B2:B1001">
    <cfRule type="containsText" dxfId="9" priority="1" operator="containsText" text="Mid">
      <formula>NOT(ISERROR(SEARCH("Mid",B2)))</formula>
    </cfRule>
    <cfRule type="containsText" dxfId="8" priority="2" operator="containsText" text="High">
      <formula>NOT(ISERROR(SEARCH("High",B2)))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968F-8548-45C2-8824-ABE9D47DFC05}">
  <dimension ref="A1:C7"/>
  <sheetViews>
    <sheetView tabSelected="1" workbookViewId="0">
      <selection activeCell="D7" sqref="D7"/>
    </sheetView>
  </sheetViews>
  <sheetFormatPr baseColWidth="10" defaultRowHeight="15" x14ac:dyDescent="0.25"/>
  <cols>
    <col min="1" max="1" width="23.5703125" bestFit="1" customWidth="1"/>
    <col min="2" max="3" width="12" customWidth="1"/>
    <col min="9" max="9" width="25.7109375" bestFit="1" customWidth="1"/>
    <col min="10" max="10" width="22.42578125" bestFit="1" customWidth="1"/>
    <col min="11" max="11" width="12.5703125" bestFit="1" customWidth="1"/>
    <col min="12" max="12" width="9.140625" bestFit="1" customWidth="1"/>
    <col min="13" max="13" width="12.5703125" bestFit="1" customWidth="1"/>
  </cols>
  <sheetData>
    <row r="1" spans="1:3" x14ac:dyDescent="0.25">
      <c r="A1" s="13" t="s">
        <v>2109</v>
      </c>
      <c r="B1" s="78" t="s">
        <v>2110</v>
      </c>
      <c r="C1" s="14" t="s">
        <v>2110</v>
      </c>
    </row>
    <row r="2" spans="1:3" x14ac:dyDescent="0.25">
      <c r="A2" s="15" t="s">
        <v>2105</v>
      </c>
      <c r="B2" s="83"/>
      <c r="C2" s="16">
        <f>+COUNTIF(Tabla2[Shipment_Status],"Delivered")</f>
        <v>338</v>
      </c>
    </row>
    <row r="3" spans="1:3" x14ac:dyDescent="0.25">
      <c r="A3" s="17" t="s">
        <v>2106</v>
      </c>
      <c r="B3" s="84"/>
      <c r="C3" s="85">
        <f>+AVERAGE(Tabla2[Logistics_Delay])</f>
        <v>0.56599999999999995</v>
      </c>
    </row>
    <row r="4" spans="1:3" x14ac:dyDescent="0.25">
      <c r="A4" s="15" t="s">
        <v>2107</v>
      </c>
      <c r="B4" s="81">
        <f>+AVERAGE(Tabla2[[#All],[Waiting_Time]])</f>
        <v>35.061999999999998</v>
      </c>
      <c r="C4" s="82">
        <f>+B4/100</f>
        <v>0.35061999999999999</v>
      </c>
    </row>
    <row r="5" spans="1:3" x14ac:dyDescent="0.25">
      <c r="A5" s="17" t="s">
        <v>2069</v>
      </c>
      <c r="B5" s="79">
        <f>+AVERAGE(Tabla2[Inventory_Level])</f>
        <v>297.91500000000002</v>
      </c>
      <c r="C5" s="80">
        <f>+B5/100</f>
        <v>2.9791500000000002</v>
      </c>
    </row>
    <row r="6" spans="1:3" x14ac:dyDescent="0.25">
      <c r="A6" s="15" t="s">
        <v>2073</v>
      </c>
      <c r="B6" s="83">
        <f>+AVERAGE(Tabla2[Asset_Utilization])</f>
        <v>79.599100000000035</v>
      </c>
      <c r="C6" s="82">
        <f>+B6/100</f>
        <v>0.79599100000000034</v>
      </c>
    </row>
    <row r="7" spans="1:3" x14ac:dyDescent="0.25">
      <c r="A7" s="20" t="s">
        <v>2108</v>
      </c>
      <c r="B7" s="73">
        <v>312</v>
      </c>
      <c r="C7" s="21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smart_logistics_dataset</vt:lpstr>
      <vt:lpstr>Data Dictionary</vt:lpstr>
      <vt:lpstr>tbl_logistics</vt:lpstr>
      <vt:lpstr>Data Quality Report</vt:lpstr>
      <vt:lpstr>Data Explore</vt:lpstr>
      <vt:lpstr>Pyvot tables</vt:lpstr>
      <vt:lpstr>Waiting_status</vt:lpstr>
      <vt:lpstr>Dasboard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Somoza</dc:creator>
  <cp:lastModifiedBy>Carlos Somoza</cp:lastModifiedBy>
  <dcterms:created xsi:type="dcterms:W3CDTF">2026-06-05T16:55:05Z</dcterms:created>
  <dcterms:modified xsi:type="dcterms:W3CDTF">2026-06-07T20:15:02Z</dcterms:modified>
</cp:coreProperties>
</file>